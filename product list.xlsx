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FAQIH\"/>
    </mc:Choice>
  </mc:AlternateContent>
  <bookViews>
    <workbookView xWindow="0" yWindow="0" windowWidth="28800" windowHeight="12255"/>
  </bookViews>
  <sheets>
    <sheet name="29.5.2026" sheetId="5" r:id="rId1"/>
    <sheet name="22.5.2026" sheetId="4" r:id="rId2"/>
    <sheet name="15.5.2026" sheetId="3" r:id="rId3"/>
    <sheet name="8.5.2026" sheetId="2" r:id="rId4"/>
  </sheets>
  <definedNames>
    <definedName name="_xlnm.Print_Area" localSheetId="2">'15.5.2026'!$A$51:$Z$94</definedName>
    <definedName name="_xlnm.Print_Area" localSheetId="1">'22.5.2026'!$A$51:$Z$94</definedName>
    <definedName name="_xlnm.Print_Area" localSheetId="0">'29.5.2026'!$A$51:$Z$94</definedName>
    <definedName name="_xlnm.Print_Area" localSheetId="3">'8.5.2026'!$A$51:$Z$94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3" i="5" l="1"/>
  <c r="S78" i="5"/>
  <c r="W4" i="5"/>
  <c r="W2" i="5"/>
  <c r="R80" i="5"/>
  <c r="R72" i="5"/>
  <c r="R65" i="5"/>
  <c r="R63" i="5"/>
  <c r="R4" i="5"/>
  <c r="R55" i="5"/>
  <c r="R52" i="5"/>
  <c r="R3" i="5"/>
  <c r="P98" i="5"/>
  <c r="Q98" i="5"/>
  <c r="K93" i="5"/>
  <c r="K65" i="5"/>
  <c r="K78" i="5"/>
  <c r="K52" i="5"/>
  <c r="K92" i="5"/>
  <c r="K103" i="5"/>
  <c r="J78" i="5"/>
  <c r="J82" i="5"/>
  <c r="J81" i="5"/>
  <c r="J83" i="5"/>
  <c r="J85" i="5"/>
  <c r="J70" i="5"/>
  <c r="J75" i="5"/>
  <c r="J92" i="5"/>
  <c r="J65" i="5"/>
  <c r="J53" i="5"/>
  <c r="J52" i="5"/>
  <c r="J58" i="5"/>
  <c r="O52" i="5"/>
  <c r="O55" i="5"/>
  <c r="O78" i="5"/>
  <c r="O70" i="5"/>
  <c r="O65" i="5"/>
  <c r="O63" i="5"/>
  <c r="O64" i="5"/>
  <c r="O89" i="5"/>
  <c r="O76" i="5"/>
  <c r="O75" i="5"/>
  <c r="O80" i="5"/>
  <c r="O87" i="5"/>
  <c r="O85" i="5"/>
  <c r="O90" i="5"/>
  <c r="O60" i="5"/>
  <c r="O54" i="5"/>
  <c r="O3" i="5"/>
  <c r="O4" i="5"/>
  <c r="O33" i="5"/>
  <c r="O32" i="5"/>
  <c r="O67" i="5"/>
  <c r="O103" i="5"/>
  <c r="O102" i="5"/>
  <c r="O92" i="5"/>
  <c r="O83" i="5"/>
  <c r="O53" i="5"/>
  <c r="O59" i="5"/>
  <c r="O58" i="5"/>
  <c r="L65" i="5" l="1"/>
  <c r="L52" i="5"/>
  <c r="L55" i="5"/>
  <c r="L58" i="5"/>
  <c r="L78" i="5"/>
  <c r="L63" i="5"/>
  <c r="L64" i="5"/>
  <c r="L107" i="5"/>
  <c r="L56" i="5"/>
  <c r="L76" i="5"/>
  <c r="L72" i="5"/>
  <c r="L87" i="5"/>
  <c r="L85" i="5"/>
  <c r="L62" i="5"/>
  <c r="L54" i="5"/>
  <c r="X54" i="5"/>
  <c r="Z54" i="5" s="1"/>
  <c r="L3" i="5"/>
  <c r="X3" i="5" s="1"/>
  <c r="Z3" i="5" s="1"/>
  <c r="L4" i="5"/>
  <c r="L67" i="5"/>
  <c r="X67" i="5" s="1"/>
  <c r="Z67" i="5" s="1"/>
  <c r="L68" i="5"/>
  <c r="L53" i="5"/>
  <c r="L57" i="5"/>
  <c r="L60" i="5"/>
  <c r="L59" i="5"/>
  <c r="L66" i="5"/>
  <c r="M65" i="5"/>
  <c r="M52" i="5"/>
  <c r="M55" i="5"/>
  <c r="M58" i="5"/>
  <c r="M78" i="5"/>
  <c r="M67" i="5"/>
  <c r="M70" i="5"/>
  <c r="M71" i="5"/>
  <c r="X71" i="5" s="1"/>
  <c r="Z71" i="5" s="1"/>
  <c r="M72" i="5"/>
  <c r="M63" i="5"/>
  <c r="M76" i="5"/>
  <c r="X70" i="5"/>
  <c r="Z70" i="5" s="1"/>
  <c r="M80" i="5"/>
  <c r="M82" i="5"/>
  <c r="M81" i="5"/>
  <c r="M87" i="5"/>
  <c r="M90" i="5"/>
  <c r="M60" i="5"/>
  <c r="M8" i="5"/>
  <c r="M66" i="5"/>
  <c r="M54" i="5"/>
  <c r="M57" i="5"/>
  <c r="M24" i="5"/>
  <c r="M2" i="5"/>
  <c r="M3" i="5"/>
  <c r="M4" i="5"/>
  <c r="M33" i="5"/>
  <c r="M32" i="5"/>
  <c r="M18" i="5"/>
  <c r="X18" i="5" s="1"/>
  <c r="Z18" i="5" s="1"/>
  <c r="M28" i="5"/>
  <c r="M75" i="5"/>
  <c r="M103" i="5"/>
  <c r="M102" i="5"/>
  <c r="M85" i="5"/>
  <c r="X85" i="5" s="1"/>
  <c r="Z85" i="5" s="1"/>
  <c r="M64" i="5"/>
  <c r="M53" i="5"/>
  <c r="M62" i="5"/>
  <c r="M59" i="5"/>
  <c r="X59" i="5" s="1"/>
  <c r="Z59" i="5" s="1"/>
  <c r="M79" i="5"/>
  <c r="M83" i="5"/>
  <c r="H108" i="5"/>
  <c r="X108" i="5" s="1"/>
  <c r="Z108" i="5" s="1"/>
  <c r="H65" i="5"/>
  <c r="H55" i="5"/>
  <c r="H78" i="5"/>
  <c r="H98" i="5"/>
  <c r="H97" i="5"/>
  <c r="H70" i="5"/>
  <c r="H72" i="5"/>
  <c r="H63" i="5"/>
  <c r="H89" i="5"/>
  <c r="H76" i="5"/>
  <c r="X72" i="5"/>
  <c r="Z72" i="5" s="1"/>
  <c r="H80" i="5"/>
  <c r="H82" i="5"/>
  <c r="H81" i="5"/>
  <c r="H87" i="5"/>
  <c r="H85" i="5"/>
  <c r="H83" i="5"/>
  <c r="H90" i="5"/>
  <c r="H54" i="5"/>
  <c r="H56" i="5"/>
  <c r="H58" i="5"/>
  <c r="H11" i="5"/>
  <c r="X11" i="5" s="1"/>
  <c r="Z11" i="5" s="1"/>
  <c r="H24" i="5"/>
  <c r="H2" i="5"/>
  <c r="H3" i="5"/>
  <c r="H4" i="5"/>
  <c r="H33" i="5"/>
  <c r="H32" i="5"/>
  <c r="H15" i="5"/>
  <c r="H18" i="5"/>
  <c r="H28" i="5"/>
  <c r="H75" i="5"/>
  <c r="H103" i="5"/>
  <c r="H102" i="5"/>
  <c r="H73" i="5"/>
  <c r="H74" i="5"/>
  <c r="H68" i="5"/>
  <c r="H93" i="5"/>
  <c r="H92" i="5"/>
  <c r="X68" i="5"/>
  <c r="Z68" i="5" s="1"/>
  <c r="H52" i="5"/>
  <c r="H53" i="5"/>
  <c r="H57" i="5"/>
  <c r="H66" i="5"/>
  <c r="H64" i="5"/>
  <c r="H59" i="5"/>
  <c r="H67" i="5"/>
  <c r="H60" i="5"/>
  <c r="X60" i="5" s="1"/>
  <c r="Z60" i="5" s="1"/>
  <c r="H62" i="5"/>
  <c r="H7" i="5"/>
  <c r="X7" i="5" s="1"/>
  <c r="Z7" i="5" s="1"/>
  <c r="H8" i="5"/>
  <c r="H79" i="5"/>
  <c r="T87" i="5"/>
  <c r="X87" i="5" s="1"/>
  <c r="Z87" i="5" s="1"/>
  <c r="T75" i="5"/>
  <c r="T63" i="5"/>
  <c r="T64" i="5"/>
  <c r="T60" i="5"/>
  <c r="T90" i="5"/>
  <c r="T57" i="5"/>
  <c r="T67" i="5"/>
  <c r="E64" i="5"/>
  <c r="E62" i="5"/>
  <c r="E70" i="5"/>
  <c r="X75" i="5"/>
  <c r="Z75" i="5" s="1"/>
  <c r="X81" i="5"/>
  <c r="Z81" i="5" s="1"/>
  <c r="X83" i="5"/>
  <c r="Z83" i="5" s="1"/>
  <c r="X92" i="5"/>
  <c r="Z92" i="5" s="1"/>
  <c r="X97" i="5"/>
  <c r="Z97" i="5" s="1"/>
  <c r="X102" i="5"/>
  <c r="Z102" i="5" s="1"/>
  <c r="X122" i="5"/>
  <c r="X121" i="5"/>
  <c r="Z121" i="5" s="1"/>
  <c r="X120" i="5"/>
  <c r="Z120" i="5" s="1"/>
  <c r="X119" i="5"/>
  <c r="Z119" i="5" s="1"/>
  <c r="X118" i="5"/>
  <c r="Z118" i="5" s="1"/>
  <c r="X117" i="5"/>
  <c r="Z117" i="5" s="1"/>
  <c r="X116" i="5"/>
  <c r="Z116" i="5" s="1"/>
  <c r="X115" i="5"/>
  <c r="X113" i="5"/>
  <c r="X112" i="5"/>
  <c r="Z112" i="5" s="1"/>
  <c r="X111" i="5"/>
  <c r="Z111" i="5" s="1"/>
  <c r="X110" i="5"/>
  <c r="Z110" i="5" s="1"/>
  <c r="X109" i="5"/>
  <c r="Z109" i="5" s="1"/>
  <c r="X107" i="5"/>
  <c r="Z107" i="5" s="1"/>
  <c r="X106" i="5"/>
  <c r="X105" i="5"/>
  <c r="X101" i="5"/>
  <c r="X100" i="5"/>
  <c r="X98" i="5"/>
  <c r="Z98" i="5" s="1"/>
  <c r="X95" i="5"/>
  <c r="X93" i="5"/>
  <c r="Z93" i="5" s="1"/>
  <c r="X91" i="5"/>
  <c r="U90" i="5"/>
  <c r="X90" i="5"/>
  <c r="Z90" i="5" s="1"/>
  <c r="X89" i="5"/>
  <c r="Z89" i="5" s="1"/>
  <c r="X88" i="5"/>
  <c r="Z88" i="5" s="1"/>
  <c r="X86" i="5"/>
  <c r="Z86" i="5" s="1"/>
  <c r="X84" i="5"/>
  <c r="Z84" i="5" s="1"/>
  <c r="X82" i="5"/>
  <c r="Z82" i="5" s="1"/>
  <c r="X79" i="5"/>
  <c r="Z79" i="5" s="1"/>
  <c r="X77" i="5"/>
  <c r="E76" i="5"/>
  <c r="E75" i="5"/>
  <c r="X74" i="5"/>
  <c r="Z74" i="5" s="1"/>
  <c r="X73" i="5"/>
  <c r="Z73" i="5" s="1"/>
  <c r="X69" i="5"/>
  <c r="E68" i="5"/>
  <c r="U65" i="5"/>
  <c r="E65" i="5"/>
  <c r="S63" i="5"/>
  <c r="E63" i="5"/>
  <c r="X61" i="5"/>
  <c r="Z61" i="5" s="1"/>
  <c r="X56" i="5"/>
  <c r="Z56" i="5" s="1"/>
  <c r="E53" i="5"/>
  <c r="S52" i="5"/>
  <c r="AA46" i="5"/>
  <c r="X45" i="5"/>
  <c r="Z45" i="5" s="1"/>
  <c r="X44" i="5"/>
  <c r="Z44" i="5" s="1"/>
  <c r="X43" i="5"/>
  <c r="Z43" i="5" s="1"/>
  <c r="X42" i="5"/>
  <c r="Z42" i="5" s="1"/>
  <c r="X41" i="5"/>
  <c r="Z41" i="5" s="1"/>
  <c r="X40" i="5"/>
  <c r="Z40" i="5" s="1"/>
  <c r="X39" i="5"/>
  <c r="Z39" i="5" s="1"/>
  <c r="X38" i="5"/>
  <c r="Z38" i="5" s="1"/>
  <c r="X37" i="5"/>
  <c r="Z37" i="5" s="1"/>
  <c r="X36" i="5"/>
  <c r="Z36" i="5" s="1"/>
  <c r="X35" i="5"/>
  <c r="Z35" i="5" s="1"/>
  <c r="X34" i="5"/>
  <c r="Z34" i="5" s="1"/>
  <c r="S33" i="5"/>
  <c r="E33" i="5"/>
  <c r="X33" i="5" s="1"/>
  <c r="Z33" i="5" s="1"/>
  <c r="S32" i="5"/>
  <c r="X32" i="5"/>
  <c r="Z32" i="5" s="1"/>
  <c r="X31" i="5"/>
  <c r="Z31" i="5" s="1"/>
  <c r="X30" i="5"/>
  <c r="Z30" i="5" s="1"/>
  <c r="X29" i="5"/>
  <c r="Z29" i="5" s="1"/>
  <c r="X27" i="5"/>
  <c r="Z27" i="5" s="1"/>
  <c r="X26" i="5"/>
  <c r="Z26" i="5" s="1"/>
  <c r="X25" i="5"/>
  <c r="Z25" i="5" s="1"/>
  <c r="X24" i="5"/>
  <c r="Z24" i="5" s="1"/>
  <c r="X23" i="5"/>
  <c r="Z23" i="5" s="1"/>
  <c r="X22" i="5"/>
  <c r="Z22" i="5" s="1"/>
  <c r="U22" i="5"/>
  <c r="S22" i="5"/>
  <c r="X21" i="5"/>
  <c r="Z21" i="5" s="1"/>
  <c r="X20" i="5"/>
  <c r="Z20" i="5" s="1"/>
  <c r="X19" i="5"/>
  <c r="Z19" i="5" s="1"/>
  <c r="S18" i="5"/>
  <c r="X17" i="5"/>
  <c r="Z17" i="5" s="1"/>
  <c r="Z16" i="5"/>
  <c r="X16" i="5"/>
  <c r="X15" i="5"/>
  <c r="Z15" i="5" s="1"/>
  <c r="X14" i="5"/>
  <c r="Z14" i="5" s="1"/>
  <c r="X13" i="5"/>
  <c r="S11" i="5"/>
  <c r="X10" i="5"/>
  <c r="Z10" i="5" s="1"/>
  <c r="X9" i="5"/>
  <c r="Z9" i="5" s="1"/>
  <c r="X8" i="5"/>
  <c r="Z8" i="5" s="1"/>
  <c r="X6" i="5"/>
  <c r="D5" i="5"/>
  <c r="X4" i="5"/>
  <c r="Z4" i="5" s="1"/>
  <c r="S2" i="5"/>
  <c r="X78" i="5" l="1"/>
  <c r="Z78" i="5" s="1"/>
  <c r="X80" i="5"/>
  <c r="Z80" i="5" s="1"/>
  <c r="X66" i="5"/>
  <c r="Z66" i="5" s="1"/>
  <c r="X55" i="5"/>
  <c r="Z55" i="5" s="1"/>
  <c r="X2" i="5"/>
  <c r="Z2" i="5" s="1"/>
  <c r="X28" i="5"/>
  <c r="Z28" i="5" s="1"/>
  <c r="X103" i="5"/>
  <c r="Z103" i="5" s="1"/>
  <c r="X52" i="5"/>
  <c r="Z52" i="5" s="1"/>
  <c r="X62" i="5"/>
  <c r="Z62" i="5" s="1"/>
  <c r="X58" i="5"/>
  <c r="Z58" i="5" s="1"/>
  <c r="X57" i="5"/>
  <c r="Z57" i="5" s="1"/>
  <c r="X65" i="5"/>
  <c r="Z65" i="5" s="1"/>
  <c r="X5" i="5"/>
  <c r="X63" i="5"/>
  <c r="Z63" i="5" s="1"/>
  <c r="X76" i="5"/>
  <c r="Z76" i="5" s="1"/>
  <c r="X53" i="5"/>
  <c r="Z53" i="5" s="1"/>
  <c r="X64" i="5"/>
  <c r="Z64" i="5" s="1"/>
  <c r="X12" i="5"/>
  <c r="Z6" i="5"/>
  <c r="Z5" i="5" s="1"/>
  <c r="Z13" i="5"/>
  <c r="H3" i="4"/>
  <c r="L3" i="4"/>
  <c r="M3" i="4"/>
  <c r="O3" i="4"/>
  <c r="R3" i="4"/>
  <c r="E76" i="4"/>
  <c r="S52" i="4"/>
  <c r="U22" i="4"/>
  <c r="S22" i="4"/>
  <c r="S11" i="4"/>
  <c r="S32" i="4"/>
  <c r="S33" i="4"/>
  <c r="S18" i="4"/>
  <c r="S2" i="4"/>
  <c r="Z12" i="5" l="1"/>
  <c r="Z46" i="5" s="1"/>
  <c r="X46" i="5"/>
  <c r="W2" i="4"/>
  <c r="R52" i="4" l="1"/>
  <c r="R4" i="4"/>
  <c r="R55" i="4"/>
  <c r="P98" i="4"/>
  <c r="Q98" i="4"/>
  <c r="K93" i="4"/>
  <c r="K65" i="4"/>
  <c r="K52" i="4"/>
  <c r="K92" i="4"/>
  <c r="K78" i="4"/>
  <c r="J78" i="4"/>
  <c r="J82" i="4"/>
  <c r="J81" i="4"/>
  <c r="J83" i="4"/>
  <c r="J85" i="4"/>
  <c r="J75" i="4"/>
  <c r="J92" i="4"/>
  <c r="J65" i="4"/>
  <c r="J53" i="4"/>
  <c r="J52" i="4"/>
  <c r="J58" i="4"/>
  <c r="L65" i="4"/>
  <c r="L52" i="4"/>
  <c r="L55" i="4"/>
  <c r="L58" i="4"/>
  <c r="L78" i="4"/>
  <c r="L63" i="4"/>
  <c r="L64" i="4"/>
  <c r="L107" i="4"/>
  <c r="L56" i="4"/>
  <c r="L76" i="4"/>
  <c r="L72" i="4"/>
  <c r="L87" i="4"/>
  <c r="L85" i="4"/>
  <c r="L62" i="4"/>
  <c r="L54" i="4"/>
  <c r="L4" i="4"/>
  <c r="L67" i="4"/>
  <c r="L68" i="4"/>
  <c r="L53" i="4"/>
  <c r="L60" i="4"/>
  <c r="L59" i="4"/>
  <c r="L66" i="4"/>
  <c r="O52" i="4"/>
  <c r="O55" i="4"/>
  <c r="O78" i="4"/>
  <c r="O70" i="4"/>
  <c r="O64" i="4"/>
  <c r="O63" i="4"/>
  <c r="O89" i="4"/>
  <c r="O76" i="4"/>
  <c r="O75" i="4"/>
  <c r="O87" i="4"/>
  <c r="O85" i="4"/>
  <c r="O90" i="4"/>
  <c r="O53" i="4"/>
  <c r="O60" i="4"/>
  <c r="O54" i="4"/>
  <c r="O4" i="4"/>
  <c r="O33" i="4"/>
  <c r="O103" i="4"/>
  <c r="O102" i="4"/>
  <c r="O92" i="4"/>
  <c r="O65" i="4"/>
  <c r="O59" i="4"/>
  <c r="O58" i="4"/>
  <c r="M65" i="4"/>
  <c r="M52" i="4"/>
  <c r="M55" i="4"/>
  <c r="M58" i="4"/>
  <c r="M78" i="4"/>
  <c r="M67" i="4"/>
  <c r="M70" i="4"/>
  <c r="M71" i="4"/>
  <c r="M72" i="4"/>
  <c r="M63" i="4"/>
  <c r="M76" i="4"/>
  <c r="M80" i="4"/>
  <c r="M82" i="4"/>
  <c r="M81" i="4"/>
  <c r="M87" i="4"/>
  <c r="M90" i="4"/>
  <c r="M60" i="4"/>
  <c r="M8" i="4"/>
  <c r="M66" i="4"/>
  <c r="M54" i="4"/>
  <c r="M57" i="4"/>
  <c r="M24" i="4"/>
  <c r="M2" i="4"/>
  <c r="M4" i="4"/>
  <c r="M33" i="4"/>
  <c r="M32" i="4"/>
  <c r="M18" i="4"/>
  <c r="M28" i="4"/>
  <c r="M75" i="4"/>
  <c r="M103" i="4"/>
  <c r="M102" i="4"/>
  <c r="M85" i="4"/>
  <c r="M64" i="4"/>
  <c r="M53" i="4"/>
  <c r="M62" i="4"/>
  <c r="M59" i="4"/>
  <c r="M83" i="4"/>
  <c r="H108" i="4"/>
  <c r="H65" i="4"/>
  <c r="H55" i="4"/>
  <c r="H78" i="4"/>
  <c r="H98" i="4"/>
  <c r="H97" i="4"/>
  <c r="H70" i="4"/>
  <c r="H72" i="4"/>
  <c r="H63" i="4"/>
  <c r="H89" i="4"/>
  <c r="H76" i="4"/>
  <c r="H80" i="4"/>
  <c r="H81" i="4"/>
  <c r="H87" i="4"/>
  <c r="H82" i="4"/>
  <c r="H85" i="4"/>
  <c r="H83" i="4"/>
  <c r="H90" i="4"/>
  <c r="H54" i="4"/>
  <c r="H56" i="4"/>
  <c r="H58" i="4"/>
  <c r="H11" i="4"/>
  <c r="H24" i="4"/>
  <c r="H2" i="4"/>
  <c r="H4" i="4"/>
  <c r="H33" i="4"/>
  <c r="H32" i="4"/>
  <c r="H15" i="4"/>
  <c r="H18" i="4"/>
  <c r="H28" i="4"/>
  <c r="H75" i="4"/>
  <c r="H103" i="4"/>
  <c r="H102" i="4"/>
  <c r="H73" i="4"/>
  <c r="H93" i="4"/>
  <c r="H68" i="4"/>
  <c r="H52" i="4"/>
  <c r="H53" i="4"/>
  <c r="H57" i="4"/>
  <c r="H66" i="4"/>
  <c r="H64" i="4"/>
  <c r="H59" i="4"/>
  <c r="H67" i="4"/>
  <c r="H60" i="4"/>
  <c r="H62" i="4"/>
  <c r="H7" i="4"/>
  <c r="H8" i="4"/>
  <c r="H79" i="4"/>
  <c r="E33" i="4" l="1"/>
  <c r="U90" i="4" l="1"/>
  <c r="W2" i="3"/>
  <c r="W4" i="3"/>
  <c r="E63" i="3"/>
  <c r="X122" i="4"/>
  <c r="X121" i="4"/>
  <c r="Z121" i="4" s="1"/>
  <c r="X120" i="4"/>
  <c r="Z120" i="4" s="1"/>
  <c r="X119" i="4"/>
  <c r="Z119" i="4" s="1"/>
  <c r="Z118" i="4"/>
  <c r="X118" i="4"/>
  <c r="X117" i="4"/>
  <c r="Z117" i="4" s="1"/>
  <c r="Z116" i="4"/>
  <c r="X116" i="4"/>
  <c r="X115" i="4"/>
  <c r="X113" i="4"/>
  <c r="Z112" i="4"/>
  <c r="X112" i="4"/>
  <c r="X111" i="4"/>
  <c r="Z111" i="4" s="1"/>
  <c r="X110" i="4"/>
  <c r="Z110" i="4" s="1"/>
  <c r="X109" i="4"/>
  <c r="Z109" i="4" s="1"/>
  <c r="X108" i="4"/>
  <c r="Z108" i="4" s="1"/>
  <c r="X107" i="4"/>
  <c r="Z107" i="4" s="1"/>
  <c r="X106" i="4"/>
  <c r="X105" i="4"/>
  <c r="X103" i="4"/>
  <c r="Z103" i="4" s="1"/>
  <c r="X102" i="4"/>
  <c r="Z102" i="4" s="1"/>
  <c r="X101" i="4"/>
  <c r="X100" i="4"/>
  <c r="X98" i="4"/>
  <c r="Z98" i="4" s="1"/>
  <c r="X97" i="4"/>
  <c r="Z97" i="4" s="1"/>
  <c r="X95" i="4"/>
  <c r="X93" i="4"/>
  <c r="Z93" i="4" s="1"/>
  <c r="X92" i="4"/>
  <c r="Z92" i="4" s="1"/>
  <c r="X91" i="4"/>
  <c r="X90" i="4"/>
  <c r="Z90" i="4" s="1"/>
  <c r="X89" i="4"/>
  <c r="Z89" i="4" s="1"/>
  <c r="X88" i="4"/>
  <c r="Z88" i="4" s="1"/>
  <c r="X87" i="4"/>
  <c r="Z87" i="4" s="1"/>
  <c r="Z86" i="4"/>
  <c r="X86" i="4"/>
  <c r="X85" i="4"/>
  <c r="Z85" i="4" s="1"/>
  <c r="X84" i="4"/>
  <c r="Z84" i="4" s="1"/>
  <c r="X83" i="4"/>
  <c r="Z83" i="4" s="1"/>
  <c r="X82" i="4"/>
  <c r="Z82" i="4" s="1"/>
  <c r="X81" i="4"/>
  <c r="Z81" i="4" s="1"/>
  <c r="X80" i="4"/>
  <c r="Z80" i="4" s="1"/>
  <c r="X79" i="4"/>
  <c r="Z79" i="4" s="1"/>
  <c r="X78" i="4"/>
  <c r="Z78" i="4" s="1"/>
  <c r="X77" i="4"/>
  <c r="X76" i="4"/>
  <c r="Z76" i="4" s="1"/>
  <c r="E75" i="4"/>
  <c r="X75" i="4" s="1"/>
  <c r="Z75" i="4" s="1"/>
  <c r="X74" i="4"/>
  <c r="Z74" i="4" s="1"/>
  <c r="X73" i="4"/>
  <c r="Z73" i="4" s="1"/>
  <c r="X72" i="4"/>
  <c r="Z72" i="4" s="1"/>
  <c r="X71" i="4"/>
  <c r="Z71" i="4" s="1"/>
  <c r="X70" i="4"/>
  <c r="Z70" i="4" s="1"/>
  <c r="X69" i="4"/>
  <c r="X68" i="4"/>
  <c r="Z68" i="4" s="1"/>
  <c r="E68" i="4"/>
  <c r="X67" i="4"/>
  <c r="Z67" i="4" s="1"/>
  <c r="X66" i="4"/>
  <c r="Z66" i="4" s="1"/>
  <c r="U65" i="4"/>
  <c r="E65" i="4"/>
  <c r="X65" i="4" s="1"/>
  <c r="Z65" i="4" s="1"/>
  <c r="E64" i="4"/>
  <c r="X64" i="4" s="1"/>
  <c r="Z64" i="4" s="1"/>
  <c r="S63" i="4"/>
  <c r="E63" i="4"/>
  <c r="X63" i="4" s="1"/>
  <c r="Z63" i="4" s="1"/>
  <c r="X62" i="4"/>
  <c r="Z62" i="4" s="1"/>
  <c r="X61" i="4"/>
  <c r="Z61" i="4" s="1"/>
  <c r="X60" i="4"/>
  <c r="Z60" i="4" s="1"/>
  <c r="X59" i="4"/>
  <c r="Z59" i="4" s="1"/>
  <c r="X58" i="4"/>
  <c r="Z58" i="4" s="1"/>
  <c r="X57" i="4"/>
  <c r="Z57" i="4" s="1"/>
  <c r="X56" i="4"/>
  <c r="Z56" i="4" s="1"/>
  <c r="X55" i="4"/>
  <c r="Z55" i="4" s="1"/>
  <c r="X54" i="4"/>
  <c r="Z54" i="4" s="1"/>
  <c r="E53" i="4"/>
  <c r="X53" i="4" s="1"/>
  <c r="Z53" i="4" s="1"/>
  <c r="X52" i="4"/>
  <c r="Z52" i="4" s="1"/>
  <c r="AA46" i="4"/>
  <c r="X45" i="4"/>
  <c r="Z45" i="4" s="1"/>
  <c r="X44" i="4"/>
  <c r="Z44" i="4" s="1"/>
  <c r="X43" i="4"/>
  <c r="Z43" i="4" s="1"/>
  <c r="X42" i="4"/>
  <c r="Z42" i="4" s="1"/>
  <c r="Z41" i="4"/>
  <c r="X41" i="4"/>
  <c r="X40" i="4"/>
  <c r="Z40" i="4" s="1"/>
  <c r="Z39" i="4"/>
  <c r="X39" i="4"/>
  <c r="X38" i="4"/>
  <c r="Z38" i="4" s="1"/>
  <c r="X37" i="4"/>
  <c r="Z37" i="4" s="1"/>
  <c r="X36" i="4"/>
  <c r="Z36" i="4" s="1"/>
  <c r="X35" i="4"/>
  <c r="Z35" i="4" s="1"/>
  <c r="X34" i="4"/>
  <c r="Z34" i="4" s="1"/>
  <c r="X33" i="4"/>
  <c r="Z33" i="4" s="1"/>
  <c r="X32" i="4"/>
  <c r="Z32" i="4" s="1"/>
  <c r="X31" i="4"/>
  <c r="Z31" i="4" s="1"/>
  <c r="X30" i="4"/>
  <c r="Z30" i="4" s="1"/>
  <c r="X29" i="4"/>
  <c r="Z29" i="4" s="1"/>
  <c r="X28" i="4"/>
  <c r="Z28" i="4" s="1"/>
  <c r="X27" i="4"/>
  <c r="Z27" i="4" s="1"/>
  <c r="X26" i="4"/>
  <c r="Z26" i="4" s="1"/>
  <c r="X25" i="4"/>
  <c r="Z25" i="4" s="1"/>
  <c r="X24" i="4"/>
  <c r="Z24" i="4" s="1"/>
  <c r="X23" i="4"/>
  <c r="Z23" i="4" s="1"/>
  <c r="X22" i="4"/>
  <c r="Z22" i="4" s="1"/>
  <c r="X21" i="4"/>
  <c r="Z21" i="4" s="1"/>
  <c r="X20" i="4"/>
  <c r="Z20" i="4" s="1"/>
  <c r="X19" i="4"/>
  <c r="Z19" i="4" s="1"/>
  <c r="X18" i="4"/>
  <c r="X17" i="4"/>
  <c r="Z17" i="4" s="1"/>
  <c r="X16" i="4"/>
  <c r="Z16" i="4" s="1"/>
  <c r="X15" i="4"/>
  <c r="Z15" i="4" s="1"/>
  <c r="X14" i="4"/>
  <c r="Z14" i="4" s="1"/>
  <c r="Z13" i="4"/>
  <c r="X13" i="4"/>
  <c r="X11" i="4"/>
  <c r="Z11" i="4" s="1"/>
  <c r="X10" i="4"/>
  <c r="Z10" i="4" s="1"/>
  <c r="X9" i="4"/>
  <c r="Z9" i="4" s="1"/>
  <c r="X8" i="4"/>
  <c r="Z8" i="4" s="1"/>
  <c r="X7" i="4"/>
  <c r="X6" i="4"/>
  <c r="Z6" i="4" s="1"/>
  <c r="D5" i="4"/>
  <c r="W4" i="4"/>
  <c r="X4" i="4"/>
  <c r="Z4" i="4" s="1"/>
  <c r="X3" i="4"/>
  <c r="Z3" i="4" s="1"/>
  <c r="X2" i="4"/>
  <c r="Z2" i="4" l="1"/>
  <c r="Z18" i="4"/>
  <c r="X12" i="4"/>
  <c r="Z7" i="4"/>
  <c r="Z5" i="4" s="1"/>
  <c r="X5" i="4"/>
  <c r="Z12" i="4"/>
  <c r="X46" i="4" l="1"/>
  <c r="Z46" i="4"/>
  <c r="X63" i="3"/>
  <c r="Z63" i="3" s="1"/>
  <c r="X4" i="3"/>
  <c r="Z4" i="3" s="1"/>
  <c r="X2" i="3"/>
  <c r="X122" i="2"/>
  <c r="Z121" i="2"/>
  <c r="X121" i="2"/>
  <c r="Z120" i="2"/>
  <c r="X120" i="2"/>
  <c r="Z119" i="2"/>
  <c r="X119" i="2"/>
  <c r="Z118" i="2"/>
  <c r="X118" i="2"/>
  <c r="Z117" i="2"/>
  <c r="X117" i="2"/>
  <c r="Z116" i="2"/>
  <c r="X116" i="2"/>
  <c r="X115" i="2"/>
  <c r="X113" i="2"/>
  <c r="Z112" i="2"/>
  <c r="X112" i="2"/>
  <c r="Z111" i="2"/>
  <c r="X111" i="2"/>
  <c r="Z110" i="2"/>
  <c r="X110" i="2"/>
  <c r="Z109" i="2"/>
  <c r="X109" i="2"/>
  <c r="Z108" i="2"/>
  <c r="X108" i="2"/>
  <c r="Z107" i="2"/>
  <c r="X107" i="2"/>
  <c r="X106" i="2"/>
  <c r="X105" i="2"/>
  <c r="Z103" i="2"/>
  <c r="X103" i="2"/>
  <c r="O103" i="2"/>
  <c r="Z102" i="2"/>
  <c r="X102" i="2"/>
  <c r="X101" i="2"/>
  <c r="X100" i="2"/>
  <c r="Z98" i="2"/>
  <c r="X98" i="2"/>
  <c r="Z97" i="2"/>
  <c r="X97" i="2"/>
  <c r="X95" i="2"/>
  <c r="Z93" i="2"/>
  <c r="X93" i="2"/>
  <c r="Z92" i="2"/>
  <c r="X92" i="2"/>
  <c r="O92" i="2"/>
  <c r="X91" i="2"/>
  <c r="Z90" i="2"/>
  <c r="X90" i="2"/>
  <c r="H90" i="2"/>
  <c r="Z89" i="2"/>
  <c r="X89" i="2"/>
  <c r="Z88" i="2"/>
  <c r="X88" i="2"/>
  <c r="Z87" i="2"/>
  <c r="X87" i="2"/>
  <c r="H87" i="2"/>
  <c r="Z86" i="2"/>
  <c r="X86" i="2"/>
  <c r="Z85" i="2"/>
  <c r="X85" i="2"/>
  <c r="O85" i="2"/>
  <c r="M85" i="2"/>
  <c r="H85" i="2"/>
  <c r="Z84" i="2"/>
  <c r="X84" i="2"/>
  <c r="Z83" i="2"/>
  <c r="X83" i="2"/>
  <c r="H83" i="2"/>
  <c r="Z82" i="2"/>
  <c r="X82" i="2"/>
  <c r="M82" i="2"/>
  <c r="Z81" i="2"/>
  <c r="X81" i="2"/>
  <c r="Z80" i="2"/>
  <c r="X80" i="2"/>
  <c r="Z79" i="2"/>
  <c r="X79" i="2"/>
  <c r="Z78" i="2"/>
  <c r="X78" i="2"/>
  <c r="M78" i="2"/>
  <c r="L78" i="2"/>
  <c r="H78" i="2"/>
  <c r="X77" i="2"/>
  <c r="Z76" i="2"/>
  <c r="X76" i="2"/>
  <c r="H76" i="2"/>
  <c r="Z75" i="2"/>
  <c r="X75" i="2"/>
  <c r="O75" i="2"/>
  <c r="H75" i="2"/>
  <c r="Z74" i="2"/>
  <c r="X74" i="2"/>
  <c r="Z73" i="2"/>
  <c r="X73" i="2"/>
  <c r="Z72" i="2"/>
  <c r="X72" i="2"/>
  <c r="H72" i="2"/>
  <c r="Z71" i="2"/>
  <c r="X71" i="2"/>
  <c r="M71" i="2"/>
  <c r="Z70" i="2"/>
  <c r="X70" i="2"/>
  <c r="O70" i="2"/>
  <c r="M70" i="2"/>
  <c r="H70" i="2"/>
  <c r="X69" i="2"/>
  <c r="Z68" i="2"/>
  <c r="X68" i="2"/>
  <c r="Z67" i="2"/>
  <c r="X67" i="2"/>
  <c r="M67" i="2"/>
  <c r="L67" i="2"/>
  <c r="H67" i="2"/>
  <c r="Z66" i="2"/>
  <c r="X66" i="2"/>
  <c r="H66" i="2"/>
  <c r="Z65" i="2"/>
  <c r="X65" i="2"/>
  <c r="O65" i="2"/>
  <c r="M65" i="2"/>
  <c r="L65" i="2"/>
  <c r="J65" i="2"/>
  <c r="H65" i="2"/>
  <c r="Z64" i="2"/>
  <c r="X64" i="2"/>
  <c r="M64" i="2"/>
  <c r="L64" i="2"/>
  <c r="H64" i="2"/>
  <c r="Z63" i="2"/>
  <c r="X63" i="2"/>
  <c r="M63" i="2"/>
  <c r="L63" i="2"/>
  <c r="H63" i="2"/>
  <c r="Z62" i="2"/>
  <c r="X62" i="2"/>
  <c r="M62" i="2"/>
  <c r="H62" i="2"/>
  <c r="Z61" i="2"/>
  <c r="X61" i="2"/>
  <c r="Z60" i="2"/>
  <c r="X60" i="2"/>
  <c r="O60" i="2"/>
  <c r="M60" i="2"/>
  <c r="H60" i="2"/>
  <c r="Z59" i="2"/>
  <c r="X59" i="2"/>
  <c r="M59" i="2"/>
  <c r="L59" i="2"/>
  <c r="H59" i="2"/>
  <c r="Z58" i="2"/>
  <c r="X58" i="2"/>
  <c r="O58" i="2"/>
  <c r="M58" i="2"/>
  <c r="L58" i="2"/>
  <c r="H58" i="2"/>
  <c r="Z57" i="2"/>
  <c r="X57" i="2"/>
  <c r="M57" i="2"/>
  <c r="Z56" i="2"/>
  <c r="X56" i="2"/>
  <c r="H56" i="2"/>
  <c r="Z55" i="2"/>
  <c r="X55" i="2"/>
  <c r="O55" i="2"/>
  <c r="M55" i="2"/>
  <c r="L55" i="2"/>
  <c r="Z54" i="2"/>
  <c r="X54" i="2"/>
  <c r="H54" i="2"/>
  <c r="Z53" i="2"/>
  <c r="X53" i="2"/>
  <c r="O53" i="2"/>
  <c r="M53" i="2"/>
  <c r="L53" i="2"/>
  <c r="J53" i="2"/>
  <c r="H53" i="2"/>
  <c r="Z52" i="2"/>
  <c r="X52" i="2"/>
  <c r="O52" i="2"/>
  <c r="M52" i="2"/>
  <c r="L52" i="2"/>
  <c r="J52" i="2"/>
  <c r="H52" i="2"/>
  <c r="AA46" i="2"/>
  <c r="Z46" i="2"/>
  <c r="X46" i="2"/>
  <c r="Z45" i="2"/>
  <c r="X45" i="2"/>
  <c r="Z44" i="2"/>
  <c r="X44" i="2"/>
  <c r="Z43" i="2"/>
  <c r="X43" i="2"/>
  <c r="Z42" i="2"/>
  <c r="X42" i="2"/>
  <c r="Z41" i="2"/>
  <c r="X41" i="2"/>
  <c r="Z40" i="2"/>
  <c r="X40" i="2"/>
  <c r="Z39" i="2"/>
  <c r="X39" i="2"/>
  <c r="Z38" i="2"/>
  <c r="X38" i="2"/>
  <c r="Z37" i="2"/>
  <c r="X37" i="2"/>
  <c r="Z36" i="2"/>
  <c r="X36" i="2"/>
  <c r="Z35" i="2"/>
  <c r="X35" i="2"/>
  <c r="Z34" i="2"/>
  <c r="X34" i="2"/>
  <c r="Z33" i="2"/>
  <c r="X33" i="2"/>
  <c r="O33" i="2"/>
  <c r="Z32" i="2"/>
  <c r="X32" i="2"/>
  <c r="M32" i="2"/>
  <c r="Z31" i="2"/>
  <c r="X31" i="2"/>
  <c r="Z30" i="2"/>
  <c r="X30" i="2"/>
  <c r="Z29" i="2"/>
  <c r="X29" i="2"/>
  <c r="Z28" i="2"/>
  <c r="X28" i="2"/>
  <c r="M28" i="2"/>
  <c r="H28" i="2"/>
  <c r="Z27" i="2"/>
  <c r="X27" i="2"/>
  <c r="Z26" i="2"/>
  <c r="X26" i="2"/>
  <c r="Z25" i="2"/>
  <c r="X25" i="2"/>
  <c r="Z24" i="2"/>
  <c r="X24" i="2"/>
  <c r="Z23" i="2"/>
  <c r="X23" i="2"/>
  <c r="Z22" i="2"/>
  <c r="X22" i="2"/>
  <c r="Z21" i="2"/>
  <c r="X21" i="2"/>
  <c r="Z20" i="2"/>
  <c r="X20" i="2"/>
  <c r="Z19" i="2"/>
  <c r="X19" i="2"/>
  <c r="Z18" i="2"/>
  <c r="X18" i="2"/>
  <c r="M18" i="2"/>
  <c r="Z17" i="2"/>
  <c r="X17" i="2"/>
  <c r="Z16" i="2"/>
  <c r="X16" i="2"/>
  <c r="Z15" i="2"/>
  <c r="X15" i="2"/>
  <c r="Z14" i="2"/>
  <c r="X14" i="2"/>
  <c r="Z13" i="2"/>
  <c r="X13" i="2"/>
  <c r="Z12" i="2"/>
  <c r="X12" i="2"/>
  <c r="Z11" i="2"/>
  <c r="X11" i="2"/>
  <c r="Z10" i="2"/>
  <c r="X10" i="2"/>
  <c r="Z9" i="2"/>
  <c r="X9" i="2"/>
  <c r="Z8" i="2"/>
  <c r="X8" i="2"/>
  <c r="H8" i="2"/>
  <c r="Z7" i="2"/>
  <c r="X7" i="2"/>
  <c r="H7" i="2"/>
  <c r="Z6" i="2"/>
  <c r="X6" i="2"/>
  <c r="Z5" i="2"/>
  <c r="X5" i="2"/>
  <c r="D5" i="2"/>
  <c r="Z4" i="2"/>
  <c r="X4" i="2"/>
  <c r="Z3" i="2"/>
  <c r="X3" i="2"/>
  <c r="O3" i="2"/>
  <c r="H3" i="2"/>
  <c r="Z2" i="2"/>
  <c r="X2" i="2"/>
  <c r="M2" i="2"/>
  <c r="H2" i="2"/>
  <c r="X122" i="3"/>
  <c r="Z121" i="3"/>
  <c r="X121" i="3"/>
  <c r="Z120" i="3"/>
  <c r="X120" i="3"/>
  <c r="Z119" i="3"/>
  <c r="X119" i="3"/>
  <c r="Z118" i="3"/>
  <c r="X118" i="3"/>
  <c r="Z117" i="3"/>
  <c r="X117" i="3"/>
  <c r="Z116" i="3"/>
  <c r="X116" i="3"/>
  <c r="X115" i="3"/>
  <c r="X113" i="3"/>
  <c r="Z112" i="3"/>
  <c r="X112" i="3"/>
  <c r="Z111" i="3"/>
  <c r="X111" i="3"/>
  <c r="Z110" i="3"/>
  <c r="X110" i="3"/>
  <c r="Z109" i="3"/>
  <c r="X109" i="3"/>
  <c r="Z108" i="3"/>
  <c r="X108" i="3"/>
  <c r="Z107" i="3"/>
  <c r="X107" i="3"/>
  <c r="X106" i="3"/>
  <c r="X105" i="3"/>
  <c r="Z103" i="3"/>
  <c r="X103" i="3"/>
  <c r="O103" i="3"/>
  <c r="Z102" i="3"/>
  <c r="X102" i="3"/>
  <c r="M102" i="3"/>
  <c r="X101" i="3"/>
  <c r="X100" i="3"/>
  <c r="Z98" i="3"/>
  <c r="X98" i="3"/>
  <c r="Z97" i="3"/>
  <c r="X97" i="3"/>
  <c r="X95" i="3"/>
  <c r="Z93" i="3"/>
  <c r="X93" i="3"/>
  <c r="Z92" i="3"/>
  <c r="X92" i="3"/>
  <c r="O92" i="3"/>
  <c r="X91" i="3"/>
  <c r="Z90" i="3"/>
  <c r="X90" i="3"/>
  <c r="Z89" i="3"/>
  <c r="X89" i="3"/>
  <c r="Z88" i="3"/>
  <c r="X88" i="3"/>
  <c r="Z87" i="3"/>
  <c r="X87" i="3"/>
  <c r="M87" i="3"/>
  <c r="L87" i="3"/>
  <c r="H87" i="3"/>
  <c r="Z86" i="3"/>
  <c r="X86" i="3"/>
  <c r="Z85" i="3"/>
  <c r="X85" i="3"/>
  <c r="M85" i="3"/>
  <c r="L85" i="3"/>
  <c r="H85" i="3"/>
  <c r="Z84" i="3"/>
  <c r="X84" i="3"/>
  <c r="Z83" i="3"/>
  <c r="X83" i="3"/>
  <c r="M83" i="3"/>
  <c r="J83" i="3"/>
  <c r="H83" i="3"/>
  <c r="Z82" i="3"/>
  <c r="X82" i="3"/>
  <c r="M82" i="3"/>
  <c r="Z81" i="3"/>
  <c r="X81" i="3"/>
  <c r="M81" i="3"/>
  <c r="Z80" i="3"/>
  <c r="X80" i="3"/>
  <c r="Z79" i="3"/>
  <c r="X79" i="3"/>
  <c r="H79" i="3"/>
  <c r="Z78" i="3"/>
  <c r="X78" i="3"/>
  <c r="M78" i="3"/>
  <c r="L78" i="3"/>
  <c r="K78" i="3"/>
  <c r="J78" i="3"/>
  <c r="H78" i="3"/>
  <c r="X77" i="3"/>
  <c r="Z76" i="3"/>
  <c r="X76" i="3"/>
  <c r="M76" i="3"/>
  <c r="H76" i="3"/>
  <c r="X75" i="3"/>
  <c r="Z75" i="3" s="1"/>
  <c r="M75" i="3"/>
  <c r="H75" i="3"/>
  <c r="Z74" i="3"/>
  <c r="X74" i="3"/>
  <c r="Z73" i="3"/>
  <c r="X73" i="3"/>
  <c r="Z72" i="3"/>
  <c r="X72" i="3"/>
  <c r="M72" i="3"/>
  <c r="L72" i="3"/>
  <c r="H72" i="3"/>
  <c r="Z71" i="3"/>
  <c r="X71" i="3"/>
  <c r="M71" i="3"/>
  <c r="Z70" i="3"/>
  <c r="X70" i="3"/>
  <c r="M70" i="3"/>
  <c r="H70" i="3"/>
  <c r="X69" i="3"/>
  <c r="Z68" i="3"/>
  <c r="X68" i="3"/>
  <c r="L68" i="3"/>
  <c r="H68" i="3"/>
  <c r="E68" i="3"/>
  <c r="Z67" i="3"/>
  <c r="X67" i="3"/>
  <c r="M67" i="3"/>
  <c r="L67" i="3"/>
  <c r="H67" i="3"/>
  <c r="Z66" i="3"/>
  <c r="X66" i="3"/>
  <c r="M66" i="3"/>
  <c r="L66" i="3"/>
  <c r="H66" i="3"/>
  <c r="X65" i="3"/>
  <c r="Z65" i="3" s="1"/>
  <c r="U65" i="3"/>
  <c r="O65" i="3"/>
  <c r="M65" i="3"/>
  <c r="L65" i="3"/>
  <c r="K65" i="3"/>
  <c r="J65" i="3"/>
  <c r="H65" i="3"/>
  <c r="Z64" i="3"/>
  <c r="X64" i="3"/>
  <c r="M64" i="3"/>
  <c r="L64" i="3"/>
  <c r="H64" i="3"/>
  <c r="E64" i="3"/>
  <c r="S63" i="3"/>
  <c r="M63" i="3"/>
  <c r="L63" i="3"/>
  <c r="H63" i="3"/>
  <c r="Z62" i="3"/>
  <c r="X62" i="3"/>
  <c r="M62" i="3"/>
  <c r="L62" i="3"/>
  <c r="H62" i="3"/>
  <c r="Z61" i="3"/>
  <c r="X61" i="3"/>
  <c r="Z60" i="3"/>
  <c r="X60" i="3"/>
  <c r="M60" i="3"/>
  <c r="L60" i="3"/>
  <c r="H60" i="3"/>
  <c r="Z59" i="3"/>
  <c r="X59" i="3"/>
  <c r="O59" i="3"/>
  <c r="M59" i="3"/>
  <c r="L59" i="3"/>
  <c r="H59" i="3"/>
  <c r="Z58" i="3"/>
  <c r="X58" i="3"/>
  <c r="O58" i="3"/>
  <c r="M58" i="3"/>
  <c r="L58" i="3"/>
  <c r="J58" i="3"/>
  <c r="H58" i="3"/>
  <c r="Z57" i="3"/>
  <c r="X57" i="3"/>
  <c r="M57" i="3"/>
  <c r="Z56" i="3"/>
  <c r="X56" i="3"/>
  <c r="Z55" i="3"/>
  <c r="X55" i="3"/>
  <c r="M55" i="3"/>
  <c r="H55" i="3"/>
  <c r="Z54" i="3"/>
  <c r="X54" i="3"/>
  <c r="X53" i="3"/>
  <c r="Z53" i="3" s="1"/>
  <c r="O53" i="3"/>
  <c r="M53" i="3"/>
  <c r="L53" i="3"/>
  <c r="J53" i="3"/>
  <c r="H53" i="3"/>
  <c r="Z52" i="3"/>
  <c r="X52" i="3"/>
  <c r="O52" i="3"/>
  <c r="M52" i="3"/>
  <c r="L52" i="3"/>
  <c r="K52" i="3"/>
  <c r="J52" i="3"/>
  <c r="H52" i="3"/>
  <c r="AA46" i="3"/>
  <c r="Z45" i="3"/>
  <c r="X45" i="3"/>
  <c r="Z44" i="3"/>
  <c r="X44" i="3"/>
  <c r="Z43" i="3"/>
  <c r="X43" i="3"/>
  <c r="Z42" i="3"/>
  <c r="X42" i="3"/>
  <c r="Z41" i="3"/>
  <c r="X41" i="3"/>
  <c r="Z40" i="3"/>
  <c r="X40" i="3"/>
  <c r="Z39" i="3"/>
  <c r="X39" i="3"/>
  <c r="Z38" i="3"/>
  <c r="X38" i="3"/>
  <c r="Z37" i="3"/>
  <c r="X37" i="3"/>
  <c r="Z36" i="3"/>
  <c r="X36" i="3"/>
  <c r="Z35" i="3"/>
  <c r="X35" i="3"/>
  <c r="Z34" i="3"/>
  <c r="X34" i="3"/>
  <c r="Z33" i="3"/>
  <c r="X33" i="3"/>
  <c r="O33" i="3"/>
  <c r="M33" i="3"/>
  <c r="H33" i="3"/>
  <c r="Z32" i="3"/>
  <c r="X32" i="3"/>
  <c r="M32" i="3"/>
  <c r="H32" i="3"/>
  <c r="Z31" i="3"/>
  <c r="X31" i="3"/>
  <c r="Z30" i="3"/>
  <c r="X30" i="3"/>
  <c r="Z29" i="3"/>
  <c r="X29" i="3"/>
  <c r="Z28" i="3"/>
  <c r="X28" i="3"/>
  <c r="M28" i="3"/>
  <c r="Z27" i="3"/>
  <c r="X27" i="3"/>
  <c r="Z26" i="3"/>
  <c r="X26" i="3"/>
  <c r="Z25" i="3"/>
  <c r="X25" i="3"/>
  <c r="Z24" i="3"/>
  <c r="X24" i="3"/>
  <c r="H24" i="3"/>
  <c r="Z23" i="3"/>
  <c r="X23" i="3"/>
  <c r="Z22" i="3"/>
  <c r="X22" i="3"/>
  <c r="Z21" i="3"/>
  <c r="X21" i="3"/>
  <c r="Z20" i="3"/>
  <c r="X20" i="3"/>
  <c r="Z19" i="3"/>
  <c r="X19" i="3"/>
  <c r="Z18" i="3"/>
  <c r="X18" i="3"/>
  <c r="M18" i="3"/>
  <c r="Z17" i="3"/>
  <c r="X17" i="3"/>
  <c r="Z16" i="3"/>
  <c r="X16" i="3"/>
  <c r="Z15" i="3"/>
  <c r="X15" i="3"/>
  <c r="Z14" i="3"/>
  <c r="X14" i="3"/>
  <c r="Z13" i="3"/>
  <c r="X13" i="3"/>
  <c r="Z12" i="3"/>
  <c r="X12" i="3"/>
  <c r="Z11" i="3"/>
  <c r="X11" i="3"/>
  <c r="Z10" i="3"/>
  <c r="X10" i="3"/>
  <c r="Z9" i="3"/>
  <c r="X9" i="3"/>
  <c r="Z8" i="3"/>
  <c r="X8" i="3"/>
  <c r="H8" i="3"/>
  <c r="Z7" i="3"/>
  <c r="X7" i="3"/>
  <c r="H7" i="3"/>
  <c r="Z6" i="3"/>
  <c r="X6" i="3"/>
  <c r="Z5" i="3"/>
  <c r="X5" i="3"/>
  <c r="D5" i="3"/>
  <c r="O4" i="3"/>
  <c r="M4" i="3"/>
  <c r="Z3" i="3"/>
  <c r="X3" i="3"/>
  <c r="H3" i="3"/>
  <c r="M2" i="3"/>
  <c r="H2" i="3"/>
  <c r="Z2" i="3" l="1"/>
  <c r="Z46" i="3" s="1"/>
  <c r="X46" i="3"/>
</calcChain>
</file>

<file path=xl/comments1.xml><?xml version="1.0" encoding="utf-8"?>
<comments xmlns="http://schemas.openxmlformats.org/spreadsheetml/2006/main">
  <authors>
    <author>crock</author>
    <author>DELL</author>
  </authors>
  <commentList>
    <comment ref="E4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13/5
</t>
        </r>
      </text>
    </comment>
    <comment ref="E33" authorId="1" shapeId="0">
      <text>
        <r>
          <rPr>
            <b/>
            <sz val="9"/>
            <color indexed="81"/>
            <rFont val="Tahoma"/>
            <family val="2"/>
          </rPr>
          <t>PO
21/5</t>
        </r>
      </text>
    </comment>
    <comment ref="E53" authorId="1" shapeId="0">
      <text>
        <r>
          <rPr>
            <b/>
            <sz val="9"/>
            <color indexed="81"/>
            <rFont val="Tahoma"/>
            <charset val="1"/>
          </rPr>
          <t>PO</t>
        </r>
        <r>
          <rPr>
            <sz val="9"/>
            <color indexed="81"/>
            <rFont val="Tahoma"/>
            <charset val="1"/>
          </rPr>
          <t xml:space="preserve">
18/5</t>
        </r>
      </text>
    </comment>
    <comment ref="E58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13/5
</t>
        </r>
      </text>
    </comment>
    <comment ref="E62" authorId="1" shapeId="0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25/5</t>
        </r>
      </text>
    </comment>
    <comment ref="E63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7,16/5
</t>
        </r>
      </text>
    </comment>
    <comment ref="E64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12/5
25/5</t>
        </r>
      </text>
    </comment>
    <comment ref="E65" authorId="1" shapeId="0">
      <text>
        <r>
          <rPr>
            <b/>
            <sz val="9"/>
            <color indexed="81"/>
            <rFont val="Tahoma"/>
            <charset val="1"/>
          </rPr>
          <t>PO:</t>
        </r>
        <r>
          <rPr>
            <sz val="9"/>
            <color indexed="81"/>
            <rFont val="Tahoma"/>
            <charset val="1"/>
          </rPr>
          <t xml:space="preserve">
16/5</t>
        </r>
      </text>
    </comment>
    <comment ref="E68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12/5</t>
        </r>
      </text>
    </comment>
    <comment ref="E70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7/5
25/5</t>
        </r>
      </text>
    </comment>
    <comment ref="E75" authorId="1" shapeId="0">
      <text>
        <r>
          <rPr>
            <b/>
            <sz val="9"/>
            <color indexed="81"/>
            <rFont val="Tahoma"/>
            <charset val="1"/>
          </rPr>
          <t>PO
18/5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76" authorId="1" shapeId="0">
      <text>
        <r>
          <rPr>
            <sz val="9"/>
            <color indexed="81"/>
            <rFont val="Tahoma"/>
          </rPr>
          <t xml:space="preserve">PO
22/5
</t>
        </r>
      </text>
    </comment>
    <comment ref="E81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7/5
</t>
        </r>
      </text>
    </comment>
    <comment ref="E98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7/5
</t>
        </r>
      </text>
    </comment>
  </commentList>
</comments>
</file>

<file path=xl/comments2.xml><?xml version="1.0" encoding="utf-8"?>
<comments xmlns="http://schemas.openxmlformats.org/spreadsheetml/2006/main">
  <authors>
    <author>crock</author>
    <author>DELL</author>
  </authors>
  <commentList>
    <comment ref="E4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13/5
</t>
        </r>
      </text>
    </comment>
    <comment ref="E33" authorId="1" shapeId="0">
      <text>
        <r>
          <rPr>
            <b/>
            <sz val="9"/>
            <color indexed="81"/>
            <rFont val="Tahoma"/>
            <family val="2"/>
          </rPr>
          <t>PO
21/5</t>
        </r>
      </text>
    </comment>
    <comment ref="E53" authorId="1" shapeId="0">
      <text>
        <r>
          <rPr>
            <b/>
            <sz val="9"/>
            <color indexed="81"/>
            <rFont val="Tahoma"/>
            <charset val="1"/>
          </rPr>
          <t>PO</t>
        </r>
        <r>
          <rPr>
            <sz val="9"/>
            <color indexed="81"/>
            <rFont val="Tahoma"/>
            <charset val="1"/>
          </rPr>
          <t xml:space="preserve">
18/5</t>
        </r>
      </text>
    </comment>
    <comment ref="E58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13/5
</t>
        </r>
      </text>
    </comment>
    <comment ref="E63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7,16/5
</t>
        </r>
      </text>
    </comment>
    <comment ref="E64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12/5</t>
        </r>
      </text>
    </comment>
    <comment ref="E65" authorId="1" shapeId="0">
      <text>
        <r>
          <rPr>
            <b/>
            <sz val="9"/>
            <color indexed="81"/>
            <rFont val="Tahoma"/>
            <charset val="1"/>
          </rPr>
          <t>PO:</t>
        </r>
        <r>
          <rPr>
            <sz val="9"/>
            <color indexed="81"/>
            <rFont val="Tahoma"/>
            <charset val="1"/>
          </rPr>
          <t xml:space="preserve">
16/5</t>
        </r>
      </text>
    </comment>
    <comment ref="E68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12/5</t>
        </r>
      </text>
    </comment>
    <comment ref="E70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7/5
</t>
        </r>
      </text>
    </comment>
    <comment ref="E75" authorId="1" shapeId="0">
      <text>
        <r>
          <rPr>
            <b/>
            <sz val="9"/>
            <color indexed="81"/>
            <rFont val="Tahoma"/>
            <charset val="1"/>
          </rPr>
          <t>PO
18/5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76" authorId="1" shapeId="0">
      <text>
        <r>
          <rPr>
            <sz val="9"/>
            <color indexed="81"/>
            <rFont val="Tahoma"/>
          </rPr>
          <t xml:space="preserve">PO
22/5
</t>
        </r>
      </text>
    </comment>
    <comment ref="E81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7/5
</t>
        </r>
      </text>
    </comment>
    <comment ref="E98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7/5
</t>
        </r>
      </text>
    </comment>
  </commentList>
</comments>
</file>

<file path=xl/comments3.xml><?xml version="1.0" encoding="utf-8"?>
<comments xmlns="http://schemas.openxmlformats.org/spreadsheetml/2006/main">
  <authors>
    <author>crock</author>
  </authors>
  <commentList>
    <comment ref="E4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13/5
</t>
        </r>
      </text>
    </comment>
    <comment ref="E58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13/5
</t>
        </r>
      </text>
    </comment>
    <comment ref="E63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7,16/5
</t>
        </r>
      </text>
    </comment>
    <comment ref="E64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12/5</t>
        </r>
      </text>
    </comment>
    <comment ref="E68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12/5</t>
        </r>
      </text>
    </comment>
    <comment ref="E70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7/5
</t>
        </r>
      </text>
    </comment>
    <comment ref="E81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7/5
</t>
        </r>
      </text>
    </comment>
    <comment ref="E98" authorId="0" shapeId="0">
      <text>
        <r>
          <rPr>
            <b/>
            <sz val="9"/>
            <rFont val="Times New Roman"/>
          </rPr>
          <t>crock:</t>
        </r>
        <r>
          <rPr>
            <sz val="9"/>
            <rFont val="Times New Roman"/>
          </rPr>
          <t xml:space="preserve">
7/5
</t>
        </r>
      </text>
    </comment>
  </commentList>
</comments>
</file>

<file path=xl/sharedStrings.xml><?xml version="1.0" encoding="utf-8"?>
<sst xmlns="http://schemas.openxmlformats.org/spreadsheetml/2006/main" count="985" uniqueCount="231">
  <si>
    <t>Kode</t>
  </si>
  <si>
    <t xml:space="preserve">ITEMS </t>
  </si>
  <si>
    <t>Varian</t>
  </si>
  <si>
    <t>SISA STOCK GUDANG ONLINE PER 30.4.2026</t>
  </si>
  <si>
    <t>IN</t>
  </si>
  <si>
    <t>RETUR</t>
  </si>
  <si>
    <t>RETUR DARI CMS</t>
  </si>
  <si>
    <t>TOTAL OUT CRICKET SHOPEE</t>
  </si>
  <si>
    <t>TOTAL OUT  CRICKET TOKPED</t>
  </si>
  <si>
    <t>TOTAL OUT SHOPEE HIMUJI</t>
  </si>
  <si>
    <t>TOTAL OUT TOKPED HIMUJI</t>
  </si>
  <si>
    <t>TOTAL OUT CROCKIE SHOPEE</t>
  </si>
  <si>
    <t>TOTAL OUT  CROCKIE TOKPED</t>
  </si>
  <si>
    <t>TOTAL OUT ICQ TOKPED</t>
  </si>
  <si>
    <t>TOTAL OUT ICQ SHOPEE</t>
  </si>
  <si>
    <t>TOTAL OUT LAOSHAN TOKPED</t>
  </si>
  <si>
    <t>TOTAL OUT LAOSHAN SHOPEE</t>
  </si>
  <si>
    <t>TOTAL OUT LAZADA</t>
  </si>
  <si>
    <t>TOTAL OUT OFFLINE</t>
  </si>
  <si>
    <t>SAMPLE</t>
  </si>
  <si>
    <t>BONUS
(Free Gift)</t>
  </si>
  <si>
    <t>PINDAH STOK SALAH KIRIM/ TUKAR BARANG</t>
  </si>
  <si>
    <t>RECLASS/ADJUST</t>
  </si>
  <si>
    <t>SISA STOCK GUDANG ONLINE</t>
  </si>
  <si>
    <t>FISIK PER 15.5.2026 GUDANG ONLINE</t>
  </si>
  <si>
    <t>SELISIH ( PCS )</t>
  </si>
  <si>
    <t>Note</t>
  </si>
  <si>
    <t>C6(1PCS)</t>
  </si>
  <si>
    <t>CR ORIGINAL - 1PCS</t>
  </si>
  <si>
    <t>Original</t>
  </si>
  <si>
    <t xml:space="preserve">B13/1PCS  </t>
  </si>
  <si>
    <t>CR ORIGINAL MINI - 1PCS</t>
  </si>
  <si>
    <t>Original Mini</t>
  </si>
  <si>
    <t>B7</t>
  </si>
  <si>
    <t>CR HANGER</t>
  </si>
  <si>
    <t>Hanger</t>
  </si>
  <si>
    <t>TOTAL CRICKET PLAIN</t>
  </si>
  <si>
    <t>CR PLAIN MAGNET HITAM HITAM - 1PCS</t>
  </si>
  <si>
    <t>Hitam</t>
  </si>
  <si>
    <t>CR PLAIN MAGNET PINK - 1PCS</t>
  </si>
  <si>
    <t>Putih</t>
  </si>
  <si>
    <t>CR PLAIN MINI PUTIH HITAM - 1PCS</t>
  </si>
  <si>
    <t>Hijau Merah</t>
  </si>
  <si>
    <t>D5(1PCS)</t>
  </si>
  <si>
    <t>CR PLAIN KUNING HITAM - 1PCS</t>
  </si>
  <si>
    <t>Kuning</t>
  </si>
  <si>
    <t>C4(1PCS)</t>
  </si>
  <si>
    <t>CR PLAIN HIJAU BIRU - 1PCS</t>
  </si>
  <si>
    <t>Hijau Biru</t>
  </si>
  <si>
    <t>jadi dihitung 1 plain hijau saja</t>
  </si>
  <si>
    <t>C1(1PCS)</t>
  </si>
  <si>
    <t>CR PLAIN HIJAU COKLAT - 1PCS</t>
  </si>
  <si>
    <t>Hijau Coklat</t>
  </si>
  <si>
    <t>CRICKET SPECIAL EDITION</t>
  </si>
  <si>
    <t>D9(1PCS)</t>
  </si>
  <si>
    <t>CR SERI MINI FLUO - 1PCS</t>
  </si>
  <si>
    <t>Mini Fluo</t>
  </si>
  <si>
    <t>C14(1PCS)</t>
  </si>
  <si>
    <t>CR SERI WHITE &amp; GOLD - 1PCS</t>
  </si>
  <si>
    <t>White &amp; Gold</t>
  </si>
  <si>
    <t>D15(1PCS)</t>
  </si>
  <si>
    <t>CR SERI FUN SKULL - 1PCS</t>
  </si>
  <si>
    <t>Fun Skull</t>
  </si>
  <si>
    <t>D16(1PCS)</t>
  </si>
  <si>
    <t>CR SERI FROSTED ELEKTRIK - 1PCS</t>
  </si>
  <si>
    <t>Frosted Elektrik</t>
  </si>
  <si>
    <t>D13(1PCS)</t>
  </si>
  <si>
    <t>CR SERI FROSTED - 1PCS</t>
  </si>
  <si>
    <t>Frosted</t>
  </si>
  <si>
    <t>C15(1PCS)</t>
  </si>
  <si>
    <t>CR SERI CIRCUS - 1PCS</t>
  </si>
  <si>
    <t>Circus</t>
  </si>
  <si>
    <t>C10(1PCS)</t>
  </si>
  <si>
    <t>CR SERI SUMMER FLUO - 1PCS</t>
  </si>
  <si>
    <t>Summer Fluo</t>
  </si>
  <si>
    <t>D12(1PCS)</t>
  </si>
  <si>
    <t>CR SERI NAVY - 1PCS</t>
  </si>
  <si>
    <t>Navy</t>
  </si>
  <si>
    <t>C13(1PCS)</t>
  </si>
  <si>
    <t>CR SERI PASTEL - 1PCS</t>
  </si>
  <si>
    <t>Pastel</t>
  </si>
  <si>
    <t>D10(1PCS)</t>
  </si>
  <si>
    <t>CR SERI CACTUS - 1PCS</t>
  </si>
  <si>
    <t>Cactus</t>
  </si>
  <si>
    <t>C11(1PCS)</t>
  </si>
  <si>
    <t>CR SERI F CANDY - 1PCS</t>
  </si>
  <si>
    <t>F Candy</t>
  </si>
  <si>
    <t>C12(1PCS)</t>
  </si>
  <si>
    <t>CR SERI F INTENSE - 1PCS</t>
  </si>
  <si>
    <t>F Intense</t>
  </si>
  <si>
    <t>D11(1PCS)</t>
  </si>
  <si>
    <t>CR SERI NOSTALGIA - 1PCS</t>
  </si>
  <si>
    <t>Nostalgia</t>
  </si>
  <si>
    <t>B3/AIR/1PC</t>
  </si>
  <si>
    <t>CR SERI HOLIDAY BREAK - 1PCS</t>
  </si>
  <si>
    <t>Airway</t>
  </si>
  <si>
    <t>B3/SV/1PC</t>
  </si>
  <si>
    <t>CR SERI SEOUL VIBES - 1PCS</t>
  </si>
  <si>
    <t xml:space="preserve">Seoul </t>
  </si>
  <si>
    <t>B4/BTK/1PC</t>
  </si>
  <si>
    <t>CR SERI FOOTBALL - 1PCS</t>
  </si>
  <si>
    <t>Batik</t>
  </si>
  <si>
    <t>-10 rusak</t>
  </si>
  <si>
    <t>B9/FUTU/1P</t>
  </si>
  <si>
    <t>CR SERI FUTURISM - 1PCS</t>
  </si>
  <si>
    <t>Futurism</t>
  </si>
  <si>
    <t>C16/FLUO/1</t>
  </si>
  <si>
    <t>CR SERI FLUO - 1PCS</t>
  </si>
  <si>
    <t>Fluo</t>
  </si>
  <si>
    <t>B10/FOOD/1</t>
  </si>
  <si>
    <t>CR SERI FOOD - 1PCS</t>
  </si>
  <si>
    <t>Food</t>
  </si>
  <si>
    <t>B12(1PCS)</t>
  </si>
  <si>
    <t>CR SERI FLUO ELEKTRIK - 1PCS</t>
  </si>
  <si>
    <t>Fluo Elektrik</t>
  </si>
  <si>
    <t>B11(1PCS)</t>
  </si>
  <si>
    <t>CR SERI FLUO ELEKTRIK MINI - 1PCS</t>
  </si>
  <si>
    <t>Mini Fluo Elektrik</t>
  </si>
  <si>
    <t>DLX/SILVER</t>
  </si>
  <si>
    <t>CR DELUXE - SILVER</t>
  </si>
  <si>
    <t>Silver</t>
  </si>
  <si>
    <t>DLX/ROSE</t>
  </si>
  <si>
    <t>CR DELUXE - ROSE GOLD</t>
  </si>
  <si>
    <t>Rose Gold</t>
  </si>
  <si>
    <t>2 beli rose gold dikirim orange karna stock habis</t>
  </si>
  <si>
    <t>DLX/PURPLE</t>
  </si>
  <si>
    <t>CR DELUXE - PURPLE</t>
  </si>
  <si>
    <t>Iridescent</t>
  </si>
  <si>
    <t>DLX/RED</t>
  </si>
  <si>
    <t>CR DELUXE - RED</t>
  </si>
  <si>
    <t>Red</t>
  </si>
  <si>
    <t>DLX/ORANGE</t>
  </si>
  <si>
    <t>CR DELUXE - ORANGE</t>
  </si>
  <si>
    <t>Orange</t>
  </si>
  <si>
    <t>DLX/GREEN</t>
  </si>
  <si>
    <t>CR DELUXE - GREEN</t>
  </si>
  <si>
    <t>Green</t>
  </si>
  <si>
    <t>C16(BLACK)</t>
  </si>
  <si>
    <t>CR FLEX - BLACK</t>
  </si>
  <si>
    <t>Black</t>
  </si>
  <si>
    <t>C16/YELLOW</t>
  </si>
  <si>
    <t>CR FLEX - YELLOW</t>
  </si>
  <si>
    <t>Yellow</t>
  </si>
  <si>
    <t>C16/BLUE</t>
  </si>
  <si>
    <t>CR FLEX - BLUE</t>
  </si>
  <si>
    <t>Blue</t>
  </si>
  <si>
    <t>C16/RED</t>
  </si>
  <si>
    <t>CR FLEX - RED</t>
  </si>
  <si>
    <t>1 deffect</t>
  </si>
  <si>
    <t>D8(1PCS)</t>
  </si>
  <si>
    <t>CR ELEKTRIK STANDAR - 1PCS</t>
  </si>
  <si>
    <t>8 MM</t>
  </si>
  <si>
    <t>D7(1PCS)</t>
  </si>
  <si>
    <t>CR ELEKTRIK MINI - 1PCS</t>
  </si>
  <si>
    <t>6 MM</t>
  </si>
  <si>
    <t>TOTAL CRICKET</t>
  </si>
  <si>
    <t>CROCKIE</t>
  </si>
  <si>
    <t>CROCKIE ORIGINAL</t>
  </si>
  <si>
    <t>CASE CROCKIE ORIGINAL</t>
  </si>
  <si>
    <t>CROCKIE HITAM POLOS/SERI</t>
  </si>
  <si>
    <t>CROCKIE MAGNET SUPER</t>
  </si>
  <si>
    <t>CROCKIE MAGNET PLAIN WHITE</t>
  </si>
  <si>
    <t>CROCKIE MAGNET PLAIN BLACK</t>
  </si>
  <si>
    <t>CROCKIE BARA TURBO</t>
  </si>
  <si>
    <t>CASE CROCKIE BARA TURBO</t>
  </si>
  <si>
    <t>CROCKIE IDEA</t>
  </si>
  <si>
    <t>CROCKIE FLEXIE</t>
  </si>
  <si>
    <t>Putih Putih</t>
  </si>
  <si>
    <t>CROCKIE FLEXIE WINDPROOF</t>
  </si>
  <si>
    <t>Biru</t>
  </si>
  <si>
    <t>CROCKIE SUPERJET</t>
  </si>
  <si>
    <t>CROCKIE POWERJET</t>
  </si>
  <si>
    <t>Merah Mix</t>
  </si>
  <si>
    <t>CROCKIE GAS BUTANE</t>
  </si>
  <si>
    <t>Merah</t>
  </si>
  <si>
    <t>Crockie Flag Series</t>
  </si>
  <si>
    <t>CROCKIE JETFLIP</t>
  </si>
  <si>
    <t>STANDEE DISPLAY</t>
  </si>
  <si>
    <t>ICQ</t>
  </si>
  <si>
    <t>ICQ ORIE</t>
  </si>
  <si>
    <t>Merah Merah</t>
  </si>
  <si>
    <t>ICQ MAGNET</t>
  </si>
  <si>
    <t>Merah Biru</t>
  </si>
  <si>
    <t>ICQ BARA TURBO</t>
  </si>
  <si>
    <t>Merah Coklat</t>
  </si>
  <si>
    <t>ICQ BARA TURBO HITAM</t>
  </si>
  <si>
    <t>ICQ BARA TURBO PUTIH</t>
  </si>
  <si>
    <t>ICQ MINIE</t>
  </si>
  <si>
    <t>Merah Hijau</t>
  </si>
  <si>
    <t>ICQ CLASSIE</t>
  </si>
  <si>
    <t>Kuning Mix</t>
  </si>
  <si>
    <t>HIMUJI</t>
  </si>
  <si>
    <t>HIMUJI GOMAX</t>
  </si>
  <si>
    <t>HIMUJI MAGSOFT</t>
  </si>
  <si>
    <t>Kuning Merah</t>
  </si>
  <si>
    <t>HIMUJI SERIES</t>
  </si>
  <si>
    <t>HIMUJI GOMAX PLAIN BLACK</t>
  </si>
  <si>
    <t>HIMUJI GOMAX PLAIN WHITE</t>
  </si>
  <si>
    <t>HIMMUJI BARAJET SE</t>
  </si>
  <si>
    <t>Kuning Biru</t>
  </si>
  <si>
    <t>HIMUJI DELUXE GRANDE</t>
  </si>
  <si>
    <t>Kuning Coklat</t>
  </si>
  <si>
    <t>HIMUJI DELUXE AROMA</t>
  </si>
  <si>
    <t>Kuning Hijau</t>
  </si>
  <si>
    <t>HIMUJI BARAJET ULTIMATE</t>
  </si>
  <si>
    <t>Hijau Mix</t>
  </si>
  <si>
    <t>HIMUJI ICONIX</t>
  </si>
  <si>
    <t>Hijau</t>
  </si>
  <si>
    <t>HIMUJI ICONIX SP</t>
  </si>
  <si>
    <t>HIMUJI ONIX SM</t>
  </si>
  <si>
    <t>HIMUJI ONIX XL</t>
  </si>
  <si>
    <t>HIMUJI POMPIPI</t>
  </si>
  <si>
    <t xml:space="preserve">HiMuji Raket Nyamuk 2in1 UV SL100 </t>
  </si>
  <si>
    <t>HiMuji Raket Nyamuk 2in1 UV SL100 FLEX</t>
  </si>
  <si>
    <t>LAOSHAN WATER</t>
  </si>
  <si>
    <t>Oldenlandia herbal sparkling water 1pcs</t>
  </si>
  <si>
    <t>Laoshan sparkling water 1 pcs</t>
  </si>
  <si>
    <t>BLACK HORSE</t>
  </si>
  <si>
    <t xml:space="preserve">Black Horse 727 </t>
  </si>
  <si>
    <t>Black Horse 888</t>
  </si>
  <si>
    <t>CABLE TIES</t>
  </si>
  <si>
    <t>XHD 39 MAGNET SLIM TOSCA</t>
  </si>
  <si>
    <t xml:space="preserve">XHD 88 MAGNET SLIM 5WARNA </t>
  </si>
  <si>
    <t xml:space="preserve">2 X 100 </t>
  </si>
  <si>
    <t>2,5 X 150</t>
  </si>
  <si>
    <t>3,6 X 200</t>
  </si>
  <si>
    <t>3,6 X 250</t>
  </si>
  <si>
    <t>3,6 X 300</t>
  </si>
  <si>
    <t>7,2 X 300</t>
  </si>
  <si>
    <t>FISIK PER 31.3.2026 GUDANG ONLINE</t>
  </si>
  <si>
    <t>-20 rusak ; ada beberapa box baru yang -1 saat buka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</si>
</sst>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164" formatCode="_-* #,##0_-;\-* #,##0_-;_-* &quot;-&quot;_-;_-@_-"/>
    <numFmt numFmtId="165" formatCode="_(* #.##0.00_);_(* \(#.##0.00\);_(* &quot;-&quot;??_);_(@_)"/>
    <numFmt numFmtId="166" formatCode="_(* #,##0_);_(* \(#,##0\);_(* &quot;-&quot;??_);_(@_)"/>
  </numFmts>
  <fonts count="1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indexed="8"/>
      <name val="Calibri"/>
      <charset val="134"/>
      <scheme val="minor"/>
    </font>
    <font>
      <sz val="11"/>
      <name val="Segoe UI"/>
      <charset val="134"/>
    </font>
    <font>
      <sz val="14"/>
      <name val="Segoe UI"/>
      <charset val="134"/>
    </font>
    <font>
      <b/>
      <sz val="9"/>
      <name val="Times New Roman"/>
    </font>
    <font>
      <sz val="9"/>
      <name val="Times New Roman"/>
    </font>
    <font>
      <sz val="11"/>
      <color theme="1"/>
      <name val="Calibri"/>
      <charset val="13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</fonts>
  <fills count="1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0" tint="-0.149876400036622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</borders>
  <cellStyleXfs count="3">
    <xf numFmtId="0" fontId="0" fillId="0" borderId="0">
      <alignment vertical="center"/>
    </xf>
    <xf numFmtId="165" fontId="13" fillId="0" borderId="0" applyFont="0" applyFill="0" applyBorder="0" applyAlignment="0" applyProtection="0"/>
    <xf numFmtId="0" fontId="13" fillId="0" borderId="0"/>
  </cellStyleXfs>
  <cellXfs count="120"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0" fillId="7" borderId="0" xfId="0" applyFill="1" applyAlignment="1"/>
    <xf numFmtId="0" fontId="0" fillId="8" borderId="0" xfId="0" applyFill="1" applyAlignment="1"/>
    <xf numFmtId="0" fontId="0" fillId="0" borderId="0" xfId="0" applyFill="1" applyAlignment="1"/>
    <xf numFmtId="0" fontId="0" fillId="0" borderId="0" xfId="0" applyFont="1" applyFill="1" applyAlignment="1"/>
    <xf numFmtId="0" fontId="1" fillId="0" borderId="0" xfId="0" applyFont="1" applyFill="1" applyAlignment="1"/>
    <xf numFmtId="0" fontId="1" fillId="0" borderId="1" xfId="2" applyFont="1" applyFill="1" applyBorder="1" applyAlignment="1">
      <alignment horizontal="center" vertical="center"/>
    </xf>
    <xf numFmtId="0" fontId="2" fillId="0" borderId="2" xfId="2" applyFont="1" applyFill="1" applyBorder="1" applyAlignment="1">
      <alignment horizontal="center" vertical="center"/>
    </xf>
    <xf numFmtId="0" fontId="3" fillId="0" borderId="2" xfId="2" applyFont="1" applyFill="1" applyBorder="1" applyAlignment="1">
      <alignment horizontal="center" vertical="center" wrapText="1"/>
    </xf>
    <xf numFmtId="0" fontId="1" fillId="0" borderId="2" xfId="2" applyFont="1" applyFill="1" applyBorder="1" applyAlignment="1">
      <alignment horizontal="center" vertical="center" wrapText="1"/>
    </xf>
    <xf numFmtId="0" fontId="2" fillId="0" borderId="2" xfId="2" applyFont="1" applyFill="1" applyBorder="1" applyAlignment="1">
      <alignment horizontal="center" vertical="center" wrapText="1"/>
    </xf>
    <xf numFmtId="0" fontId="2" fillId="9" borderId="2" xfId="2" applyFont="1" applyFill="1" applyBorder="1" applyAlignment="1">
      <alignment horizontal="center" vertical="center" wrapText="1"/>
    </xf>
    <xf numFmtId="14" fontId="2" fillId="0" borderId="2" xfId="2" applyNumberFormat="1" applyFont="1" applyFill="1" applyBorder="1" applyAlignment="1">
      <alignment horizontal="center" vertical="center" wrapText="1"/>
    </xf>
    <xf numFmtId="14" fontId="2" fillId="0" borderId="2" xfId="1" applyNumberFormat="1" applyFont="1" applyFill="1" applyBorder="1" applyAlignment="1">
      <alignment horizontal="center" vertical="center" wrapText="1"/>
    </xf>
    <xf numFmtId="3" fontId="2" fillId="0" borderId="1" xfId="1" applyNumberFormat="1" applyFont="1" applyFill="1" applyBorder="1" applyAlignment="1">
      <alignment horizontal="center" vertical="center" wrapText="1"/>
    </xf>
    <xf numFmtId="14" fontId="2" fillId="0" borderId="2" xfId="1" applyNumberFormat="1" applyFont="1" applyFill="1" applyBorder="1" applyAlignment="1">
      <alignment horizontal="center" vertical="center"/>
    </xf>
    <xf numFmtId="0" fontId="2" fillId="0" borderId="1" xfId="2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 applyProtection="1">
      <alignment horizontal="left" vertical="center" wrapText="1"/>
      <protection locked="0"/>
    </xf>
    <xf numFmtId="166" fontId="2" fillId="0" borderId="1" xfId="1" applyNumberFormat="1" applyFont="1" applyFill="1" applyBorder="1" applyAlignment="1">
      <alignment vertical="center"/>
    </xf>
    <xf numFmtId="166" fontId="1" fillId="0" borderId="1" xfId="2" applyNumberFormat="1" applyFont="1" applyFill="1" applyBorder="1" applyAlignment="1">
      <alignment vertical="center"/>
    </xf>
    <xf numFmtId="41" fontId="1" fillId="0" borderId="1" xfId="2" applyNumberFormat="1" applyFont="1" applyFill="1" applyBorder="1" applyAlignment="1">
      <alignment horizontal="center" vertical="center"/>
    </xf>
    <xf numFmtId="41" fontId="1" fillId="0" borderId="1" xfId="2" applyNumberFormat="1" applyFont="1" applyFill="1" applyBorder="1" applyAlignment="1">
      <alignment vertical="center"/>
    </xf>
    <xf numFmtId="166" fontId="1" fillId="0" borderId="1" xfId="0" applyNumberFormat="1" applyFont="1" applyFill="1" applyBorder="1" applyAlignment="1"/>
    <xf numFmtId="166" fontId="1" fillId="0" borderId="1" xfId="1" applyNumberFormat="1" applyFont="1" applyFill="1" applyBorder="1" applyAlignment="1">
      <alignment vertical="center"/>
    </xf>
    <xf numFmtId="0" fontId="1" fillId="0" borderId="1" xfId="2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 applyProtection="1">
      <alignment horizontal="left" vertical="center" wrapText="1"/>
      <protection locked="0"/>
    </xf>
    <xf numFmtId="41" fontId="2" fillId="4" borderId="1" xfId="2" applyNumberFormat="1" applyFont="1" applyFill="1" applyBorder="1" applyAlignment="1">
      <alignment vertical="center"/>
    </xf>
    <xf numFmtId="41" fontId="1" fillId="4" borderId="1" xfId="2" applyNumberFormat="1" applyFont="1" applyFill="1" applyBorder="1" applyAlignment="1">
      <alignment vertical="center"/>
    </xf>
    <xf numFmtId="166" fontId="1" fillId="4" borderId="1" xfId="2" applyNumberFormat="1" applyFont="1" applyFill="1" applyBorder="1" applyAlignment="1">
      <alignment vertical="center"/>
    </xf>
    <xf numFmtId="166" fontId="2" fillId="0" borderId="1" xfId="2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2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166" fontId="2" fillId="4" borderId="1" xfId="2" applyNumberFormat="1" applyFont="1" applyFill="1" applyBorder="1" applyAlignment="1">
      <alignment vertical="center"/>
    </xf>
    <xf numFmtId="166" fontId="1" fillId="4" borderId="3" xfId="1" applyNumberFormat="1" applyFont="1" applyFill="1" applyBorder="1" applyAlignment="1">
      <alignment vertical="center"/>
    </xf>
    <xf numFmtId="166" fontId="2" fillId="4" borderId="4" xfId="2" applyNumberFormat="1" applyFont="1" applyFill="1" applyBorder="1" applyAlignment="1">
      <alignment vertical="center"/>
    </xf>
    <xf numFmtId="166" fontId="1" fillId="0" borderId="1" xfId="2" applyNumberFormat="1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left" vertical="center"/>
    </xf>
    <xf numFmtId="166" fontId="1" fillId="10" borderId="1" xfId="1" applyNumberFormat="1" applyFont="1" applyFill="1" applyBorder="1" applyAlignment="1">
      <alignment vertical="center"/>
    </xf>
    <xf numFmtId="166" fontId="2" fillId="10" borderId="1" xfId="1" applyNumberFormat="1" applyFont="1" applyFill="1" applyBorder="1" applyAlignment="1">
      <alignment vertical="center"/>
    </xf>
    <xf numFmtId="41" fontId="1" fillId="10" borderId="1" xfId="2" applyNumberFormat="1" applyFont="1" applyFill="1" applyBorder="1" applyAlignment="1">
      <alignment vertical="center"/>
    </xf>
    <xf numFmtId="3" fontId="1" fillId="10" borderId="1" xfId="2" applyNumberFormat="1" applyFont="1" applyFill="1" applyBorder="1" applyAlignment="1">
      <alignment vertical="center"/>
    </xf>
    <xf numFmtId="166" fontId="2" fillId="10" borderId="1" xfId="2" applyNumberFormat="1" applyFont="1" applyFill="1" applyBorder="1" applyAlignment="1">
      <alignment vertical="center"/>
    </xf>
    <xf numFmtId="0" fontId="1" fillId="10" borderId="1" xfId="1" applyNumberFormat="1" applyFont="1" applyFill="1" applyBorder="1" applyAlignment="1">
      <alignment vertical="center"/>
    </xf>
    <xf numFmtId="0" fontId="2" fillId="10" borderId="1" xfId="1" applyNumberFormat="1" applyFont="1" applyFill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0" fontId="6" fillId="7" borderId="6" xfId="0" applyFont="1" applyFill="1" applyBorder="1" applyAlignment="1">
      <alignment horizontal="left" vertical="center"/>
    </xf>
    <xf numFmtId="166" fontId="2" fillId="7" borderId="3" xfId="1" applyNumberFormat="1" applyFont="1" applyFill="1" applyBorder="1" applyAlignment="1">
      <alignment vertical="center"/>
    </xf>
    <xf numFmtId="166" fontId="1" fillId="7" borderId="3" xfId="1" applyNumberFormat="1" applyFont="1" applyFill="1" applyBorder="1" applyAlignment="1">
      <alignment vertical="center"/>
    </xf>
    <xf numFmtId="166" fontId="0" fillId="0" borderId="0" xfId="0" applyNumberFormat="1" applyFill="1" applyAlignment="1"/>
    <xf numFmtId="166" fontId="1" fillId="0" borderId="0" xfId="0" applyNumberFormat="1" applyFont="1" applyFill="1" applyAlignment="1"/>
    <xf numFmtId="166" fontId="0" fillId="2" borderId="0" xfId="0" applyNumberFormat="1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166" fontId="1" fillId="2" borderId="0" xfId="0" applyNumberFormat="1" applyFont="1" applyFill="1" applyAlignment="1"/>
    <xf numFmtId="0" fontId="7" fillId="3" borderId="0" xfId="0" applyFont="1" applyFill="1" applyAlignment="1">
      <alignment vertical="center"/>
    </xf>
    <xf numFmtId="0" fontId="0" fillId="3" borderId="0" xfId="0" applyFont="1" applyFill="1" applyAlignment="1"/>
    <xf numFmtId="0" fontId="1" fillId="3" borderId="0" xfId="0" applyFont="1" applyFill="1" applyAlignment="1"/>
    <xf numFmtId="41" fontId="1" fillId="0" borderId="1" xfId="2" applyNumberFormat="1" applyFont="1" applyFill="1" applyBorder="1" applyAlignment="1">
      <alignment vertical="center" wrapText="1"/>
    </xf>
    <xf numFmtId="164" fontId="1" fillId="0" borderId="1" xfId="2" applyNumberFormat="1" applyFont="1" applyFill="1" applyBorder="1" applyAlignment="1">
      <alignment vertical="center"/>
    </xf>
    <xf numFmtId="3" fontId="1" fillId="0" borderId="1" xfId="2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166" fontId="1" fillId="4" borderId="1" xfId="0" applyNumberFormat="1" applyFont="1" applyFill="1" applyBorder="1" applyAlignment="1"/>
    <xf numFmtId="164" fontId="1" fillId="4" borderId="1" xfId="2" applyNumberFormat="1" applyFont="1" applyFill="1" applyBorder="1" applyAlignment="1">
      <alignment vertical="center"/>
    </xf>
    <xf numFmtId="166" fontId="1" fillId="4" borderId="1" xfId="1" applyNumberFormat="1" applyFont="1" applyFill="1" applyBorder="1" applyAlignment="1">
      <alignment vertical="center"/>
    </xf>
    <xf numFmtId="0" fontId="1" fillId="4" borderId="1" xfId="2" applyFont="1" applyFill="1" applyBorder="1" applyAlignment="1">
      <alignment vertical="center"/>
    </xf>
    <xf numFmtId="166" fontId="2" fillId="4" borderId="1" xfId="1" applyNumberFormat="1" applyFont="1" applyFill="1" applyBorder="1" applyAlignment="1">
      <alignment vertical="center"/>
    </xf>
    <xf numFmtId="164" fontId="2" fillId="4" borderId="1" xfId="2" applyNumberFormat="1" applyFont="1" applyFill="1" applyBorder="1" applyAlignment="1">
      <alignment vertical="center"/>
    </xf>
    <xf numFmtId="41" fontId="2" fillId="0" borderId="1" xfId="2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64" fontId="1" fillId="0" borderId="1" xfId="2" applyNumberFormat="1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vertical="center"/>
    </xf>
    <xf numFmtId="49" fontId="1" fillId="5" borderId="1" xfId="0" applyNumberFormat="1" applyFont="1" applyFill="1" applyBorder="1" applyAlignment="1" applyProtection="1">
      <alignment horizontal="left" vertical="center" wrapText="1"/>
      <protection locked="0"/>
    </xf>
    <xf numFmtId="3" fontId="1" fillId="5" borderId="1" xfId="2" applyNumberFormat="1" applyFont="1" applyFill="1" applyBorder="1" applyAlignment="1">
      <alignment vertical="center"/>
    </xf>
    <xf numFmtId="166" fontId="1" fillId="5" borderId="1" xfId="2" applyNumberFormat="1" applyFont="1" applyFill="1" applyBorder="1" applyAlignment="1">
      <alignment vertical="center"/>
    </xf>
    <xf numFmtId="41" fontId="1" fillId="5" borderId="1" xfId="2" applyNumberFormat="1" applyFont="1" applyFill="1" applyBorder="1" applyAlignment="1">
      <alignment vertical="center"/>
    </xf>
    <xf numFmtId="166" fontId="2" fillId="5" borderId="1" xfId="1" applyNumberFormat="1" applyFont="1" applyFill="1" applyBorder="1" applyAlignment="1">
      <alignment vertical="center"/>
    </xf>
    <xf numFmtId="166" fontId="1" fillId="5" borderId="1" xfId="1" applyNumberFormat="1" applyFont="1" applyFill="1" applyBorder="1" applyAlignment="1">
      <alignment vertical="center"/>
    </xf>
    <xf numFmtId="0" fontId="9" fillId="0" borderId="8" xfId="2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10" fillId="6" borderId="8" xfId="2" applyFont="1" applyFill="1" applyBorder="1" applyAlignment="1">
      <alignment vertical="center"/>
    </xf>
    <xf numFmtId="49" fontId="1" fillId="6" borderId="1" xfId="0" applyNumberFormat="1" applyFont="1" applyFill="1" applyBorder="1" applyAlignment="1" applyProtection="1">
      <alignment horizontal="left" vertical="center" wrapText="1"/>
      <protection locked="0"/>
    </xf>
    <xf numFmtId="3" fontId="1" fillId="6" borderId="1" xfId="2" applyNumberFormat="1" applyFont="1" applyFill="1" applyBorder="1" applyAlignment="1">
      <alignment vertical="center"/>
    </xf>
    <xf numFmtId="166" fontId="1" fillId="6" borderId="1" xfId="2" applyNumberFormat="1" applyFont="1" applyFill="1" applyBorder="1" applyAlignment="1">
      <alignment vertical="center"/>
    </xf>
    <xf numFmtId="41" fontId="1" fillId="6" borderId="1" xfId="2" applyNumberFormat="1" applyFont="1" applyFill="1" applyBorder="1" applyAlignment="1">
      <alignment vertical="center"/>
    </xf>
    <xf numFmtId="166" fontId="2" fillId="6" borderId="1" xfId="1" applyNumberFormat="1" applyFont="1" applyFill="1" applyBorder="1" applyAlignment="1">
      <alignment vertical="center"/>
    </xf>
    <xf numFmtId="166" fontId="1" fillId="6" borderId="1" xfId="1" applyNumberFormat="1" applyFont="1" applyFill="1" applyBorder="1" applyAlignment="1">
      <alignment vertical="center"/>
    </xf>
    <xf numFmtId="0" fontId="9" fillId="5" borderId="8" xfId="2" applyFont="1" applyFill="1" applyBorder="1" applyAlignment="1">
      <alignment vertical="center"/>
    </xf>
    <xf numFmtId="0" fontId="9" fillId="0" borderId="7" xfId="2" applyFont="1" applyFill="1" applyBorder="1" applyAlignment="1">
      <alignment vertical="center"/>
    </xf>
    <xf numFmtId="0" fontId="9" fillId="0" borderId="1" xfId="2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166" fontId="1" fillId="7" borderId="1" xfId="0" applyNumberFormat="1" applyFont="1" applyFill="1" applyBorder="1" applyAlignment="1"/>
    <xf numFmtId="166" fontId="1" fillId="7" borderId="1" xfId="2" applyNumberFormat="1" applyFont="1" applyFill="1" applyBorder="1" applyAlignment="1">
      <alignment vertical="center"/>
    </xf>
    <xf numFmtId="41" fontId="1" fillId="7" borderId="1" xfId="2" applyNumberFormat="1" applyFont="1" applyFill="1" applyBorder="1" applyAlignment="1">
      <alignment vertical="center"/>
    </xf>
    <xf numFmtId="166" fontId="2" fillId="7" borderId="1" xfId="2" applyNumberFormat="1" applyFont="1" applyFill="1" applyBorder="1" applyAlignment="1">
      <alignment vertical="center"/>
    </xf>
    <xf numFmtId="166" fontId="1" fillId="7" borderId="1" xfId="1" applyNumberFormat="1" applyFont="1" applyFill="1" applyBorder="1" applyAlignment="1">
      <alignment vertical="center"/>
    </xf>
    <xf numFmtId="0" fontId="4" fillId="8" borderId="1" xfId="0" applyFont="1" applyFill="1" applyBorder="1" applyAlignment="1">
      <alignment horizontal="left" vertical="center"/>
    </xf>
    <xf numFmtId="0" fontId="10" fillId="8" borderId="8" xfId="2" applyFont="1" applyFill="1" applyBorder="1" applyAlignment="1">
      <alignment vertical="center"/>
    </xf>
    <xf numFmtId="49" fontId="1" fillId="8" borderId="1" xfId="0" applyNumberFormat="1" applyFont="1" applyFill="1" applyBorder="1" applyAlignment="1" applyProtection="1">
      <alignment horizontal="left" vertical="center" wrapText="1"/>
      <protection locked="0"/>
    </xf>
    <xf numFmtId="41" fontId="1" fillId="8" borderId="1" xfId="2" applyNumberFormat="1" applyFont="1" applyFill="1" applyBorder="1" applyAlignment="1">
      <alignment vertical="center"/>
    </xf>
    <xf numFmtId="166" fontId="1" fillId="8" borderId="1" xfId="2" applyNumberFormat="1" applyFont="1" applyFill="1" applyBorder="1" applyAlignment="1">
      <alignment vertical="center"/>
    </xf>
    <xf numFmtId="166" fontId="2" fillId="8" borderId="1" xfId="1" applyNumberFormat="1" applyFont="1" applyFill="1" applyBorder="1" applyAlignment="1">
      <alignment vertical="center"/>
    </xf>
    <xf numFmtId="3" fontId="1" fillId="8" borderId="1" xfId="2" applyNumberFormat="1" applyFont="1" applyFill="1" applyBorder="1" applyAlignment="1">
      <alignment vertical="center"/>
    </xf>
    <xf numFmtId="166" fontId="1" fillId="8" borderId="1" xfId="1" applyNumberFormat="1" applyFont="1" applyFill="1" applyBorder="1" applyAlignment="1">
      <alignment vertical="center"/>
    </xf>
    <xf numFmtId="166" fontId="2" fillId="7" borderId="1" xfId="1" applyNumberFormat="1" applyFont="1" applyFill="1" applyBorder="1" applyAlignment="1">
      <alignment vertical="center"/>
    </xf>
    <xf numFmtId="166" fontId="1" fillId="0" borderId="1" xfId="1" quotePrefix="1" applyNumberFormat="1" applyFont="1" applyFill="1" applyBorder="1" applyAlignment="1">
      <alignment vertical="center"/>
    </xf>
  </cellXfs>
  <cellStyles count="3">
    <cellStyle name="Comma 2" xfId="1"/>
    <cellStyle name="Normal" xfId="0" builtinId="0"/>
    <cellStyle name="Normal 2" xfId="2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22"/>
  <sheetViews>
    <sheetView tabSelected="1" zoomScale="85" zoomScaleNormal="85" workbookViewId="0">
      <pane xSplit="3" ySplit="1" topLeftCell="D2" activePane="bottomRight" state="frozen"/>
      <selection pane="topRight"/>
      <selection pane="bottomLeft"/>
      <selection pane="bottomRight" activeCell="H4" sqref="H4"/>
    </sheetView>
  </sheetViews>
  <sheetFormatPr defaultColWidth="9" defaultRowHeight="15"/>
  <cols>
    <col min="1" max="1" width="12" style="9" customWidth="1"/>
    <col min="2" max="2" width="41" style="9" customWidth="1"/>
    <col min="3" max="3" width="15" style="9" hidden="1" customWidth="1"/>
    <col min="4" max="4" width="16.5703125" style="9" customWidth="1"/>
    <col min="5" max="5" width="10.85546875" style="10" customWidth="1"/>
    <col min="6" max="6" width="6.7109375" style="9" customWidth="1"/>
    <col min="7" max="7" width="6.7109375" style="9" hidden="1" customWidth="1"/>
    <col min="8" max="8" width="12.42578125" style="9" customWidth="1"/>
    <col min="9" max="9" width="11.7109375" style="9" hidden="1" customWidth="1"/>
    <col min="10" max="13" width="11.7109375" style="9" customWidth="1"/>
    <col min="14" max="14" width="11.7109375" style="9" hidden="1" customWidth="1"/>
    <col min="15" max="19" width="11.7109375" style="9" customWidth="1"/>
    <col min="20" max="21" width="10.85546875" style="9" customWidth="1"/>
    <col min="22" max="22" width="17.42578125" style="9" customWidth="1"/>
    <col min="23" max="23" width="8.85546875" style="11" customWidth="1"/>
    <col min="24" max="24" width="18.5703125" style="9" customWidth="1"/>
    <col min="25" max="25" width="18.85546875" style="11" customWidth="1"/>
    <col min="26" max="26" width="13.42578125" style="11" customWidth="1"/>
    <col min="27" max="27" width="47.85546875" style="11" customWidth="1"/>
    <col min="28" max="28" width="31.140625" style="9" hidden="1" customWidth="1"/>
    <col min="29" max="29" width="9" style="9" hidden="1" customWidth="1"/>
    <col min="30" max="30" width="9.7109375" style="9" hidden="1" customWidth="1"/>
    <col min="31" max="16384" width="9" style="9"/>
  </cols>
  <sheetData>
    <row r="1" spans="1:28" s="1" customFormat="1" ht="45" customHeight="1">
      <c r="A1" s="12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9" t="s">
        <v>23</v>
      </c>
      <c r="Y1" s="20" t="s">
        <v>24</v>
      </c>
      <c r="Z1" s="21" t="s">
        <v>25</v>
      </c>
      <c r="AA1" s="21" t="s">
        <v>26</v>
      </c>
      <c r="AB1" s="22"/>
    </row>
    <row r="2" spans="1:28">
      <c r="A2" s="23" t="s">
        <v>27</v>
      </c>
      <c r="B2" s="24" t="s">
        <v>28</v>
      </c>
      <c r="C2" s="25" t="s">
        <v>29</v>
      </c>
      <c r="D2" s="26">
        <v>91</v>
      </c>
      <c r="E2" s="27"/>
      <c r="F2" s="27"/>
      <c r="G2" s="27"/>
      <c r="H2" s="28">
        <f>118+300</f>
        <v>418</v>
      </c>
      <c r="I2" s="29"/>
      <c r="J2" s="29"/>
      <c r="K2" s="29"/>
      <c r="L2" s="29"/>
      <c r="M2" s="29">
        <f>36+70+100</f>
        <v>206</v>
      </c>
      <c r="N2" s="29"/>
      <c r="O2" s="29"/>
      <c r="P2" s="29"/>
      <c r="Q2" s="29"/>
      <c r="R2" s="29"/>
      <c r="S2" s="29">
        <f>150</f>
        <v>150</v>
      </c>
      <c r="T2" s="29"/>
      <c r="U2" s="29"/>
      <c r="V2" s="29"/>
      <c r="W2" s="29">
        <f>100+300+200+200</f>
        <v>800</v>
      </c>
      <c r="X2" s="26">
        <f t="shared" ref="X2:X11" si="0">D2+E2+F2+G2-Q2-P2-N2-M2-L2-J2-O2-H2-I2-K2-R2-S2-T2-U2-V2+W2</f>
        <v>117</v>
      </c>
      <c r="Y2" s="30"/>
      <c r="Z2" s="26">
        <f t="shared" ref="Z2:Z11" si="1">Y2-X2</f>
        <v>-117</v>
      </c>
      <c r="AA2" s="31"/>
      <c r="AB2" s="27"/>
    </row>
    <row r="3" spans="1:28">
      <c r="A3" s="23" t="s">
        <v>30</v>
      </c>
      <c r="B3" s="24" t="s">
        <v>31</v>
      </c>
      <c r="C3" s="25" t="s">
        <v>32</v>
      </c>
      <c r="D3" s="26">
        <v>3305</v>
      </c>
      <c r="E3" s="27"/>
      <c r="F3" s="27"/>
      <c r="G3" s="27"/>
      <c r="H3" s="29">
        <f>450+1050</f>
        <v>1500</v>
      </c>
      <c r="I3" s="29"/>
      <c r="J3" s="29"/>
      <c r="K3" s="29"/>
      <c r="L3" s="29">
        <f>50</f>
        <v>50</v>
      </c>
      <c r="M3" s="29">
        <f>145+200</f>
        <v>345</v>
      </c>
      <c r="N3" s="29"/>
      <c r="O3" s="29">
        <f>40</f>
        <v>40</v>
      </c>
      <c r="P3" s="29"/>
      <c r="Q3" s="29"/>
      <c r="R3" s="29">
        <f>5</f>
        <v>5</v>
      </c>
      <c r="S3" s="29"/>
      <c r="T3" s="29"/>
      <c r="U3" s="29"/>
      <c r="V3" s="29"/>
      <c r="W3" s="29"/>
      <c r="X3" s="26">
        <f t="shared" si="0"/>
        <v>1365</v>
      </c>
      <c r="Y3" s="30"/>
      <c r="Z3" s="26">
        <f t="shared" si="1"/>
        <v>-1365</v>
      </c>
      <c r="AA3" s="31"/>
      <c r="AB3" s="27"/>
    </row>
    <row r="4" spans="1:28">
      <c r="A4" s="23" t="s">
        <v>33</v>
      </c>
      <c r="B4" s="24" t="s">
        <v>34</v>
      </c>
      <c r="C4" s="25" t="s">
        <v>35</v>
      </c>
      <c r="D4" s="26">
        <v>1120</v>
      </c>
      <c r="E4" s="27">
        <v>2500</v>
      </c>
      <c r="F4" s="27"/>
      <c r="G4" s="27"/>
      <c r="H4" s="29">
        <f>580</f>
        <v>580</v>
      </c>
      <c r="I4" s="29"/>
      <c r="J4" s="29"/>
      <c r="K4" s="29"/>
      <c r="L4" s="29">
        <f>10</f>
        <v>10</v>
      </c>
      <c r="M4" s="29">
        <f>90</f>
        <v>90</v>
      </c>
      <c r="N4" s="29"/>
      <c r="O4" s="29">
        <f>20</f>
        <v>20</v>
      </c>
      <c r="P4" s="29"/>
      <c r="Q4" s="29"/>
      <c r="R4" s="29">
        <f>10</f>
        <v>10</v>
      </c>
      <c r="S4" s="29"/>
      <c r="T4" s="29"/>
      <c r="U4" s="29"/>
      <c r="V4" s="29"/>
      <c r="W4" s="29">
        <f>-100+-300+-200+-200</f>
        <v>-800</v>
      </c>
      <c r="X4" s="26">
        <f t="shared" si="0"/>
        <v>2110</v>
      </c>
      <c r="Y4" s="30"/>
      <c r="Z4" s="26">
        <f t="shared" si="1"/>
        <v>-2110</v>
      </c>
      <c r="AA4" s="31"/>
      <c r="AB4" s="27"/>
    </row>
    <row r="5" spans="1:28">
      <c r="A5" s="32"/>
      <c r="B5" s="33" t="s">
        <v>36</v>
      </c>
      <c r="C5" s="34"/>
      <c r="D5" s="35">
        <f>SUM(D9+D11)</f>
        <v>82</v>
      </c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>
        <f>SUM(X6:X11)</f>
        <v>871</v>
      </c>
      <c r="Y5" s="35"/>
      <c r="Z5" s="35">
        <f>SUM(Z6:Z11)</f>
        <v>-871</v>
      </c>
      <c r="AA5" s="36"/>
      <c r="AB5" s="37"/>
    </row>
    <row r="6" spans="1:28">
      <c r="A6" s="23"/>
      <c r="B6" s="24" t="s">
        <v>37</v>
      </c>
      <c r="C6" s="25" t="s">
        <v>38</v>
      </c>
      <c r="D6" s="26">
        <v>300</v>
      </c>
      <c r="E6" s="27"/>
      <c r="F6" s="27"/>
      <c r="G6" s="27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7"/>
      <c r="X6" s="26">
        <f t="shared" si="0"/>
        <v>300</v>
      </c>
      <c r="Y6" s="30"/>
      <c r="Z6" s="38">
        <f t="shared" si="1"/>
        <v>-300</v>
      </c>
      <c r="AA6" s="31"/>
      <c r="AB6" s="27"/>
    </row>
    <row r="7" spans="1:28">
      <c r="A7" s="23"/>
      <c r="B7" s="24" t="s">
        <v>39</v>
      </c>
      <c r="C7" s="25" t="s">
        <v>40</v>
      </c>
      <c r="D7" s="26">
        <v>297</v>
      </c>
      <c r="E7" s="27"/>
      <c r="F7" s="27"/>
      <c r="G7" s="27"/>
      <c r="H7" s="29">
        <f>12</f>
        <v>12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7"/>
      <c r="X7" s="26">
        <f t="shared" si="0"/>
        <v>285</v>
      </c>
      <c r="Y7" s="30"/>
      <c r="Z7" s="38">
        <f t="shared" si="1"/>
        <v>-285</v>
      </c>
      <c r="AA7" s="31"/>
      <c r="AB7" s="27"/>
    </row>
    <row r="8" spans="1:28">
      <c r="A8" s="23"/>
      <c r="B8" s="24" t="s">
        <v>41</v>
      </c>
      <c r="C8" s="39" t="s">
        <v>42</v>
      </c>
      <c r="D8" s="26">
        <v>292</v>
      </c>
      <c r="E8" s="27"/>
      <c r="F8" s="27"/>
      <c r="G8" s="27"/>
      <c r="H8" s="29">
        <f>4</f>
        <v>4</v>
      </c>
      <c r="I8" s="29"/>
      <c r="J8" s="29"/>
      <c r="K8" s="29"/>
      <c r="L8" s="29"/>
      <c r="M8" s="29">
        <f>1+2</f>
        <v>3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6">
        <f t="shared" si="0"/>
        <v>285</v>
      </c>
      <c r="Y8" s="30"/>
      <c r="Z8" s="26">
        <f t="shared" si="1"/>
        <v>-285</v>
      </c>
      <c r="AA8" s="31"/>
      <c r="AB8" s="27"/>
    </row>
    <row r="9" spans="1:28">
      <c r="A9" s="23" t="s">
        <v>43</v>
      </c>
      <c r="B9" s="24" t="s">
        <v>44</v>
      </c>
      <c r="C9" s="25" t="s">
        <v>45</v>
      </c>
      <c r="D9" s="26">
        <v>1</v>
      </c>
      <c r="E9" s="27"/>
      <c r="F9" s="27"/>
      <c r="G9" s="27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6">
        <f t="shared" si="0"/>
        <v>1</v>
      </c>
      <c r="Y9" s="30"/>
      <c r="Z9" s="26">
        <f t="shared" si="1"/>
        <v>-1</v>
      </c>
      <c r="AA9" s="31"/>
      <c r="AB9" s="27"/>
    </row>
    <row r="10" spans="1:28" hidden="1">
      <c r="A10" s="23" t="s">
        <v>46</v>
      </c>
      <c r="B10" s="24" t="s">
        <v>47</v>
      </c>
      <c r="C10" s="39" t="s">
        <v>48</v>
      </c>
      <c r="D10" s="26"/>
      <c r="E10" s="27"/>
      <c r="F10" s="27"/>
      <c r="G10" s="27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6">
        <f t="shared" si="0"/>
        <v>0</v>
      </c>
      <c r="Y10" s="30"/>
      <c r="Z10" s="26">
        <f t="shared" si="1"/>
        <v>0</v>
      </c>
      <c r="AA10" s="31" t="s">
        <v>49</v>
      </c>
      <c r="AB10" s="27"/>
    </row>
    <row r="11" spans="1:28">
      <c r="A11" s="23" t="s">
        <v>50</v>
      </c>
      <c r="B11" s="24" t="s">
        <v>51</v>
      </c>
      <c r="C11" s="39" t="s">
        <v>52</v>
      </c>
      <c r="D11" s="26">
        <v>81</v>
      </c>
      <c r="E11" s="27"/>
      <c r="F11" s="27"/>
      <c r="G11" s="27"/>
      <c r="H11" s="29">
        <f>30+50</f>
        <v>80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>
        <f>1</f>
        <v>1</v>
      </c>
      <c r="T11" s="29"/>
      <c r="U11" s="29"/>
      <c r="V11" s="29"/>
      <c r="W11" s="29"/>
      <c r="X11" s="26">
        <f t="shared" si="0"/>
        <v>0</v>
      </c>
      <c r="Y11" s="30"/>
      <c r="Z11" s="26">
        <f t="shared" si="1"/>
        <v>0</v>
      </c>
      <c r="AA11" s="31"/>
      <c r="AB11" s="27"/>
    </row>
    <row r="12" spans="1:28">
      <c r="A12" s="40"/>
      <c r="B12" s="33" t="s">
        <v>53</v>
      </c>
      <c r="C12" s="41"/>
      <c r="D12" s="42">
        <v>19742</v>
      </c>
      <c r="E12" s="37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>
        <f>SUM(X13:X43)</f>
        <v>15668</v>
      </c>
      <c r="Y12" s="42"/>
      <c r="Z12" s="42">
        <f>SUM(Z13:Z43)</f>
        <v>-15668</v>
      </c>
      <c r="AA12" s="43"/>
      <c r="AB12" s="44"/>
    </row>
    <row r="13" spans="1:28">
      <c r="A13" s="23" t="s">
        <v>54</v>
      </c>
      <c r="B13" s="24" t="s">
        <v>55</v>
      </c>
      <c r="C13" s="39" t="s">
        <v>56</v>
      </c>
      <c r="D13" s="26">
        <v>9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6">
        <f t="shared" ref="X13:X45" si="2">D13+E13+F13+G13-Q13-P13-N13-M13-L13-J13-O13-H13-I13-K13-R13-S13-T13-U13-V13+W13</f>
        <v>9</v>
      </c>
      <c r="Y13" s="30"/>
      <c r="Z13" s="38">
        <f t="shared" ref="Z13:Z45" si="3">Y13-X13</f>
        <v>-9</v>
      </c>
      <c r="AA13" s="31"/>
      <c r="AB13" s="27"/>
    </row>
    <row r="14" spans="1:28">
      <c r="A14" s="23" t="s">
        <v>57</v>
      </c>
      <c r="B14" s="24" t="s">
        <v>58</v>
      </c>
      <c r="C14" s="39" t="s">
        <v>59</v>
      </c>
      <c r="D14" s="26">
        <v>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9"/>
      <c r="W14" s="29"/>
      <c r="X14" s="26">
        <f t="shared" si="2"/>
        <v>1</v>
      </c>
      <c r="Y14" s="30"/>
      <c r="Z14" s="26">
        <f t="shared" si="3"/>
        <v>-1</v>
      </c>
      <c r="AA14" s="31"/>
      <c r="AB14" s="27"/>
    </row>
    <row r="15" spans="1:28">
      <c r="A15" s="23" t="s">
        <v>60</v>
      </c>
      <c r="B15" s="24" t="s">
        <v>61</v>
      </c>
      <c r="C15" s="39" t="s">
        <v>62</v>
      </c>
      <c r="D15" s="26">
        <v>80</v>
      </c>
      <c r="E15" s="27"/>
      <c r="F15" s="27"/>
      <c r="G15" s="27"/>
      <c r="H15" s="27">
        <f>45</f>
        <v>45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9"/>
      <c r="W15" s="29"/>
      <c r="X15" s="26">
        <f t="shared" si="2"/>
        <v>35</v>
      </c>
      <c r="Y15" s="30"/>
      <c r="Z15" s="26">
        <f t="shared" si="3"/>
        <v>-35</v>
      </c>
      <c r="AA15" s="31"/>
      <c r="AB15" s="27"/>
    </row>
    <row r="16" spans="1:28">
      <c r="A16" s="23" t="s">
        <v>63</v>
      </c>
      <c r="B16" s="24" t="s">
        <v>64</v>
      </c>
      <c r="C16" s="39" t="s">
        <v>65</v>
      </c>
      <c r="D16" s="26">
        <v>2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9"/>
      <c r="W16" s="29"/>
      <c r="X16" s="26">
        <f t="shared" si="2"/>
        <v>2</v>
      </c>
      <c r="Y16" s="30"/>
      <c r="Z16" s="26">
        <f t="shared" si="3"/>
        <v>-2</v>
      </c>
      <c r="AA16" s="31"/>
      <c r="AB16" s="27"/>
    </row>
    <row r="17" spans="1:28" hidden="1">
      <c r="A17" s="23" t="s">
        <v>66</v>
      </c>
      <c r="B17" s="24" t="s">
        <v>67</v>
      </c>
      <c r="C17" s="39" t="s">
        <v>68</v>
      </c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9"/>
      <c r="W17" s="29"/>
      <c r="X17" s="26">
        <f t="shared" si="2"/>
        <v>0</v>
      </c>
      <c r="Y17" s="30"/>
      <c r="Z17" s="26">
        <f t="shared" si="3"/>
        <v>0</v>
      </c>
      <c r="AA17" s="31"/>
      <c r="AB17" s="27"/>
    </row>
    <row r="18" spans="1:28">
      <c r="A18" s="23" t="s">
        <v>69</v>
      </c>
      <c r="B18" s="24" t="s">
        <v>70</v>
      </c>
      <c r="C18" s="25" t="s">
        <v>71</v>
      </c>
      <c r="D18" s="26">
        <v>5870</v>
      </c>
      <c r="E18" s="27"/>
      <c r="F18" s="27"/>
      <c r="G18" s="27"/>
      <c r="H18" s="27">
        <f>50+35</f>
        <v>85</v>
      </c>
      <c r="I18" s="27"/>
      <c r="J18" s="27"/>
      <c r="K18" s="27"/>
      <c r="L18" s="27"/>
      <c r="M18" s="45">
        <f>20</f>
        <v>20</v>
      </c>
      <c r="N18" s="27"/>
      <c r="O18" s="27"/>
      <c r="P18" s="27"/>
      <c r="Q18" s="27"/>
      <c r="R18" s="27"/>
      <c r="S18" s="27">
        <f>150</f>
        <v>150</v>
      </c>
      <c r="T18" s="27"/>
      <c r="U18" s="27"/>
      <c r="V18" s="29"/>
      <c r="W18" s="29"/>
      <c r="X18" s="26">
        <f t="shared" si="2"/>
        <v>5615</v>
      </c>
      <c r="Y18" s="30"/>
      <c r="Z18" s="26">
        <f t="shared" si="3"/>
        <v>-5615</v>
      </c>
      <c r="AA18" s="31"/>
      <c r="AB18" s="27"/>
    </row>
    <row r="19" spans="1:28" hidden="1">
      <c r="A19" s="23" t="s">
        <v>72</v>
      </c>
      <c r="B19" s="24" t="s">
        <v>73</v>
      </c>
      <c r="C19" s="39" t="s">
        <v>74</v>
      </c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9"/>
      <c r="W19" s="29"/>
      <c r="X19" s="26">
        <f t="shared" si="2"/>
        <v>0</v>
      </c>
      <c r="Y19" s="30"/>
      <c r="Z19" s="26">
        <f t="shared" si="3"/>
        <v>0</v>
      </c>
      <c r="AA19" s="31"/>
      <c r="AB19" s="27"/>
    </row>
    <row r="20" spans="1:28" hidden="1">
      <c r="A20" s="23" t="s">
        <v>75</v>
      </c>
      <c r="B20" s="24" t="s">
        <v>76</v>
      </c>
      <c r="C20" s="39" t="s">
        <v>77</v>
      </c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9"/>
      <c r="W20" s="29"/>
      <c r="X20" s="26">
        <f t="shared" si="2"/>
        <v>0</v>
      </c>
      <c r="Y20" s="30"/>
      <c r="Z20" s="26">
        <f t="shared" si="3"/>
        <v>0</v>
      </c>
      <c r="AA20" s="31"/>
      <c r="AB20" s="27"/>
    </row>
    <row r="21" spans="1:28" hidden="1">
      <c r="A21" s="23" t="s">
        <v>78</v>
      </c>
      <c r="B21" s="24" t="s">
        <v>79</v>
      </c>
      <c r="C21" s="39" t="s">
        <v>80</v>
      </c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9"/>
      <c r="W21" s="29"/>
      <c r="X21" s="26">
        <f t="shared" si="2"/>
        <v>0</v>
      </c>
      <c r="Y21" s="30"/>
      <c r="Z21" s="26">
        <f t="shared" si="3"/>
        <v>0</v>
      </c>
      <c r="AA21" s="31"/>
      <c r="AB21" s="27"/>
    </row>
    <row r="22" spans="1:28">
      <c r="A22" s="23" t="s">
        <v>81</v>
      </c>
      <c r="B22" s="24" t="s">
        <v>82</v>
      </c>
      <c r="C22" s="25" t="s">
        <v>83</v>
      </c>
      <c r="D22" s="26">
        <v>8</v>
      </c>
      <c r="E22" s="27"/>
      <c r="F22" s="27"/>
      <c r="G22" s="27"/>
      <c r="H22" s="27"/>
      <c r="I22" s="27"/>
      <c r="J22" s="27"/>
      <c r="K22" s="27"/>
      <c r="L22" s="27"/>
      <c r="M22" s="45"/>
      <c r="N22" s="27"/>
      <c r="O22" s="27"/>
      <c r="P22" s="27"/>
      <c r="Q22" s="27"/>
      <c r="R22" s="27"/>
      <c r="S22" s="27">
        <f>7</f>
        <v>7</v>
      </c>
      <c r="T22" s="27"/>
      <c r="U22" s="27">
        <f>1</f>
        <v>1</v>
      </c>
      <c r="V22" s="29"/>
      <c r="W22" s="29"/>
      <c r="X22" s="26">
        <f t="shared" si="2"/>
        <v>0</v>
      </c>
      <c r="Y22" s="30"/>
      <c r="Z22" s="26">
        <f t="shared" si="3"/>
        <v>0</v>
      </c>
      <c r="AA22" s="31"/>
      <c r="AB22" s="27"/>
    </row>
    <row r="23" spans="1:28">
      <c r="A23" s="23" t="s">
        <v>84</v>
      </c>
      <c r="B23" s="24" t="s">
        <v>85</v>
      </c>
      <c r="C23" s="25" t="s">
        <v>86</v>
      </c>
      <c r="D23" s="26">
        <v>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9"/>
      <c r="W23" s="29"/>
      <c r="X23" s="26">
        <f t="shared" si="2"/>
        <v>0</v>
      </c>
      <c r="Y23" s="30"/>
      <c r="Z23" s="26">
        <f t="shared" si="3"/>
        <v>0</v>
      </c>
      <c r="AA23" s="31"/>
      <c r="AB23" s="27"/>
    </row>
    <row r="24" spans="1:28">
      <c r="A24" s="23" t="s">
        <v>87</v>
      </c>
      <c r="B24" s="24" t="s">
        <v>88</v>
      </c>
      <c r="C24" s="25" t="s">
        <v>89</v>
      </c>
      <c r="D24" s="26">
        <v>6485</v>
      </c>
      <c r="E24" s="27"/>
      <c r="F24" s="27"/>
      <c r="G24" s="27"/>
      <c r="H24" s="27">
        <f>15</f>
        <v>15</v>
      </c>
      <c r="I24" s="27"/>
      <c r="J24" s="27"/>
      <c r="K24" s="27"/>
      <c r="L24" s="27"/>
      <c r="M24" s="27">
        <f>50+10</f>
        <v>60</v>
      </c>
      <c r="N24" s="27"/>
      <c r="O24" s="27"/>
      <c r="P24" s="27"/>
      <c r="Q24" s="27"/>
      <c r="R24" s="27"/>
      <c r="S24" s="27"/>
      <c r="T24" s="27"/>
      <c r="U24" s="27"/>
      <c r="V24" s="29"/>
      <c r="W24" s="29"/>
      <c r="X24" s="26">
        <f t="shared" si="2"/>
        <v>6410</v>
      </c>
      <c r="Y24" s="30"/>
      <c r="Z24" s="26">
        <f t="shared" si="3"/>
        <v>-6410</v>
      </c>
      <c r="AA24" s="31"/>
      <c r="AB24" s="27"/>
    </row>
    <row r="25" spans="1:28">
      <c r="A25" s="23" t="s">
        <v>90</v>
      </c>
      <c r="B25" s="24" t="s">
        <v>91</v>
      </c>
      <c r="C25" s="25" t="s">
        <v>92</v>
      </c>
      <c r="D25" s="26">
        <v>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9"/>
      <c r="W25" s="29"/>
      <c r="X25" s="26">
        <f t="shared" si="2"/>
        <v>0</v>
      </c>
      <c r="Y25" s="30"/>
      <c r="Z25" s="26">
        <f t="shared" si="3"/>
        <v>0</v>
      </c>
      <c r="AA25" s="31"/>
      <c r="AB25" s="27"/>
    </row>
    <row r="26" spans="1:28" hidden="1">
      <c r="A26" s="23" t="s">
        <v>93</v>
      </c>
      <c r="B26" s="24" t="s">
        <v>94</v>
      </c>
      <c r="C26" s="25" t="s">
        <v>95</v>
      </c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9"/>
      <c r="W26" s="29"/>
      <c r="X26" s="26">
        <f t="shared" si="2"/>
        <v>0</v>
      </c>
      <c r="Y26" s="30"/>
      <c r="Z26" s="26">
        <f t="shared" si="3"/>
        <v>0</v>
      </c>
      <c r="AA26" s="31"/>
      <c r="AB26" s="27"/>
    </row>
    <row r="27" spans="1:28" hidden="1">
      <c r="A27" s="23" t="s">
        <v>96</v>
      </c>
      <c r="B27" s="24" t="s">
        <v>97</v>
      </c>
      <c r="C27" s="25" t="s">
        <v>98</v>
      </c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9"/>
      <c r="W27" s="29"/>
      <c r="X27" s="26">
        <f t="shared" si="2"/>
        <v>0</v>
      </c>
      <c r="Y27" s="30"/>
      <c r="Z27" s="26">
        <f t="shared" si="3"/>
        <v>0</v>
      </c>
      <c r="AA27" s="31"/>
      <c r="AB27" s="27"/>
    </row>
    <row r="28" spans="1:28">
      <c r="A28" s="23" t="s">
        <v>99</v>
      </c>
      <c r="B28" s="24" t="s">
        <v>100</v>
      </c>
      <c r="C28" s="25" t="s">
        <v>101</v>
      </c>
      <c r="D28" s="26">
        <v>1064</v>
      </c>
      <c r="E28" s="27"/>
      <c r="F28" s="27"/>
      <c r="G28" s="27"/>
      <c r="H28" s="27">
        <f>8</f>
        <v>8</v>
      </c>
      <c r="I28" s="27"/>
      <c r="J28" s="27"/>
      <c r="K28" s="27"/>
      <c r="L28" s="27"/>
      <c r="M28" s="27">
        <f>8</f>
        <v>8</v>
      </c>
      <c r="N28" s="27"/>
      <c r="O28" s="27"/>
      <c r="P28" s="27"/>
      <c r="Q28" s="27"/>
      <c r="R28" s="27"/>
      <c r="S28" s="27"/>
      <c r="T28" s="27"/>
      <c r="U28" s="27"/>
      <c r="V28" s="29"/>
      <c r="W28" s="29"/>
      <c r="X28" s="26">
        <f t="shared" si="2"/>
        <v>1048</v>
      </c>
      <c r="Y28" s="30"/>
      <c r="Z28" s="26">
        <f t="shared" si="3"/>
        <v>-1048</v>
      </c>
      <c r="AA28" s="119" t="s">
        <v>102</v>
      </c>
      <c r="AB28" s="27"/>
    </row>
    <row r="29" spans="1:28" hidden="1">
      <c r="A29" s="23" t="s">
        <v>103</v>
      </c>
      <c r="B29" s="24" t="s">
        <v>104</v>
      </c>
      <c r="C29" s="25" t="s">
        <v>105</v>
      </c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9"/>
      <c r="W29" s="29"/>
      <c r="X29" s="26">
        <f t="shared" si="2"/>
        <v>0</v>
      </c>
      <c r="Y29" s="30"/>
      <c r="Z29" s="26">
        <f t="shared" si="3"/>
        <v>0</v>
      </c>
      <c r="AA29" s="31"/>
      <c r="AB29" s="27"/>
    </row>
    <row r="30" spans="1:28">
      <c r="A30" s="23" t="s">
        <v>106</v>
      </c>
      <c r="B30" s="24" t="s">
        <v>107</v>
      </c>
      <c r="C30" s="25" t="s">
        <v>108</v>
      </c>
      <c r="D30" s="26">
        <v>1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9"/>
      <c r="W30" s="29"/>
      <c r="X30" s="26">
        <f t="shared" si="2"/>
        <v>1</v>
      </c>
      <c r="Y30" s="30"/>
      <c r="Z30" s="26">
        <f t="shared" si="3"/>
        <v>-1</v>
      </c>
      <c r="AA30" s="31"/>
      <c r="AB30" s="27"/>
    </row>
    <row r="31" spans="1:28" hidden="1">
      <c r="A31" s="23" t="s">
        <v>109</v>
      </c>
      <c r="B31" s="24" t="s">
        <v>110</v>
      </c>
      <c r="C31" s="25" t="s">
        <v>111</v>
      </c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9"/>
      <c r="W31" s="29"/>
      <c r="X31" s="26">
        <f t="shared" si="2"/>
        <v>0</v>
      </c>
      <c r="Y31" s="30"/>
      <c r="Z31" s="26">
        <f t="shared" si="3"/>
        <v>0</v>
      </c>
      <c r="AA31" s="31"/>
      <c r="AB31" s="27"/>
    </row>
    <row r="32" spans="1:28">
      <c r="A32" s="23" t="s">
        <v>112</v>
      </c>
      <c r="B32" s="24" t="s">
        <v>113</v>
      </c>
      <c r="C32" s="25" t="s">
        <v>114</v>
      </c>
      <c r="D32" s="26">
        <v>349</v>
      </c>
      <c r="E32" s="27"/>
      <c r="F32" s="27"/>
      <c r="G32" s="27"/>
      <c r="H32" s="27">
        <f>25+15</f>
        <v>40</v>
      </c>
      <c r="I32" s="27"/>
      <c r="J32" s="27"/>
      <c r="K32" s="27"/>
      <c r="L32" s="27"/>
      <c r="M32" s="27">
        <f>20</f>
        <v>20</v>
      </c>
      <c r="N32" s="27"/>
      <c r="O32" s="27">
        <f>5</f>
        <v>5</v>
      </c>
      <c r="P32" s="27"/>
      <c r="Q32" s="27"/>
      <c r="R32" s="27"/>
      <c r="S32" s="27">
        <f>150</f>
        <v>150</v>
      </c>
      <c r="T32" s="27"/>
      <c r="U32" s="27"/>
      <c r="V32" s="29"/>
      <c r="W32" s="29"/>
      <c r="X32" s="26">
        <f t="shared" si="2"/>
        <v>134</v>
      </c>
      <c r="Y32" s="30"/>
      <c r="Z32" s="26">
        <f t="shared" si="3"/>
        <v>-134</v>
      </c>
      <c r="AA32" s="31"/>
      <c r="AB32" s="27"/>
    </row>
    <row r="33" spans="1:28" ht="30">
      <c r="A33" s="23" t="s">
        <v>115</v>
      </c>
      <c r="B33" s="24" t="s">
        <v>116</v>
      </c>
      <c r="C33" s="25" t="s">
        <v>117</v>
      </c>
      <c r="D33" s="26">
        <v>278</v>
      </c>
      <c r="E33" s="27">
        <f>2500</f>
        <v>2500</v>
      </c>
      <c r="F33" s="27"/>
      <c r="G33" s="27"/>
      <c r="H33" s="27">
        <f>65</f>
        <v>65</v>
      </c>
      <c r="I33" s="27"/>
      <c r="J33" s="27"/>
      <c r="K33" s="27"/>
      <c r="L33" s="27"/>
      <c r="M33" s="27">
        <f>50+65</f>
        <v>115</v>
      </c>
      <c r="N33" s="27"/>
      <c r="O33" s="27">
        <f>25+10</f>
        <v>35</v>
      </c>
      <c r="P33" s="27"/>
      <c r="Q33" s="27"/>
      <c r="R33" s="27"/>
      <c r="S33" s="27">
        <f>150</f>
        <v>150</v>
      </c>
      <c r="T33" s="27"/>
      <c r="U33" s="27"/>
      <c r="V33" s="29"/>
      <c r="W33" s="29"/>
      <c r="X33" s="26">
        <f t="shared" si="2"/>
        <v>2413</v>
      </c>
      <c r="Y33" s="30"/>
      <c r="Z33" s="26">
        <f t="shared" si="3"/>
        <v>-2413</v>
      </c>
      <c r="AA33" s="31"/>
      <c r="AB33" s="27"/>
    </row>
    <row r="34" spans="1:28" hidden="1">
      <c r="A34" s="39" t="s">
        <v>118</v>
      </c>
      <c r="B34" s="24" t="s">
        <v>119</v>
      </c>
      <c r="C34" s="25" t="s">
        <v>120</v>
      </c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9"/>
      <c r="W34" s="29"/>
      <c r="X34" s="26">
        <f t="shared" si="2"/>
        <v>0</v>
      </c>
      <c r="Y34" s="30"/>
      <c r="Z34" s="26">
        <f t="shared" si="3"/>
        <v>0</v>
      </c>
      <c r="AA34" s="31"/>
      <c r="AB34" s="27"/>
    </row>
    <row r="35" spans="1:28" hidden="1">
      <c r="A35" s="39" t="s">
        <v>121</v>
      </c>
      <c r="B35" s="24" t="s">
        <v>122</v>
      </c>
      <c r="C35" s="25" t="s">
        <v>123</v>
      </c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9"/>
      <c r="W35" s="29"/>
      <c r="X35" s="26">
        <f t="shared" si="2"/>
        <v>0</v>
      </c>
      <c r="Y35" s="30"/>
      <c r="Z35" s="26">
        <f t="shared" si="3"/>
        <v>0</v>
      </c>
      <c r="AA35" s="119" t="s">
        <v>124</v>
      </c>
      <c r="AB35" s="27"/>
    </row>
    <row r="36" spans="1:28" hidden="1">
      <c r="A36" s="39" t="s">
        <v>125</v>
      </c>
      <c r="B36" s="24" t="s">
        <v>126</v>
      </c>
      <c r="C36" s="25" t="s">
        <v>127</v>
      </c>
      <c r="D36" s="26"/>
      <c r="E36" s="27"/>
      <c r="F36" s="27"/>
      <c r="G36" s="27"/>
      <c r="H36" s="45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9"/>
      <c r="W36" s="29"/>
      <c r="X36" s="26">
        <f t="shared" si="2"/>
        <v>0</v>
      </c>
      <c r="Y36" s="30"/>
      <c r="Z36" s="26">
        <f t="shared" si="3"/>
        <v>0</v>
      </c>
      <c r="AA36" s="31"/>
      <c r="AB36" s="27"/>
    </row>
    <row r="37" spans="1:28" hidden="1">
      <c r="A37" s="39" t="s">
        <v>128</v>
      </c>
      <c r="B37" s="24" t="s">
        <v>129</v>
      </c>
      <c r="C37" s="25" t="s">
        <v>130</v>
      </c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9"/>
      <c r="W37" s="29"/>
      <c r="X37" s="26">
        <f t="shared" si="2"/>
        <v>0</v>
      </c>
      <c r="Y37" s="30"/>
      <c r="Z37" s="26">
        <f t="shared" si="3"/>
        <v>0</v>
      </c>
      <c r="AA37" s="31"/>
      <c r="AB37" s="27"/>
    </row>
    <row r="38" spans="1:28" hidden="1">
      <c r="A38" s="39" t="s">
        <v>131</v>
      </c>
      <c r="B38" s="24" t="s">
        <v>132</v>
      </c>
      <c r="C38" s="25" t="s">
        <v>133</v>
      </c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9"/>
      <c r="W38" s="29"/>
      <c r="X38" s="26">
        <f t="shared" si="2"/>
        <v>0</v>
      </c>
      <c r="Y38" s="30"/>
      <c r="Z38" s="26">
        <f t="shared" si="3"/>
        <v>0</v>
      </c>
      <c r="AA38" s="31"/>
      <c r="AB38" s="27"/>
    </row>
    <row r="39" spans="1:28" hidden="1">
      <c r="A39" s="39" t="s">
        <v>134</v>
      </c>
      <c r="B39" s="24" t="s">
        <v>135</v>
      </c>
      <c r="C39" s="25" t="s">
        <v>136</v>
      </c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9"/>
      <c r="W39" s="29"/>
      <c r="X39" s="26">
        <f t="shared" si="2"/>
        <v>0</v>
      </c>
      <c r="Y39" s="30"/>
      <c r="Z39" s="26">
        <f t="shared" si="3"/>
        <v>0</v>
      </c>
      <c r="AA39" s="31"/>
      <c r="AB39" s="27"/>
    </row>
    <row r="40" spans="1:28" hidden="1">
      <c r="A40" s="23" t="s">
        <v>137</v>
      </c>
      <c r="B40" s="24" t="s">
        <v>138</v>
      </c>
      <c r="C40" s="25" t="s">
        <v>139</v>
      </c>
      <c r="D40" s="26"/>
      <c r="E40" s="27"/>
      <c r="F40" s="27"/>
      <c r="G40" s="27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6">
        <f t="shared" si="2"/>
        <v>0</v>
      </c>
      <c r="Y40" s="30"/>
      <c r="Z40" s="26">
        <f t="shared" si="3"/>
        <v>0</v>
      </c>
      <c r="AA40" s="31"/>
      <c r="AB40" s="27"/>
    </row>
    <row r="41" spans="1:28" hidden="1">
      <c r="A41" s="23" t="s">
        <v>140</v>
      </c>
      <c r="B41" s="24" t="s">
        <v>141</v>
      </c>
      <c r="C41" s="25" t="s">
        <v>142</v>
      </c>
      <c r="D41" s="26"/>
      <c r="E41" s="27"/>
      <c r="F41" s="27"/>
      <c r="G41" s="27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6">
        <f t="shared" si="2"/>
        <v>0</v>
      </c>
      <c r="Y41" s="30"/>
      <c r="Z41" s="26">
        <f t="shared" si="3"/>
        <v>0</v>
      </c>
      <c r="AA41" s="31"/>
      <c r="AB41" s="27"/>
    </row>
    <row r="42" spans="1:28" hidden="1">
      <c r="A42" s="23" t="s">
        <v>143</v>
      </c>
      <c r="B42" s="24" t="s">
        <v>144</v>
      </c>
      <c r="C42" s="25" t="s">
        <v>145</v>
      </c>
      <c r="D42" s="26"/>
      <c r="E42" s="27"/>
      <c r="F42" s="27"/>
      <c r="G42" s="27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6">
        <f t="shared" si="2"/>
        <v>0</v>
      </c>
      <c r="Y42" s="30"/>
      <c r="Z42" s="26">
        <f t="shared" si="3"/>
        <v>0</v>
      </c>
      <c r="AA42" s="31"/>
      <c r="AB42" s="27"/>
    </row>
    <row r="43" spans="1:28" hidden="1">
      <c r="A43" s="23" t="s">
        <v>146</v>
      </c>
      <c r="B43" s="24" t="s">
        <v>147</v>
      </c>
      <c r="C43" s="39" t="s">
        <v>130</v>
      </c>
      <c r="D43" s="26"/>
      <c r="E43" s="27"/>
      <c r="F43" s="38"/>
      <c r="G43" s="38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6">
        <f t="shared" si="2"/>
        <v>0</v>
      </c>
      <c r="Y43" s="30"/>
      <c r="Z43" s="26">
        <f t="shared" si="3"/>
        <v>0</v>
      </c>
      <c r="AA43" s="119" t="s">
        <v>148</v>
      </c>
      <c r="AB43" s="27"/>
    </row>
    <row r="44" spans="1:28" hidden="1">
      <c r="A44" s="46" t="s">
        <v>149</v>
      </c>
      <c r="B44" s="47" t="s">
        <v>150</v>
      </c>
      <c r="C44" s="48" t="s">
        <v>151</v>
      </c>
      <c r="D44" s="26"/>
      <c r="E44" s="49"/>
      <c r="F44" s="50"/>
      <c r="G44" s="50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26">
        <f t="shared" si="2"/>
        <v>0</v>
      </c>
      <c r="Y44" s="52"/>
      <c r="Z44" s="50">
        <f t="shared" si="3"/>
        <v>0</v>
      </c>
      <c r="AA44" s="49"/>
      <c r="AB44" s="53"/>
    </row>
    <row r="45" spans="1:28" hidden="1">
      <c r="A45" s="46" t="s">
        <v>152</v>
      </c>
      <c r="B45" s="47" t="s">
        <v>153</v>
      </c>
      <c r="C45" s="48" t="s">
        <v>154</v>
      </c>
      <c r="D45" s="26"/>
      <c r="E45" s="54"/>
      <c r="F45" s="55"/>
      <c r="G45" s="55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26">
        <f t="shared" si="2"/>
        <v>0</v>
      </c>
      <c r="Y45" s="52"/>
      <c r="Z45" s="50">
        <f t="shared" si="3"/>
        <v>0</v>
      </c>
      <c r="AA45" s="49"/>
      <c r="AB45" s="53"/>
    </row>
    <row r="46" spans="1:28">
      <c r="B46" s="56" t="s">
        <v>155</v>
      </c>
      <c r="C46" s="57"/>
      <c r="D46" s="58">
        <v>27440</v>
      </c>
      <c r="E46" s="59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>
        <f t="shared" ref="X46:AA46" si="4">X2+X3+X4+X5+X12+X44+X45</f>
        <v>20131</v>
      </c>
      <c r="Y46" s="58"/>
      <c r="Z46" s="58">
        <f t="shared" si="4"/>
        <v>-20131</v>
      </c>
      <c r="AA46" s="58">
        <f t="shared" si="4"/>
        <v>0</v>
      </c>
      <c r="AB46" s="58"/>
    </row>
    <row r="47" spans="1:28">
      <c r="D47" s="60"/>
      <c r="X47" s="60"/>
      <c r="Y47" s="61"/>
      <c r="Z47" s="61"/>
    </row>
    <row r="48" spans="1:28" s="2" customFormat="1">
      <c r="D48" s="62"/>
      <c r="E48" s="63"/>
      <c r="W48" s="64"/>
      <c r="X48" s="62"/>
      <c r="Y48" s="65"/>
      <c r="Z48" s="65"/>
      <c r="AA48" s="64"/>
    </row>
    <row r="49" spans="1:28" s="2" customFormat="1">
      <c r="D49" s="62"/>
      <c r="E49" s="63"/>
      <c r="W49" s="64"/>
      <c r="X49" s="62"/>
      <c r="Y49" s="65"/>
      <c r="Z49" s="65"/>
      <c r="AA49" s="64"/>
    </row>
    <row r="50" spans="1:28" s="2" customFormat="1" ht="21.75" customHeight="1">
      <c r="D50" s="62"/>
      <c r="E50" s="63"/>
      <c r="W50" s="64"/>
      <c r="X50" s="62"/>
      <c r="Y50" s="65"/>
      <c r="Z50" s="65"/>
      <c r="AA50" s="64"/>
    </row>
    <row r="51" spans="1:28" s="3" customFormat="1" ht="21" customHeight="1">
      <c r="B51" s="66" t="s">
        <v>156</v>
      </c>
      <c r="E51" s="67"/>
      <c r="W51" s="68"/>
      <c r="Y51" s="68"/>
      <c r="Z51" s="68"/>
      <c r="AA51" s="68"/>
    </row>
    <row r="52" spans="1:28">
      <c r="A52" s="23"/>
      <c r="B52" s="24" t="s">
        <v>157</v>
      </c>
      <c r="C52" s="25" t="s">
        <v>29</v>
      </c>
      <c r="D52" s="30">
        <v>1608</v>
      </c>
      <c r="E52" s="27"/>
      <c r="F52" s="27"/>
      <c r="G52" s="27"/>
      <c r="H52" s="69">
        <f>138+26+108+170+105+50</f>
        <v>597</v>
      </c>
      <c r="I52" s="29"/>
      <c r="J52" s="29">
        <f>20+10</f>
        <v>30</v>
      </c>
      <c r="K52" s="29">
        <f>6</f>
        <v>6</v>
      </c>
      <c r="L52" s="70">
        <f>3+100+10+25+60</f>
        <v>198</v>
      </c>
      <c r="M52" s="70">
        <f>78+170+110+50+9+36</f>
        <v>453</v>
      </c>
      <c r="N52" s="70"/>
      <c r="O52" s="29">
        <f>5+10+24</f>
        <v>39</v>
      </c>
      <c r="P52" s="29"/>
      <c r="Q52" s="29"/>
      <c r="R52" s="29">
        <f>6</f>
        <v>6</v>
      </c>
      <c r="S52" s="29">
        <f>150</f>
        <v>150</v>
      </c>
      <c r="T52" s="29">
        <v>3</v>
      </c>
      <c r="U52" s="29"/>
      <c r="V52" s="29"/>
      <c r="W52" s="29"/>
      <c r="X52" s="26">
        <f t="shared" ref="X52:X93" si="5">D52+E52+F52+G52-Q52-P52-N52-M52-L52-J52-O52-H52-I52-K52-R52-S52-T52-U52-V52+W52</f>
        <v>126</v>
      </c>
      <c r="Y52" s="30">
        <v>907</v>
      </c>
      <c r="Z52" s="26">
        <f t="shared" ref="Z52:Z68" si="6">Y52-X52</f>
        <v>781</v>
      </c>
      <c r="AA52" s="31"/>
      <c r="AB52" s="27"/>
    </row>
    <row r="53" spans="1:28">
      <c r="A53" s="23"/>
      <c r="B53" s="24" t="s">
        <v>158</v>
      </c>
      <c r="C53" s="25"/>
      <c r="D53" s="71">
        <v>522</v>
      </c>
      <c r="E53" s="27">
        <f>500</f>
        <v>500</v>
      </c>
      <c r="F53" s="27"/>
      <c r="G53" s="27"/>
      <c r="H53" s="29">
        <f>132+121+8+8+34+21</f>
        <v>324</v>
      </c>
      <c r="I53" s="29"/>
      <c r="J53" s="29">
        <f>5+9+9+2</f>
        <v>25</v>
      </c>
      <c r="K53" s="29"/>
      <c r="L53" s="70">
        <f>36+1+2+2+5</f>
        <v>46</v>
      </c>
      <c r="M53" s="70">
        <f>131+34+22</f>
        <v>187</v>
      </c>
      <c r="N53" s="70"/>
      <c r="O53" s="29">
        <f>6+1+2</f>
        <v>9</v>
      </c>
      <c r="P53" s="29"/>
      <c r="Q53" s="29"/>
      <c r="R53" s="29"/>
      <c r="S53" s="29"/>
      <c r="T53" s="29"/>
      <c r="U53" s="29"/>
      <c r="V53" s="29"/>
      <c r="W53" s="29"/>
      <c r="X53" s="26">
        <f t="shared" si="5"/>
        <v>431</v>
      </c>
      <c r="Y53" s="71">
        <v>197</v>
      </c>
      <c r="Z53" s="26">
        <f t="shared" si="6"/>
        <v>-234</v>
      </c>
      <c r="AA53" s="31"/>
      <c r="AB53" s="27"/>
    </row>
    <row r="54" spans="1:28">
      <c r="A54" s="23"/>
      <c r="B54" s="24" t="s">
        <v>159</v>
      </c>
      <c r="C54" s="25"/>
      <c r="D54" s="30">
        <v>1443</v>
      </c>
      <c r="E54" s="27"/>
      <c r="F54" s="27"/>
      <c r="G54" s="27"/>
      <c r="H54" s="29">
        <f>25+10+5+50+10+5+5+35+50</f>
        <v>195</v>
      </c>
      <c r="I54" s="29"/>
      <c r="J54" s="29"/>
      <c r="K54" s="29"/>
      <c r="L54" s="70">
        <f>5+10</f>
        <v>15</v>
      </c>
      <c r="M54" s="70">
        <f>5+10+15+10+5+15+20</f>
        <v>80</v>
      </c>
      <c r="N54" s="70"/>
      <c r="O54" s="29">
        <f>5</f>
        <v>5</v>
      </c>
      <c r="P54" s="29"/>
      <c r="Q54" s="29"/>
      <c r="R54" s="29"/>
      <c r="S54" s="29">
        <v>50</v>
      </c>
      <c r="T54" s="29"/>
      <c r="U54" s="29"/>
      <c r="V54" s="29"/>
      <c r="W54" s="29"/>
      <c r="X54" s="26">
        <f t="shared" si="5"/>
        <v>1098</v>
      </c>
      <c r="Y54" s="30">
        <v>1266</v>
      </c>
      <c r="Z54" s="26">
        <f t="shared" si="6"/>
        <v>168</v>
      </c>
      <c r="AA54" s="31"/>
      <c r="AB54" s="27"/>
    </row>
    <row r="55" spans="1:28">
      <c r="A55" s="23"/>
      <c r="B55" s="24" t="s">
        <v>160</v>
      </c>
      <c r="C55" s="25" t="s">
        <v>32</v>
      </c>
      <c r="D55" s="30">
        <v>1184</v>
      </c>
      <c r="E55" s="27"/>
      <c r="F55" s="27"/>
      <c r="G55" s="27"/>
      <c r="H55" s="29">
        <f>18</f>
        <v>18</v>
      </c>
      <c r="I55" s="29"/>
      <c r="J55" s="29"/>
      <c r="K55" s="29"/>
      <c r="L55" s="70">
        <f>6</f>
        <v>6</v>
      </c>
      <c r="M55" s="70">
        <f>15+50+165+102</f>
        <v>332</v>
      </c>
      <c r="N55" s="70"/>
      <c r="O55" s="29">
        <f>6</f>
        <v>6</v>
      </c>
      <c r="P55" s="29"/>
      <c r="Q55" s="29"/>
      <c r="R55" s="29">
        <f>1</f>
        <v>1</v>
      </c>
      <c r="S55" s="29"/>
      <c r="T55" s="29">
        <v>3</v>
      </c>
      <c r="U55" s="29">
        <v>1</v>
      </c>
      <c r="V55" s="29"/>
      <c r="W55" s="29"/>
      <c r="X55" s="26">
        <f t="shared" si="5"/>
        <v>817</v>
      </c>
      <c r="Y55" s="30">
        <v>919</v>
      </c>
      <c r="Z55" s="26">
        <f t="shared" si="6"/>
        <v>102</v>
      </c>
      <c r="AA55" s="31"/>
      <c r="AB55" s="27"/>
    </row>
    <row r="56" spans="1:28" s="4" customFormat="1">
      <c r="A56" s="72"/>
      <c r="B56" s="33" t="s">
        <v>161</v>
      </c>
      <c r="C56" s="34" t="s">
        <v>35</v>
      </c>
      <c r="D56" s="73">
        <v>599</v>
      </c>
      <c r="E56" s="37"/>
      <c r="F56" s="37"/>
      <c r="G56" s="37"/>
      <c r="H56" s="36">
        <f>10+5</f>
        <v>15</v>
      </c>
      <c r="I56" s="36"/>
      <c r="J56" s="36"/>
      <c r="K56" s="36"/>
      <c r="L56" s="74">
        <f>2</f>
        <v>2</v>
      </c>
      <c r="M56" s="74"/>
      <c r="N56" s="74"/>
      <c r="O56" s="36"/>
      <c r="P56" s="36"/>
      <c r="Q56" s="36"/>
      <c r="R56" s="36"/>
      <c r="S56" s="36"/>
      <c r="T56" s="36"/>
      <c r="U56" s="36"/>
      <c r="V56" s="36"/>
      <c r="W56" s="36"/>
      <c r="X56" s="26">
        <f t="shared" si="5"/>
        <v>582</v>
      </c>
      <c r="Y56" s="73">
        <v>592</v>
      </c>
      <c r="Z56" s="26">
        <f t="shared" si="6"/>
        <v>10</v>
      </c>
      <c r="AA56" s="75"/>
      <c r="AB56" s="37"/>
    </row>
    <row r="57" spans="1:28" s="4" customFormat="1">
      <c r="A57" s="76"/>
      <c r="B57" s="33" t="s">
        <v>162</v>
      </c>
      <c r="C57" s="34"/>
      <c r="D57" s="77">
        <v>1473</v>
      </c>
      <c r="E57" s="37"/>
      <c r="F57" s="35"/>
      <c r="G57" s="35"/>
      <c r="H57" s="35">
        <f>11</f>
        <v>11</v>
      </c>
      <c r="I57" s="35"/>
      <c r="J57" s="35"/>
      <c r="K57" s="35"/>
      <c r="L57" s="78">
        <f>6</f>
        <v>6</v>
      </c>
      <c r="M57" s="78">
        <f>6+6+55</f>
        <v>67</v>
      </c>
      <c r="N57" s="78"/>
      <c r="O57" s="35"/>
      <c r="P57" s="35"/>
      <c r="Q57" s="35"/>
      <c r="R57" s="35"/>
      <c r="S57" s="35"/>
      <c r="T57" s="36">
        <f>25</f>
        <v>25</v>
      </c>
      <c r="U57" s="35"/>
      <c r="V57" s="35"/>
      <c r="W57" s="36"/>
      <c r="X57" s="26">
        <f t="shared" si="5"/>
        <v>1364</v>
      </c>
      <c r="Y57" s="77">
        <v>1418</v>
      </c>
      <c r="Z57" s="26">
        <f t="shared" si="6"/>
        <v>54</v>
      </c>
      <c r="AA57" s="36"/>
      <c r="AB57" s="37"/>
    </row>
    <row r="58" spans="1:28">
      <c r="A58" s="32"/>
      <c r="B58" s="24" t="s">
        <v>163</v>
      </c>
      <c r="C58" s="25"/>
      <c r="D58" s="26">
        <v>611</v>
      </c>
      <c r="E58" s="27">
        <v>1000</v>
      </c>
      <c r="F58" s="79"/>
      <c r="G58" s="79"/>
      <c r="H58" s="29">
        <f>70+60+35+48+10+27+99+50+50</f>
        <v>449</v>
      </c>
      <c r="I58" s="29"/>
      <c r="J58" s="29">
        <f>6</f>
        <v>6</v>
      </c>
      <c r="K58" s="29"/>
      <c r="L58" s="70">
        <f>10+20+6+66+25+25+24</f>
        <v>176</v>
      </c>
      <c r="M58" s="70">
        <f>365+125+50+40+55+192</f>
        <v>827</v>
      </c>
      <c r="N58" s="70"/>
      <c r="O58" s="29">
        <f>5</f>
        <v>5</v>
      </c>
      <c r="P58" s="29"/>
      <c r="Q58" s="29"/>
      <c r="R58" s="29"/>
      <c r="S58" s="29"/>
      <c r="T58" s="29">
        <v>3</v>
      </c>
      <c r="U58" s="29"/>
      <c r="V58" s="79"/>
      <c r="W58" s="29"/>
      <c r="X58" s="26">
        <f t="shared" si="5"/>
        <v>145</v>
      </c>
      <c r="Y58" s="26"/>
      <c r="Z58" s="38">
        <f t="shared" si="6"/>
        <v>-145</v>
      </c>
      <c r="AA58" s="29"/>
      <c r="AB58" s="27"/>
    </row>
    <row r="59" spans="1:28">
      <c r="A59" s="23"/>
      <c r="B59" s="24" t="s">
        <v>164</v>
      </c>
      <c r="C59" s="25"/>
      <c r="D59" s="71">
        <v>656</v>
      </c>
      <c r="E59" s="27"/>
      <c r="F59" s="27"/>
      <c r="G59" s="27"/>
      <c r="H59" s="29">
        <f>7+2+25+19+3+6</f>
        <v>62</v>
      </c>
      <c r="I59" s="29"/>
      <c r="J59" s="29"/>
      <c r="K59" s="29"/>
      <c r="L59" s="70">
        <f>3+3</f>
        <v>6</v>
      </c>
      <c r="M59" s="70">
        <f>50+21+40</f>
        <v>111</v>
      </c>
      <c r="N59" s="70"/>
      <c r="O59" s="29">
        <f>2</f>
        <v>2</v>
      </c>
      <c r="P59" s="29"/>
      <c r="Q59" s="29"/>
      <c r="R59" s="29"/>
      <c r="S59" s="29"/>
      <c r="T59" s="29"/>
      <c r="U59" s="29"/>
      <c r="V59" s="29"/>
      <c r="W59" s="29"/>
      <c r="X59" s="26">
        <f t="shared" si="5"/>
        <v>475</v>
      </c>
      <c r="Y59" s="71"/>
      <c r="Z59" s="38">
        <f t="shared" si="6"/>
        <v>-475</v>
      </c>
      <c r="AA59" s="31"/>
      <c r="AB59" s="27"/>
    </row>
    <row r="60" spans="1:28">
      <c r="A60" s="23"/>
      <c r="B60" s="24" t="s">
        <v>165</v>
      </c>
      <c r="C60" s="25" t="s">
        <v>40</v>
      </c>
      <c r="D60" s="30">
        <v>69</v>
      </c>
      <c r="E60" s="27"/>
      <c r="F60" s="27"/>
      <c r="G60" s="27"/>
      <c r="H60" s="29">
        <f>1+24</f>
        <v>25</v>
      </c>
      <c r="I60" s="29"/>
      <c r="J60" s="29"/>
      <c r="K60" s="29"/>
      <c r="L60" s="70">
        <f>2+2+6</f>
        <v>10</v>
      </c>
      <c r="M60" s="70">
        <f>5</f>
        <v>5</v>
      </c>
      <c r="N60" s="70"/>
      <c r="O60" s="29">
        <f>2</f>
        <v>2</v>
      </c>
      <c r="P60" s="29"/>
      <c r="Q60" s="29"/>
      <c r="R60" s="29"/>
      <c r="S60" s="29"/>
      <c r="T60" s="29">
        <f>1+2</f>
        <v>3</v>
      </c>
      <c r="U60" s="29"/>
      <c r="V60" s="29"/>
      <c r="W60" s="27"/>
      <c r="X60" s="26">
        <f t="shared" si="5"/>
        <v>24</v>
      </c>
      <c r="Y60" s="30"/>
      <c r="Z60" s="38">
        <f t="shared" si="6"/>
        <v>-24</v>
      </c>
      <c r="AA60" s="31"/>
      <c r="AB60" s="27"/>
    </row>
    <row r="61" spans="1:28">
      <c r="A61" s="23"/>
      <c r="B61" s="24" t="s">
        <v>166</v>
      </c>
      <c r="C61" s="25" t="s">
        <v>167</v>
      </c>
      <c r="D61" s="30">
        <v>2</v>
      </c>
      <c r="E61" s="27"/>
      <c r="F61" s="27"/>
      <c r="G61" s="27"/>
      <c r="H61" s="29"/>
      <c r="I61" s="29"/>
      <c r="J61" s="29"/>
      <c r="K61" s="29"/>
      <c r="L61" s="70"/>
      <c r="M61" s="70"/>
      <c r="N61" s="70"/>
      <c r="O61" s="29"/>
      <c r="P61" s="29"/>
      <c r="Q61" s="29"/>
      <c r="R61" s="29"/>
      <c r="S61" s="29"/>
      <c r="T61" s="29"/>
      <c r="U61" s="29"/>
      <c r="V61" s="29"/>
      <c r="W61" s="29"/>
      <c r="X61" s="26">
        <f t="shared" si="5"/>
        <v>2</v>
      </c>
      <c r="Y61" s="30"/>
      <c r="Z61" s="26">
        <f t="shared" si="6"/>
        <v>-2</v>
      </c>
      <c r="AA61" s="31"/>
      <c r="AB61" s="27"/>
    </row>
    <row r="62" spans="1:28">
      <c r="A62" s="23"/>
      <c r="B62" s="24" t="s">
        <v>168</v>
      </c>
      <c r="C62" s="25" t="s">
        <v>169</v>
      </c>
      <c r="D62" s="30">
        <v>62</v>
      </c>
      <c r="E62" s="27">
        <f>140</f>
        <v>140</v>
      </c>
      <c r="F62" s="27"/>
      <c r="G62" s="27"/>
      <c r="H62" s="29">
        <f>21+2+11</f>
        <v>34</v>
      </c>
      <c r="I62" s="29"/>
      <c r="J62" s="29"/>
      <c r="K62" s="29"/>
      <c r="L62" s="70">
        <f>8</f>
        <v>8</v>
      </c>
      <c r="M62" s="70">
        <f>11+10+6</f>
        <v>27</v>
      </c>
      <c r="N62" s="70"/>
      <c r="O62" s="29"/>
      <c r="P62" s="29"/>
      <c r="Q62" s="29"/>
      <c r="R62" s="29"/>
      <c r="S62" s="29"/>
      <c r="T62" s="29"/>
      <c r="U62" s="29"/>
      <c r="V62" s="29"/>
      <c r="W62" s="29"/>
      <c r="X62" s="26">
        <f t="shared" si="5"/>
        <v>133</v>
      </c>
      <c r="Y62" s="30"/>
      <c r="Z62" s="26">
        <f t="shared" si="6"/>
        <v>-133</v>
      </c>
      <c r="AA62" s="31"/>
      <c r="AB62" s="27"/>
    </row>
    <row r="63" spans="1:28">
      <c r="A63" s="23"/>
      <c r="B63" s="80" t="s">
        <v>170</v>
      </c>
      <c r="C63" s="25" t="s">
        <v>38</v>
      </c>
      <c r="D63" s="30">
        <v>43</v>
      </c>
      <c r="E63" s="27">
        <f>200+200</f>
        <v>400</v>
      </c>
      <c r="F63" s="27"/>
      <c r="G63" s="27"/>
      <c r="H63" s="29">
        <f>43+39+24</f>
        <v>106</v>
      </c>
      <c r="I63" s="29"/>
      <c r="J63" s="29"/>
      <c r="K63" s="29"/>
      <c r="L63" s="70">
        <f>12+80+7</f>
        <v>99</v>
      </c>
      <c r="M63" s="70">
        <f>8+18+26+66+16+17</f>
        <v>151</v>
      </c>
      <c r="N63" s="70"/>
      <c r="O63" s="69">
        <f>4+1</f>
        <v>5</v>
      </c>
      <c r="P63" s="29"/>
      <c r="Q63" s="29"/>
      <c r="R63" s="29">
        <f>1</f>
        <v>1</v>
      </c>
      <c r="S63" s="29">
        <f>50+1</f>
        <v>51</v>
      </c>
      <c r="T63" s="29">
        <f>1+1+1</f>
        <v>3</v>
      </c>
      <c r="U63" s="29"/>
      <c r="V63" s="29"/>
      <c r="W63" s="27"/>
      <c r="X63" s="26">
        <f t="shared" si="5"/>
        <v>27</v>
      </c>
      <c r="Y63" s="30"/>
      <c r="Z63" s="38">
        <f t="shared" si="6"/>
        <v>-27</v>
      </c>
      <c r="AA63" s="31"/>
      <c r="AB63" s="27"/>
    </row>
    <row r="64" spans="1:28">
      <c r="A64" s="23"/>
      <c r="B64" s="24" t="s">
        <v>171</v>
      </c>
      <c r="C64" s="25" t="s">
        <v>172</v>
      </c>
      <c r="D64" s="71">
        <v>37</v>
      </c>
      <c r="E64" s="27">
        <f>24+24</f>
        <v>48</v>
      </c>
      <c r="F64" s="27"/>
      <c r="G64" s="27"/>
      <c r="H64" s="29">
        <f>3+9</f>
        <v>12</v>
      </c>
      <c r="I64" s="29"/>
      <c r="J64" s="29"/>
      <c r="K64" s="29"/>
      <c r="L64" s="70">
        <f>8</f>
        <v>8</v>
      </c>
      <c r="M64" s="81">
        <f>12+2+16</f>
        <v>30</v>
      </c>
      <c r="N64" s="70"/>
      <c r="O64" s="29">
        <f>2</f>
        <v>2</v>
      </c>
      <c r="P64" s="29"/>
      <c r="Q64" s="29"/>
      <c r="R64" s="29"/>
      <c r="S64" s="29"/>
      <c r="T64" s="29">
        <f>1+1</f>
        <v>2</v>
      </c>
      <c r="U64" s="29"/>
      <c r="V64" s="29"/>
      <c r="W64" s="79"/>
      <c r="X64" s="26">
        <f t="shared" si="5"/>
        <v>31</v>
      </c>
      <c r="Y64" s="71"/>
      <c r="Z64" s="38">
        <f t="shared" si="6"/>
        <v>-31</v>
      </c>
      <c r="AA64" s="31"/>
      <c r="AB64" s="27"/>
    </row>
    <row r="65" spans="1:28">
      <c r="A65" s="23"/>
      <c r="B65" s="24" t="s">
        <v>173</v>
      </c>
      <c r="C65" s="25" t="s">
        <v>174</v>
      </c>
      <c r="D65" s="71">
        <v>2819</v>
      </c>
      <c r="E65" s="27">
        <f>3000</f>
        <v>3000</v>
      </c>
      <c r="F65" s="27"/>
      <c r="G65" s="27"/>
      <c r="H65" s="29">
        <f>13+21+2+1+43+3+14+24+21+300+621+2+9+625</f>
        <v>1699</v>
      </c>
      <c r="I65" s="29"/>
      <c r="J65" s="29">
        <f>5</f>
        <v>5</v>
      </c>
      <c r="K65" s="70">
        <f>2</f>
        <v>2</v>
      </c>
      <c r="L65" s="70">
        <f>7+2+2+2+8+5+1176+2+5+7+650</f>
        <v>1866</v>
      </c>
      <c r="M65" s="70">
        <f>11+10+12+2+380+10+4+2+18+26+17+8+22+40+100</f>
        <v>662</v>
      </c>
      <c r="N65" s="70"/>
      <c r="O65" s="29">
        <f>1+1+104+1</f>
        <v>107</v>
      </c>
      <c r="P65" s="29"/>
      <c r="Q65" s="29"/>
      <c r="R65" s="29">
        <f>1+1</f>
        <v>2</v>
      </c>
      <c r="S65" s="29"/>
      <c r="T65" s="29">
        <v>3</v>
      </c>
      <c r="U65" s="29">
        <f>1+1</f>
        <v>2</v>
      </c>
      <c r="V65" s="29"/>
      <c r="W65" s="29"/>
      <c r="X65" s="26">
        <f t="shared" si="5"/>
        <v>1471</v>
      </c>
      <c r="Y65" s="71"/>
      <c r="Z65" s="38">
        <f t="shared" si="6"/>
        <v>-1471</v>
      </c>
      <c r="AA65" s="31"/>
      <c r="AB65" s="27"/>
    </row>
    <row r="66" spans="1:28">
      <c r="A66" s="23"/>
      <c r="B66" s="82" t="s">
        <v>175</v>
      </c>
      <c r="C66" s="25"/>
      <c r="D66" s="71">
        <v>23186</v>
      </c>
      <c r="E66" s="27"/>
      <c r="F66" s="27"/>
      <c r="G66" s="27"/>
      <c r="H66" s="29">
        <f>24+65</f>
        <v>89</v>
      </c>
      <c r="I66" s="29"/>
      <c r="J66" s="29"/>
      <c r="K66" s="29"/>
      <c r="L66" s="70">
        <f>6</f>
        <v>6</v>
      </c>
      <c r="M66" s="70">
        <f>42+50</f>
        <v>92</v>
      </c>
      <c r="N66" s="70"/>
      <c r="O66" s="29"/>
      <c r="P66" s="29"/>
      <c r="Q66" s="29"/>
      <c r="R66" s="29"/>
      <c r="S66" s="29"/>
      <c r="T66" s="29"/>
      <c r="U66" s="29"/>
      <c r="V66" s="29"/>
      <c r="W66" s="29"/>
      <c r="X66" s="26">
        <f t="shared" si="5"/>
        <v>22999</v>
      </c>
      <c r="Y66" s="71"/>
      <c r="Z66" s="38">
        <f t="shared" si="6"/>
        <v>-22999</v>
      </c>
      <c r="AA66" s="31"/>
      <c r="AB66" s="27"/>
    </row>
    <row r="67" spans="1:28">
      <c r="A67" s="23"/>
      <c r="B67" s="24" t="s">
        <v>176</v>
      </c>
      <c r="C67" s="25"/>
      <c r="D67" s="71">
        <v>415</v>
      </c>
      <c r="E67" s="27"/>
      <c r="F67" s="27"/>
      <c r="G67" s="27"/>
      <c r="H67" s="29">
        <f>21+23+12</f>
        <v>56</v>
      </c>
      <c r="I67" s="29"/>
      <c r="J67" s="29"/>
      <c r="K67" s="29"/>
      <c r="L67" s="70">
        <f>5+5+7</f>
        <v>17</v>
      </c>
      <c r="M67" s="70">
        <f>9+40</f>
        <v>49</v>
      </c>
      <c r="N67" s="70"/>
      <c r="O67" s="29">
        <f>4+1</f>
        <v>5</v>
      </c>
      <c r="P67" s="29"/>
      <c r="Q67" s="29"/>
      <c r="R67" s="29"/>
      <c r="S67" s="29">
        <v>11</v>
      </c>
      <c r="T67" s="29">
        <f>1+1</f>
        <v>2</v>
      </c>
      <c r="U67" s="29"/>
      <c r="V67" s="29"/>
      <c r="W67" s="29"/>
      <c r="X67" s="26">
        <f t="shared" si="5"/>
        <v>275</v>
      </c>
      <c r="Y67" s="71"/>
      <c r="Z67" s="38">
        <f t="shared" si="6"/>
        <v>-275</v>
      </c>
      <c r="AA67" s="31"/>
      <c r="AB67" s="27"/>
    </row>
    <row r="68" spans="1:28">
      <c r="A68" s="23"/>
      <c r="B68" s="24" t="s">
        <v>177</v>
      </c>
      <c r="C68" s="25"/>
      <c r="D68" s="71">
        <v>88</v>
      </c>
      <c r="E68" s="27">
        <f>100</f>
        <v>100</v>
      </c>
      <c r="F68" s="27"/>
      <c r="G68" s="27"/>
      <c r="H68" s="29">
        <f>27+30+15</f>
        <v>72</v>
      </c>
      <c r="I68" s="29"/>
      <c r="J68" s="29"/>
      <c r="K68" s="29"/>
      <c r="L68" s="70">
        <f>13+98</f>
        <v>111</v>
      </c>
      <c r="M68" s="70"/>
      <c r="N68" s="70"/>
      <c r="O68" s="29"/>
      <c r="P68" s="29"/>
      <c r="Q68" s="29"/>
      <c r="R68" s="29"/>
      <c r="S68" s="29"/>
      <c r="T68" s="29"/>
      <c r="U68" s="29"/>
      <c r="V68" s="29"/>
      <c r="W68" s="29"/>
      <c r="X68" s="26">
        <f t="shared" si="5"/>
        <v>5</v>
      </c>
      <c r="Y68" s="71"/>
      <c r="Z68" s="38">
        <f t="shared" si="6"/>
        <v>-5</v>
      </c>
      <c r="AA68" s="31"/>
      <c r="AB68" s="27"/>
    </row>
    <row r="69" spans="1:28" s="5" customFormat="1" ht="18.75" customHeight="1">
      <c r="A69" s="83"/>
      <c r="B69" s="84" t="s">
        <v>178</v>
      </c>
      <c r="C69" s="85"/>
      <c r="D69" s="86"/>
      <c r="E69" s="87"/>
      <c r="F69" s="87"/>
      <c r="G69" s="87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26">
        <f t="shared" si="5"/>
        <v>0</v>
      </c>
      <c r="Y69" s="86"/>
      <c r="Z69" s="89"/>
      <c r="AA69" s="90"/>
      <c r="AB69" s="87"/>
    </row>
    <row r="70" spans="1:28" ht="16.5">
      <c r="A70" s="23"/>
      <c r="B70" s="91" t="s">
        <v>179</v>
      </c>
      <c r="C70" s="25" t="s">
        <v>180</v>
      </c>
      <c r="D70" s="71">
        <v>243</v>
      </c>
      <c r="E70" s="27">
        <f>500+1000</f>
        <v>1500</v>
      </c>
      <c r="F70" s="27"/>
      <c r="G70" s="27"/>
      <c r="H70" s="29">
        <f>15+300+110+66</f>
        <v>491</v>
      </c>
      <c r="I70" s="29"/>
      <c r="J70" s="29">
        <f>2</f>
        <v>2</v>
      </c>
      <c r="K70" s="29"/>
      <c r="L70" s="29"/>
      <c r="M70" s="29">
        <f>15+150+55+42</f>
        <v>262</v>
      </c>
      <c r="N70" s="29"/>
      <c r="O70" s="29">
        <f>5+60</f>
        <v>65</v>
      </c>
      <c r="P70" s="29"/>
      <c r="Q70" s="29"/>
      <c r="R70" s="29"/>
      <c r="S70" s="29"/>
      <c r="T70" s="29">
        <v>3</v>
      </c>
      <c r="U70" s="29"/>
      <c r="V70" s="29"/>
      <c r="W70" s="29"/>
      <c r="X70" s="26">
        <f t="shared" si="5"/>
        <v>920</v>
      </c>
      <c r="Y70" s="71"/>
      <c r="Z70" s="26">
        <f t="shared" ref="Z70:Z76" si="7">Y70-X70</f>
        <v>-920</v>
      </c>
      <c r="AA70" s="31"/>
      <c r="AB70" s="27"/>
    </row>
    <row r="71" spans="1:28" ht="16.5">
      <c r="A71" s="23"/>
      <c r="B71" s="91" t="s">
        <v>181</v>
      </c>
      <c r="C71" s="25" t="s">
        <v>182</v>
      </c>
      <c r="D71" s="71">
        <v>221</v>
      </c>
      <c r="E71" s="27"/>
      <c r="F71" s="27"/>
      <c r="G71" s="27"/>
      <c r="H71" s="29"/>
      <c r="I71" s="29"/>
      <c r="J71" s="29"/>
      <c r="K71" s="29"/>
      <c r="L71" s="29"/>
      <c r="M71" s="29">
        <f>6+12</f>
        <v>18</v>
      </c>
      <c r="N71" s="29"/>
      <c r="O71" s="29"/>
      <c r="P71" s="29"/>
      <c r="Q71" s="29"/>
      <c r="R71" s="29"/>
      <c r="S71" s="29"/>
      <c r="T71" s="29">
        <v>3</v>
      </c>
      <c r="U71" s="29"/>
      <c r="V71" s="29"/>
      <c r="W71" s="29"/>
      <c r="X71" s="26">
        <f t="shared" si="5"/>
        <v>200</v>
      </c>
      <c r="Y71" s="71"/>
      <c r="Z71" s="26">
        <f t="shared" si="7"/>
        <v>-200</v>
      </c>
      <c r="AA71" s="31"/>
      <c r="AB71" s="27"/>
    </row>
    <row r="72" spans="1:28" ht="16.5">
      <c r="A72" s="23"/>
      <c r="B72" s="91" t="s">
        <v>183</v>
      </c>
      <c r="C72" s="25" t="s">
        <v>184</v>
      </c>
      <c r="D72" s="71">
        <v>807</v>
      </c>
      <c r="E72" s="27"/>
      <c r="F72" s="27"/>
      <c r="G72" s="27"/>
      <c r="H72" s="29">
        <f>3+45+12</f>
        <v>60</v>
      </c>
      <c r="I72" s="29"/>
      <c r="J72" s="29"/>
      <c r="K72" s="29"/>
      <c r="L72" s="29">
        <f>25</f>
        <v>25</v>
      </c>
      <c r="M72" s="29">
        <f>21+20+54</f>
        <v>95</v>
      </c>
      <c r="N72" s="29"/>
      <c r="O72" s="29"/>
      <c r="P72" s="29"/>
      <c r="Q72" s="29"/>
      <c r="R72" s="29">
        <f>5</f>
        <v>5</v>
      </c>
      <c r="S72" s="29"/>
      <c r="T72" s="29"/>
      <c r="U72" s="29">
        <v>1</v>
      </c>
      <c r="V72" s="29"/>
      <c r="W72" s="29"/>
      <c r="X72" s="26">
        <f t="shared" si="5"/>
        <v>621</v>
      </c>
      <c r="Y72" s="71"/>
      <c r="Z72" s="26">
        <f t="shared" si="7"/>
        <v>-621</v>
      </c>
      <c r="AA72" s="31"/>
      <c r="AB72" s="27"/>
    </row>
    <row r="73" spans="1:28" ht="16.5">
      <c r="A73" s="23"/>
      <c r="B73" s="91" t="s">
        <v>185</v>
      </c>
      <c r="C73" s="25"/>
      <c r="D73" s="71">
        <v>62</v>
      </c>
      <c r="E73" s="27"/>
      <c r="F73" s="27"/>
      <c r="G73" s="27"/>
      <c r="H73" s="29">
        <f>10</f>
        <v>10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>
        <f>5</f>
        <v>5</v>
      </c>
      <c r="T73" s="29"/>
      <c r="U73" s="29"/>
      <c r="V73" s="29"/>
      <c r="W73" s="29"/>
      <c r="X73" s="26">
        <f t="shared" si="5"/>
        <v>47</v>
      </c>
      <c r="Y73" s="71"/>
      <c r="Z73" s="26">
        <f t="shared" si="7"/>
        <v>-47</v>
      </c>
      <c r="AA73" s="31"/>
      <c r="AB73" s="27"/>
    </row>
    <row r="74" spans="1:28" ht="16.5">
      <c r="A74" s="23"/>
      <c r="B74" s="91" t="s">
        <v>186</v>
      </c>
      <c r="C74" s="25"/>
      <c r="D74" s="71">
        <v>381</v>
      </c>
      <c r="E74" s="27"/>
      <c r="F74" s="27"/>
      <c r="G74" s="27"/>
      <c r="H74" s="29">
        <f>5</f>
        <v>5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>
        <v>200</v>
      </c>
      <c r="T74" s="29"/>
      <c r="U74" s="29"/>
      <c r="V74" s="29"/>
      <c r="W74" s="29"/>
      <c r="X74" s="26">
        <f t="shared" si="5"/>
        <v>176</v>
      </c>
      <c r="Y74" s="71"/>
      <c r="Z74" s="26">
        <f t="shared" si="7"/>
        <v>-176</v>
      </c>
      <c r="AA74" s="31"/>
      <c r="AB74" s="27"/>
    </row>
    <row r="75" spans="1:28" ht="16.5">
      <c r="A75" s="23"/>
      <c r="B75" s="91" t="s">
        <v>187</v>
      </c>
      <c r="C75" s="25" t="s">
        <v>188</v>
      </c>
      <c r="D75" s="71">
        <v>143</v>
      </c>
      <c r="E75" s="27">
        <f>500</f>
        <v>500</v>
      </c>
      <c r="F75" s="27"/>
      <c r="G75" s="27"/>
      <c r="H75" s="29">
        <f>116</f>
        <v>116</v>
      </c>
      <c r="I75" s="29"/>
      <c r="J75" s="29">
        <f>2</f>
        <v>2</v>
      </c>
      <c r="K75" s="29"/>
      <c r="L75" s="29"/>
      <c r="M75" s="29">
        <f>8</f>
        <v>8</v>
      </c>
      <c r="N75" s="29"/>
      <c r="O75" s="69">
        <f>25+23</f>
        <v>48</v>
      </c>
      <c r="P75" s="29"/>
      <c r="Q75" s="29"/>
      <c r="R75" s="29"/>
      <c r="S75" s="29"/>
      <c r="T75" s="29">
        <f>3+2</f>
        <v>5</v>
      </c>
      <c r="U75" s="29"/>
      <c r="V75" s="29"/>
      <c r="W75" s="29"/>
      <c r="X75" s="26">
        <f t="shared" si="5"/>
        <v>464</v>
      </c>
      <c r="Y75" s="71"/>
      <c r="Z75" s="26">
        <f t="shared" si="7"/>
        <v>-464</v>
      </c>
      <c r="AA75" s="31"/>
      <c r="AB75" s="27"/>
    </row>
    <row r="76" spans="1:28" ht="16.5">
      <c r="A76" s="23"/>
      <c r="B76" s="91" t="s">
        <v>189</v>
      </c>
      <c r="C76" s="25" t="s">
        <v>190</v>
      </c>
      <c r="D76" s="71">
        <v>137</v>
      </c>
      <c r="E76" s="27">
        <f>120</f>
        <v>120</v>
      </c>
      <c r="F76" s="27"/>
      <c r="G76" s="27"/>
      <c r="H76" s="29">
        <f>12+66</f>
        <v>78</v>
      </c>
      <c r="I76" s="29"/>
      <c r="J76" s="29"/>
      <c r="K76" s="29"/>
      <c r="L76" s="29">
        <f>8</f>
        <v>8</v>
      </c>
      <c r="M76" s="29">
        <f>38</f>
        <v>38</v>
      </c>
      <c r="N76" s="29"/>
      <c r="O76" s="69">
        <f>48</f>
        <v>48</v>
      </c>
      <c r="P76" s="29"/>
      <c r="Q76" s="29"/>
      <c r="R76" s="29"/>
      <c r="S76" s="29"/>
      <c r="T76" s="29"/>
      <c r="U76" s="29"/>
      <c r="V76" s="29"/>
      <c r="W76" s="29"/>
      <c r="X76" s="26">
        <f t="shared" si="5"/>
        <v>85</v>
      </c>
      <c r="Y76" s="71"/>
      <c r="Z76" s="26">
        <f t="shared" si="7"/>
        <v>-85</v>
      </c>
      <c r="AA76" s="31"/>
      <c r="AB76" s="27"/>
    </row>
    <row r="77" spans="1:28" s="6" customFormat="1" ht="20.25">
      <c r="A77" s="92"/>
      <c r="B77" s="93" t="s">
        <v>191</v>
      </c>
      <c r="C77" s="94"/>
      <c r="D77" s="95"/>
      <c r="E77" s="96"/>
      <c r="F77" s="96"/>
      <c r="G77" s="96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26">
        <f t="shared" si="5"/>
        <v>0</v>
      </c>
      <c r="Y77" s="95"/>
      <c r="Z77" s="98"/>
      <c r="AA77" s="99"/>
      <c r="AB77" s="96"/>
    </row>
    <row r="78" spans="1:28" ht="16.5">
      <c r="A78" s="23"/>
      <c r="B78" s="91" t="s">
        <v>192</v>
      </c>
      <c r="C78" s="25" t="s">
        <v>45</v>
      </c>
      <c r="D78" s="30">
        <v>996</v>
      </c>
      <c r="E78" s="27"/>
      <c r="F78" s="27"/>
      <c r="G78" s="27"/>
      <c r="H78" s="29">
        <f>65+50+160+78</f>
        <v>353</v>
      </c>
      <c r="I78" s="29"/>
      <c r="J78" s="29">
        <f>5+28+24</f>
        <v>57</v>
      </c>
      <c r="K78" s="29">
        <f>4+6+2</f>
        <v>12</v>
      </c>
      <c r="L78" s="69">
        <f>35+16+6</f>
        <v>57</v>
      </c>
      <c r="M78" s="70">
        <f>1+24</f>
        <v>25</v>
      </c>
      <c r="N78" s="70"/>
      <c r="O78" s="29">
        <f>5+42</f>
        <v>47</v>
      </c>
      <c r="P78" s="29"/>
      <c r="Q78" s="29"/>
      <c r="R78" s="29"/>
      <c r="S78" s="29">
        <f>100</f>
        <v>100</v>
      </c>
      <c r="T78" s="29">
        <v>3</v>
      </c>
      <c r="U78" s="29"/>
      <c r="V78" s="29"/>
      <c r="W78" s="29"/>
      <c r="X78" s="26">
        <f t="shared" si="5"/>
        <v>342</v>
      </c>
      <c r="Y78" s="30"/>
      <c r="Z78" s="26">
        <f t="shared" ref="Z78:Z90" si="8">Y78-X78</f>
        <v>-342</v>
      </c>
      <c r="AA78" s="31"/>
      <c r="AB78" s="27"/>
    </row>
    <row r="79" spans="1:28" ht="16.5">
      <c r="A79" s="23"/>
      <c r="B79" s="91" t="s">
        <v>193</v>
      </c>
      <c r="C79" s="25" t="s">
        <v>194</v>
      </c>
      <c r="D79" s="30">
        <v>356</v>
      </c>
      <c r="E79" s="27"/>
      <c r="F79" s="27"/>
      <c r="G79" s="27"/>
      <c r="H79" s="29">
        <f>6</f>
        <v>6</v>
      </c>
      <c r="I79" s="29"/>
      <c r="J79" s="29"/>
      <c r="K79" s="29"/>
      <c r="L79" s="29"/>
      <c r="M79" s="70">
        <f>6</f>
        <v>6</v>
      </c>
      <c r="N79" s="70"/>
      <c r="O79" s="29"/>
      <c r="P79" s="29"/>
      <c r="Q79" s="29"/>
      <c r="R79" s="29"/>
      <c r="S79" s="29"/>
      <c r="T79" s="29"/>
      <c r="U79" s="29"/>
      <c r="V79" s="29"/>
      <c r="W79" s="29"/>
      <c r="X79" s="26">
        <f t="shared" si="5"/>
        <v>344</v>
      </c>
      <c r="Y79" s="30"/>
      <c r="Z79" s="26">
        <f t="shared" si="8"/>
        <v>-344</v>
      </c>
      <c r="AA79" s="31"/>
      <c r="AB79" s="27"/>
    </row>
    <row r="80" spans="1:28" ht="16.5">
      <c r="A80" s="23"/>
      <c r="B80" s="100" t="s">
        <v>195</v>
      </c>
      <c r="C80" s="25"/>
      <c r="D80" s="30">
        <v>730</v>
      </c>
      <c r="E80" s="27"/>
      <c r="F80" s="27"/>
      <c r="G80" s="27"/>
      <c r="H80" s="29">
        <f>10+10+5+5+20</f>
        <v>50</v>
      </c>
      <c r="I80" s="29"/>
      <c r="J80" s="29"/>
      <c r="K80" s="29"/>
      <c r="L80" s="29"/>
      <c r="M80" s="70">
        <f>10+50+5+5+50+5+10+250+5</f>
        <v>390</v>
      </c>
      <c r="N80" s="70"/>
      <c r="O80" s="29">
        <f>5</f>
        <v>5</v>
      </c>
      <c r="P80" s="29"/>
      <c r="Q80" s="29"/>
      <c r="R80" s="29">
        <f>5</f>
        <v>5</v>
      </c>
      <c r="S80" s="29"/>
      <c r="T80" s="29"/>
      <c r="U80" s="29"/>
      <c r="V80" s="29"/>
      <c r="W80" s="29">
        <v>350</v>
      </c>
      <c r="X80" s="26">
        <f t="shared" si="5"/>
        <v>630</v>
      </c>
      <c r="Y80" s="30">
        <v>720</v>
      </c>
      <c r="Z80" s="26">
        <f t="shared" si="8"/>
        <v>90</v>
      </c>
      <c r="AA80" s="31"/>
      <c r="AB80" s="27"/>
    </row>
    <row r="81" spans="1:30" ht="16.5">
      <c r="A81" s="23"/>
      <c r="B81" s="91" t="s">
        <v>196</v>
      </c>
      <c r="C81" s="25"/>
      <c r="D81" s="30">
        <v>356</v>
      </c>
      <c r="E81" s="27">
        <v>500</v>
      </c>
      <c r="F81" s="27"/>
      <c r="G81" s="27"/>
      <c r="H81" s="29">
        <f>9</f>
        <v>9</v>
      </c>
      <c r="I81" s="29"/>
      <c r="J81" s="29">
        <f>1</f>
        <v>1</v>
      </c>
      <c r="K81" s="29"/>
      <c r="L81" s="29"/>
      <c r="M81" s="70">
        <f>13</f>
        <v>13</v>
      </c>
      <c r="N81" s="70"/>
      <c r="O81" s="29"/>
      <c r="P81" s="29"/>
      <c r="Q81" s="29"/>
      <c r="R81" s="29"/>
      <c r="S81" s="29"/>
      <c r="T81" s="29"/>
      <c r="U81" s="29"/>
      <c r="V81" s="29"/>
      <c r="W81" s="29">
        <v>-150</v>
      </c>
      <c r="X81" s="26">
        <f t="shared" si="5"/>
        <v>683</v>
      </c>
      <c r="Y81" s="30"/>
      <c r="Z81" s="26">
        <f t="shared" si="8"/>
        <v>-683</v>
      </c>
      <c r="AA81" s="31"/>
      <c r="AB81" s="27"/>
    </row>
    <row r="82" spans="1:30" ht="16.5">
      <c r="A82" s="23"/>
      <c r="B82" s="91" t="s">
        <v>197</v>
      </c>
      <c r="C82" s="25"/>
      <c r="D82" s="30">
        <v>1026</v>
      </c>
      <c r="E82" s="27"/>
      <c r="F82" s="27"/>
      <c r="G82" s="27"/>
      <c r="H82" s="29">
        <f>10+6</f>
        <v>16</v>
      </c>
      <c r="I82" s="29"/>
      <c r="J82" s="29">
        <f>2</f>
        <v>2</v>
      </c>
      <c r="K82" s="29"/>
      <c r="L82" s="29"/>
      <c r="M82" s="70">
        <f>4+3</f>
        <v>7</v>
      </c>
      <c r="N82" s="70"/>
      <c r="O82" s="29"/>
      <c r="P82" s="29"/>
      <c r="Q82" s="29"/>
      <c r="R82" s="29"/>
      <c r="S82" s="29"/>
      <c r="T82" s="29"/>
      <c r="U82" s="29"/>
      <c r="V82" s="29"/>
      <c r="W82" s="29">
        <v>-200</v>
      </c>
      <c r="X82" s="26">
        <f t="shared" si="5"/>
        <v>801</v>
      </c>
      <c r="Y82" s="30"/>
      <c r="Z82" s="26">
        <f t="shared" si="8"/>
        <v>-801</v>
      </c>
      <c r="AA82" s="31"/>
      <c r="AB82" s="27"/>
    </row>
    <row r="83" spans="1:30" ht="16.5">
      <c r="A83" s="23"/>
      <c r="B83" s="91" t="s">
        <v>198</v>
      </c>
      <c r="C83" s="25" t="s">
        <v>199</v>
      </c>
      <c r="D83" s="30">
        <v>194</v>
      </c>
      <c r="E83" s="27"/>
      <c r="F83" s="27"/>
      <c r="G83" s="27"/>
      <c r="H83" s="29">
        <f>6+3+100</f>
        <v>109</v>
      </c>
      <c r="I83" s="29"/>
      <c r="J83" s="29">
        <f>4</f>
        <v>4</v>
      </c>
      <c r="K83" s="29"/>
      <c r="L83" s="29"/>
      <c r="M83" s="70">
        <f>6</f>
        <v>6</v>
      </c>
      <c r="N83" s="70"/>
      <c r="O83" s="29">
        <f>1</f>
        <v>1</v>
      </c>
      <c r="P83" s="29"/>
      <c r="Q83" s="29"/>
      <c r="R83" s="29"/>
      <c r="S83" s="29"/>
      <c r="T83" s="29"/>
      <c r="U83" s="29"/>
      <c r="V83" s="29"/>
      <c r="W83" s="29"/>
      <c r="X83" s="26">
        <f t="shared" si="5"/>
        <v>74</v>
      </c>
      <c r="Y83" s="30">
        <v>79</v>
      </c>
      <c r="Z83" s="26">
        <f t="shared" si="8"/>
        <v>5</v>
      </c>
      <c r="AA83" s="31"/>
      <c r="AB83" s="27"/>
    </row>
    <row r="84" spans="1:30" ht="16.5" hidden="1">
      <c r="A84" s="23"/>
      <c r="B84" s="91" t="s">
        <v>200</v>
      </c>
      <c r="C84" s="25" t="s">
        <v>201</v>
      </c>
      <c r="D84" s="30"/>
      <c r="E84" s="27"/>
      <c r="F84" s="27"/>
      <c r="G84" s="27"/>
      <c r="H84" s="29"/>
      <c r="I84" s="29"/>
      <c r="J84" s="29"/>
      <c r="K84" s="29"/>
      <c r="L84" s="29"/>
      <c r="M84" s="70"/>
      <c r="N84" s="70"/>
      <c r="O84" s="29"/>
      <c r="P84" s="29"/>
      <c r="Q84" s="29"/>
      <c r="R84" s="29"/>
      <c r="S84" s="29"/>
      <c r="T84" s="29"/>
      <c r="U84" s="29"/>
      <c r="V84" s="29"/>
      <c r="W84" s="29"/>
      <c r="X84" s="26">
        <f t="shared" si="5"/>
        <v>0</v>
      </c>
      <c r="Y84" s="30"/>
      <c r="Z84" s="26">
        <f t="shared" si="8"/>
        <v>0</v>
      </c>
      <c r="AA84" s="31"/>
      <c r="AB84" s="27"/>
    </row>
    <row r="85" spans="1:30" ht="16.5">
      <c r="A85" s="23"/>
      <c r="B85" s="91" t="s">
        <v>202</v>
      </c>
      <c r="C85" s="25" t="s">
        <v>203</v>
      </c>
      <c r="D85" s="30">
        <v>430</v>
      </c>
      <c r="E85" s="27"/>
      <c r="F85" s="27"/>
      <c r="G85" s="27"/>
      <c r="H85" s="29">
        <f>6+9</f>
        <v>15</v>
      </c>
      <c r="I85" s="29"/>
      <c r="J85" s="29">
        <f>5</f>
        <v>5</v>
      </c>
      <c r="K85" s="29"/>
      <c r="L85" s="29">
        <f>3</f>
        <v>3</v>
      </c>
      <c r="M85" s="29">
        <f>9</f>
        <v>9</v>
      </c>
      <c r="N85" s="29"/>
      <c r="O85" s="29">
        <f>5</f>
        <v>5</v>
      </c>
      <c r="P85" s="29"/>
      <c r="Q85" s="29"/>
      <c r="R85" s="29"/>
      <c r="S85" s="29"/>
      <c r="T85" s="29">
        <v>1</v>
      </c>
      <c r="U85" s="29"/>
      <c r="V85" s="29"/>
      <c r="W85" s="29"/>
      <c r="X85" s="26">
        <f t="shared" si="5"/>
        <v>392</v>
      </c>
      <c r="Y85" s="30"/>
      <c r="Z85" s="26">
        <f t="shared" si="8"/>
        <v>-392</v>
      </c>
      <c r="AA85" s="31"/>
      <c r="AB85" s="27"/>
    </row>
    <row r="86" spans="1:30" ht="16.5" hidden="1">
      <c r="A86" s="23"/>
      <c r="B86" s="91" t="s">
        <v>204</v>
      </c>
      <c r="C86" s="25" t="s">
        <v>205</v>
      </c>
      <c r="D86" s="71"/>
      <c r="E86" s="27"/>
      <c r="F86" s="27"/>
      <c r="G86" s="27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6">
        <f t="shared" si="5"/>
        <v>0</v>
      </c>
      <c r="Y86" s="71"/>
      <c r="Z86" s="26">
        <f t="shared" si="8"/>
        <v>0</v>
      </c>
      <c r="AA86" s="31"/>
      <c r="AB86" s="27"/>
    </row>
    <row r="87" spans="1:30" ht="16.5">
      <c r="A87" s="23"/>
      <c r="B87" s="91" t="s">
        <v>206</v>
      </c>
      <c r="C87" s="25" t="s">
        <v>207</v>
      </c>
      <c r="D87" s="30">
        <v>39</v>
      </c>
      <c r="E87" s="27"/>
      <c r="F87" s="27"/>
      <c r="G87" s="27"/>
      <c r="H87" s="29">
        <f>16</f>
        <v>16</v>
      </c>
      <c r="I87" s="29"/>
      <c r="J87" s="29"/>
      <c r="K87" s="29"/>
      <c r="L87" s="29">
        <f>3</f>
        <v>3</v>
      </c>
      <c r="M87" s="29">
        <f>10</f>
        <v>10</v>
      </c>
      <c r="N87" s="29"/>
      <c r="O87" s="29">
        <f>2</f>
        <v>2</v>
      </c>
      <c r="P87" s="29"/>
      <c r="Q87" s="29"/>
      <c r="R87" s="29"/>
      <c r="S87" s="29"/>
      <c r="T87" s="29">
        <f>3+2</f>
        <v>5</v>
      </c>
      <c r="U87" s="29"/>
      <c r="V87" s="29"/>
      <c r="W87" s="29"/>
      <c r="X87" s="26">
        <f t="shared" si="5"/>
        <v>3</v>
      </c>
      <c r="Y87" s="30"/>
      <c r="Z87" s="26">
        <f t="shared" si="8"/>
        <v>-3</v>
      </c>
      <c r="AA87" s="31"/>
      <c r="AB87" s="27"/>
    </row>
    <row r="88" spans="1:30" ht="16.5" hidden="1">
      <c r="A88" s="23"/>
      <c r="B88" s="91" t="s">
        <v>208</v>
      </c>
      <c r="C88" s="39" t="s">
        <v>42</v>
      </c>
      <c r="D88" s="30"/>
      <c r="E88" s="27"/>
      <c r="F88" s="27"/>
      <c r="G88" s="27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6">
        <f t="shared" si="5"/>
        <v>0</v>
      </c>
      <c r="Y88" s="30"/>
      <c r="Z88" s="26">
        <f t="shared" si="8"/>
        <v>0</v>
      </c>
      <c r="AA88" s="31"/>
      <c r="AB88" s="27"/>
    </row>
    <row r="89" spans="1:30" ht="16.5">
      <c r="A89" s="23"/>
      <c r="B89" s="91" t="s">
        <v>209</v>
      </c>
      <c r="C89" s="39" t="s">
        <v>48</v>
      </c>
      <c r="D89" s="30">
        <v>313</v>
      </c>
      <c r="E89" s="27"/>
      <c r="F89" s="27"/>
      <c r="G89" s="27"/>
      <c r="H89" s="29">
        <f>1</f>
        <v>1</v>
      </c>
      <c r="I89" s="29"/>
      <c r="J89" s="29"/>
      <c r="K89" s="29"/>
      <c r="L89" s="29"/>
      <c r="M89" s="29"/>
      <c r="N89" s="29"/>
      <c r="O89" s="29">
        <f>4</f>
        <v>4</v>
      </c>
      <c r="P89" s="29"/>
      <c r="Q89" s="29"/>
      <c r="R89" s="29"/>
      <c r="S89" s="29"/>
      <c r="T89" s="29"/>
      <c r="U89" s="29"/>
      <c r="V89" s="29"/>
      <c r="W89" s="29"/>
      <c r="X89" s="26">
        <f t="shared" si="5"/>
        <v>308</v>
      </c>
      <c r="Y89" s="30"/>
      <c r="Z89" s="26">
        <f t="shared" si="8"/>
        <v>-308</v>
      </c>
      <c r="AA89" s="31"/>
      <c r="AB89" s="27"/>
    </row>
    <row r="90" spans="1:30" ht="16.5">
      <c r="A90" s="23"/>
      <c r="B90" s="91" t="s">
        <v>210</v>
      </c>
      <c r="C90" s="39" t="s">
        <v>52</v>
      </c>
      <c r="D90" s="30">
        <v>67</v>
      </c>
      <c r="E90" s="27"/>
      <c r="F90" s="27"/>
      <c r="G90" s="27"/>
      <c r="H90" s="69">
        <f>4</f>
        <v>4</v>
      </c>
      <c r="I90" s="29"/>
      <c r="J90" s="29"/>
      <c r="K90" s="29"/>
      <c r="L90" s="29"/>
      <c r="M90" s="29">
        <f>4</f>
        <v>4</v>
      </c>
      <c r="N90" s="29"/>
      <c r="O90" s="29">
        <f>1</f>
        <v>1</v>
      </c>
      <c r="P90" s="29"/>
      <c r="Q90" s="29"/>
      <c r="R90" s="29"/>
      <c r="S90" s="29"/>
      <c r="T90" s="29">
        <f>1+1</f>
        <v>2</v>
      </c>
      <c r="U90" s="29">
        <f>1</f>
        <v>1</v>
      </c>
      <c r="V90" s="29"/>
      <c r="W90" s="29"/>
      <c r="X90" s="26">
        <f t="shared" si="5"/>
        <v>55</v>
      </c>
      <c r="Y90" s="30">
        <v>57</v>
      </c>
      <c r="Z90" s="26">
        <f t="shared" si="8"/>
        <v>2</v>
      </c>
      <c r="AA90" s="31"/>
      <c r="AB90" s="27"/>
    </row>
    <row r="91" spans="1:30" ht="16.5">
      <c r="A91" s="23"/>
      <c r="B91" s="101" t="s">
        <v>211</v>
      </c>
      <c r="C91" s="39"/>
      <c r="D91" s="30">
        <v>0</v>
      </c>
      <c r="E91" s="27"/>
      <c r="F91" s="27"/>
      <c r="G91" s="27"/>
      <c r="H91" s="7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6">
        <f t="shared" si="5"/>
        <v>0</v>
      </c>
      <c r="Y91" s="30"/>
      <c r="Z91" s="26"/>
      <c r="AA91" s="31"/>
      <c r="AB91" s="27"/>
    </row>
    <row r="92" spans="1:30" ht="16.5">
      <c r="A92" s="23"/>
      <c r="B92" s="102" t="s">
        <v>212</v>
      </c>
      <c r="C92" s="39"/>
      <c r="D92" s="30">
        <v>9</v>
      </c>
      <c r="E92" s="27"/>
      <c r="F92" s="27"/>
      <c r="G92" s="27"/>
      <c r="H92" s="29">
        <f>1</f>
        <v>1</v>
      </c>
      <c r="I92" s="29"/>
      <c r="J92" s="29">
        <f>1</f>
        <v>1</v>
      </c>
      <c r="K92" s="29">
        <f>1</f>
        <v>1</v>
      </c>
      <c r="L92" s="29"/>
      <c r="M92" s="29"/>
      <c r="N92" s="29"/>
      <c r="O92" s="29">
        <f>5</f>
        <v>5</v>
      </c>
      <c r="P92" s="29"/>
      <c r="Q92" s="29"/>
      <c r="R92" s="29"/>
      <c r="S92" s="29"/>
      <c r="T92" s="29"/>
      <c r="U92" s="29"/>
      <c r="V92" s="29"/>
      <c r="W92" s="29"/>
      <c r="X92" s="26">
        <f t="shared" si="5"/>
        <v>1</v>
      </c>
      <c r="Y92" s="30"/>
      <c r="Z92" s="26">
        <f t="shared" ref="Z92:Z98" si="9">Y92-X92</f>
        <v>-1</v>
      </c>
      <c r="AA92" s="31"/>
      <c r="AB92" s="27"/>
    </row>
    <row r="93" spans="1:30" ht="16.5">
      <c r="A93" s="23"/>
      <c r="B93" s="102" t="s">
        <v>213</v>
      </c>
      <c r="C93" s="39"/>
      <c r="D93" s="30">
        <v>10</v>
      </c>
      <c r="E93" s="27"/>
      <c r="F93" s="27"/>
      <c r="G93" s="27"/>
      <c r="H93" s="29">
        <f>1</f>
        <v>1</v>
      </c>
      <c r="I93" s="29"/>
      <c r="J93" s="29"/>
      <c r="K93" s="29">
        <f>2</f>
        <v>2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6">
        <f t="shared" si="5"/>
        <v>7</v>
      </c>
      <c r="Y93" s="30"/>
      <c r="Z93" s="26">
        <f t="shared" si="9"/>
        <v>-7</v>
      </c>
      <c r="AA93" s="31"/>
      <c r="AB93" s="27"/>
    </row>
    <row r="94" spans="1:30" s="7" customFormat="1">
      <c r="A94" s="103"/>
      <c r="B94" s="56"/>
      <c r="C94" s="104"/>
      <c r="D94" s="105"/>
      <c r="E94" s="106"/>
      <c r="F94" s="106"/>
      <c r="G94" s="106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5"/>
      <c r="Z94" s="108"/>
      <c r="AA94" s="109"/>
      <c r="AB94" s="106"/>
    </row>
    <row r="95" spans="1:30">
      <c r="D95" s="11"/>
      <c r="U95" s="11"/>
      <c r="X95" s="26">
        <f>D95+E95+F95+G95-Q95-P95-N95-M95-L95-J95-O95-H95-I95-K95-S95-T95-U95-V95+W95</f>
        <v>0</v>
      </c>
      <c r="Z95" s="9"/>
      <c r="AA95" s="9"/>
    </row>
    <row r="96" spans="1:30" s="8" customFormat="1" ht="20.25">
      <c r="A96" s="110"/>
      <c r="B96" s="111" t="s">
        <v>214</v>
      </c>
      <c r="C96" s="112"/>
      <c r="D96" s="113"/>
      <c r="E96" s="114"/>
      <c r="F96" s="114"/>
      <c r="G96" s="114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5"/>
      <c r="AA96" s="116"/>
      <c r="AB96" s="115"/>
      <c r="AC96" s="117"/>
      <c r="AD96" s="114"/>
    </row>
    <row r="97" spans="1:30" ht="16.5">
      <c r="A97" s="23"/>
      <c r="B97" s="91" t="s">
        <v>215</v>
      </c>
      <c r="C97" s="25" t="s">
        <v>45</v>
      </c>
      <c r="D97" s="29">
        <v>1</v>
      </c>
      <c r="E97" s="27"/>
      <c r="F97" s="27"/>
      <c r="G97" s="27"/>
      <c r="H97" s="79">
        <f>1</f>
        <v>1</v>
      </c>
      <c r="I97" s="29"/>
      <c r="J97" s="29"/>
      <c r="K97" s="29"/>
      <c r="L97" s="29"/>
      <c r="M97" s="70"/>
      <c r="N97" s="70"/>
      <c r="O97" s="29"/>
      <c r="P97" s="29"/>
      <c r="Q97" s="29"/>
      <c r="R97" s="29"/>
      <c r="S97" s="29"/>
      <c r="T97" s="29"/>
      <c r="U97" s="29"/>
      <c r="V97" s="29"/>
      <c r="W97" s="29"/>
      <c r="X97" s="26">
        <f t="shared" ref="X97:X103" si="10">D97+E97+F97+G97-Q97-P97-N97-M97-L97-J97-O97-H97-I97-K97-R97-S97-T97-U97-V97+W97</f>
        <v>0</v>
      </c>
      <c r="Y97" s="29"/>
      <c r="Z97" s="26">
        <f t="shared" si="9"/>
        <v>0</v>
      </c>
      <c r="AA97" s="30"/>
      <c r="AB97" s="27"/>
      <c r="AC97" s="31"/>
      <c r="AD97" s="27"/>
    </row>
    <row r="98" spans="1:30" ht="16.5">
      <c r="A98" s="23"/>
      <c r="B98" s="91" t="s">
        <v>216</v>
      </c>
      <c r="C98" s="25" t="s">
        <v>194</v>
      </c>
      <c r="D98" s="29">
        <v>54</v>
      </c>
      <c r="E98" s="27">
        <v>48</v>
      </c>
      <c r="F98" s="27"/>
      <c r="G98" s="27"/>
      <c r="H98" s="29">
        <f>31+1</f>
        <v>32</v>
      </c>
      <c r="I98" s="29"/>
      <c r="J98" s="29"/>
      <c r="K98" s="29"/>
      <c r="L98" s="29"/>
      <c r="M98" s="70"/>
      <c r="N98" s="70"/>
      <c r="O98" s="29"/>
      <c r="P98" s="29">
        <f>6</f>
        <v>6</v>
      </c>
      <c r="Q98" s="29">
        <f>3+48+2</f>
        <v>53</v>
      </c>
      <c r="R98" s="29"/>
      <c r="S98" s="29"/>
      <c r="T98" s="29"/>
      <c r="U98" s="29"/>
      <c r="V98" s="29"/>
      <c r="W98" s="29"/>
      <c r="X98" s="26">
        <f t="shared" si="10"/>
        <v>11</v>
      </c>
      <c r="Y98" s="29"/>
      <c r="Z98" s="26">
        <f t="shared" si="9"/>
        <v>-11</v>
      </c>
      <c r="AA98" s="30"/>
      <c r="AB98" s="27"/>
      <c r="AC98" s="31"/>
      <c r="AD98" s="27"/>
    </row>
    <row r="99" spans="1:30">
      <c r="A99" s="103"/>
      <c r="B99" s="56"/>
      <c r="C99" s="104"/>
      <c r="D99" s="107"/>
      <c r="E99" s="106"/>
      <c r="F99" s="106"/>
      <c r="G99" s="106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18"/>
      <c r="AA99" s="105"/>
      <c r="AB99" s="108"/>
      <c r="AC99" s="109"/>
      <c r="AD99" s="106"/>
    </row>
    <row r="100" spans="1:30">
      <c r="D100" s="11"/>
      <c r="X100" s="26">
        <f t="shared" si="10"/>
        <v>0</v>
      </c>
    </row>
    <row r="101" spans="1:30" s="8" customFormat="1" ht="20.25">
      <c r="A101" s="110"/>
      <c r="B101" s="111" t="s">
        <v>217</v>
      </c>
      <c r="C101" s="112"/>
      <c r="D101" s="113"/>
      <c r="E101" s="114"/>
      <c r="F101" s="114"/>
      <c r="G101" s="114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26">
        <f t="shared" si="10"/>
        <v>0</v>
      </c>
      <c r="Y101" s="113"/>
      <c r="Z101" s="115"/>
      <c r="AA101" s="116"/>
      <c r="AB101" s="115"/>
      <c r="AC101" s="117"/>
      <c r="AD101" s="114"/>
    </row>
    <row r="102" spans="1:30" ht="16.5">
      <c r="A102" s="23"/>
      <c r="B102" s="91" t="s">
        <v>218</v>
      </c>
      <c r="C102" s="25" t="s">
        <v>45</v>
      </c>
      <c r="D102" s="29">
        <v>234</v>
      </c>
      <c r="E102" s="27"/>
      <c r="F102" s="27"/>
      <c r="G102" s="27"/>
      <c r="H102" s="29">
        <f>22+12</f>
        <v>34</v>
      </c>
      <c r="I102" s="29"/>
      <c r="J102" s="29"/>
      <c r="K102" s="29"/>
      <c r="L102" s="29"/>
      <c r="M102" s="70">
        <f>3+72</f>
        <v>75</v>
      </c>
      <c r="N102" s="70"/>
      <c r="O102" s="29">
        <f>4+12</f>
        <v>16</v>
      </c>
      <c r="P102" s="29"/>
      <c r="Q102" s="29"/>
      <c r="R102" s="29"/>
      <c r="S102" s="29"/>
      <c r="T102" s="29">
        <v>2</v>
      </c>
      <c r="U102" s="29"/>
      <c r="V102" s="29"/>
      <c r="W102" s="29"/>
      <c r="X102" s="26">
        <f t="shared" si="10"/>
        <v>107</v>
      </c>
      <c r="Y102" s="29"/>
      <c r="Z102" s="26">
        <f t="shared" ref="Z102:Z112" si="11">Y102-X102</f>
        <v>-107</v>
      </c>
      <c r="AA102" s="30"/>
      <c r="AB102" s="27"/>
      <c r="AC102" s="31"/>
      <c r="AD102" s="27"/>
    </row>
    <row r="103" spans="1:30" ht="16.5">
      <c r="A103" s="23"/>
      <c r="B103" s="91" t="s">
        <v>219</v>
      </c>
      <c r="C103" s="25" t="s">
        <v>194</v>
      </c>
      <c r="D103" s="29">
        <v>190</v>
      </c>
      <c r="E103" s="27"/>
      <c r="F103" s="27"/>
      <c r="G103" s="27"/>
      <c r="H103" s="29">
        <f>13+36</f>
        <v>49</v>
      </c>
      <c r="I103" s="29"/>
      <c r="J103" s="29"/>
      <c r="K103" s="29">
        <f>1</f>
        <v>1</v>
      </c>
      <c r="L103" s="29"/>
      <c r="M103" s="70">
        <f>12</f>
        <v>12</v>
      </c>
      <c r="N103" s="70"/>
      <c r="O103" s="29">
        <f>1</f>
        <v>1</v>
      </c>
      <c r="P103" s="29"/>
      <c r="Q103" s="29"/>
      <c r="R103" s="29"/>
      <c r="S103" s="29"/>
      <c r="T103" s="29"/>
      <c r="U103" s="29"/>
      <c r="V103" s="29"/>
      <c r="W103" s="29"/>
      <c r="X103" s="26">
        <f t="shared" si="10"/>
        <v>127</v>
      </c>
      <c r="Y103" s="29"/>
      <c r="Z103" s="26">
        <f t="shared" si="11"/>
        <v>-127</v>
      </c>
      <c r="AA103" s="30"/>
      <c r="AB103" s="27"/>
      <c r="AC103" s="31"/>
      <c r="AD103" s="27"/>
    </row>
    <row r="104" spans="1:30">
      <c r="A104" s="103"/>
      <c r="B104" s="56"/>
      <c r="C104" s="104"/>
      <c r="D104" s="107"/>
      <c r="E104" s="106"/>
      <c r="F104" s="106"/>
      <c r="G104" s="106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18"/>
      <c r="AA104" s="105"/>
      <c r="AB104" s="108"/>
      <c r="AC104" s="109"/>
      <c r="AD104" s="106"/>
    </row>
    <row r="105" spans="1:30">
      <c r="D105" s="11"/>
      <c r="X105" s="26">
        <f t="shared" ref="X105:X113" si="12">D105+E105+F105+G105-Q105-P105-N105-M105-L105-J105-O105-H105-I105-K105-R105-S105-T105-U105-V105+W105</f>
        <v>0</v>
      </c>
    </row>
    <row r="106" spans="1:30" ht="20.25">
      <c r="A106" s="110"/>
      <c r="B106" s="111" t="s">
        <v>220</v>
      </c>
      <c r="C106" s="112"/>
      <c r="D106" s="113"/>
      <c r="E106" s="114"/>
      <c r="F106" s="114"/>
      <c r="G106" s="114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26">
        <f t="shared" si="12"/>
        <v>0</v>
      </c>
      <c r="Y106" s="113"/>
      <c r="Z106" s="115"/>
      <c r="AA106" s="116"/>
      <c r="AB106" s="115"/>
      <c r="AC106" s="117"/>
      <c r="AD106" s="114"/>
    </row>
    <row r="107" spans="1:30" ht="16.5">
      <c r="A107" s="23"/>
      <c r="B107" s="102" t="s">
        <v>221</v>
      </c>
      <c r="C107" s="25"/>
      <c r="D107" s="29">
        <v>40</v>
      </c>
      <c r="E107" s="27"/>
      <c r="F107" s="27"/>
      <c r="G107" s="27"/>
      <c r="H107" s="29"/>
      <c r="I107" s="29"/>
      <c r="J107" s="29"/>
      <c r="K107" s="29"/>
      <c r="L107" s="29">
        <f>2</f>
        <v>2</v>
      </c>
      <c r="M107" s="70"/>
      <c r="N107" s="70"/>
      <c r="O107" s="29"/>
      <c r="P107" s="29"/>
      <c r="Q107" s="29"/>
      <c r="R107" s="29"/>
      <c r="S107" s="29"/>
      <c r="T107" s="29"/>
      <c r="U107" s="29"/>
      <c r="V107" s="29"/>
      <c r="W107" s="29"/>
      <c r="X107" s="26">
        <f t="shared" si="12"/>
        <v>38</v>
      </c>
      <c r="Y107" s="29"/>
      <c r="Z107" s="26">
        <f t="shared" si="11"/>
        <v>-38</v>
      </c>
      <c r="AA107" s="30"/>
      <c r="AB107" s="27"/>
      <c r="AC107" s="31"/>
      <c r="AD107" s="27"/>
    </row>
    <row r="108" spans="1:30" ht="16.5">
      <c r="A108" s="23"/>
      <c r="B108" s="102" t="s">
        <v>222</v>
      </c>
      <c r="C108" s="25"/>
      <c r="D108" s="29">
        <v>40</v>
      </c>
      <c r="E108" s="38"/>
      <c r="F108" s="27"/>
      <c r="G108" s="27"/>
      <c r="H108" s="29">
        <f>4</f>
        <v>4</v>
      </c>
      <c r="I108" s="29"/>
      <c r="J108" s="29"/>
      <c r="K108" s="29"/>
      <c r="L108" s="29"/>
      <c r="M108" s="70"/>
      <c r="N108" s="70"/>
      <c r="O108" s="29"/>
      <c r="P108" s="29"/>
      <c r="Q108" s="29"/>
      <c r="R108" s="29"/>
      <c r="S108" s="29"/>
      <c r="T108" s="29"/>
      <c r="U108" s="29"/>
      <c r="V108" s="29"/>
      <c r="W108" s="29"/>
      <c r="X108" s="26">
        <f t="shared" si="12"/>
        <v>36</v>
      </c>
      <c r="Y108" s="29"/>
      <c r="Z108" s="26">
        <f t="shared" si="11"/>
        <v>-36</v>
      </c>
      <c r="AA108" s="30"/>
      <c r="AB108" s="27"/>
      <c r="AC108" s="31"/>
      <c r="AD108" s="27"/>
    </row>
    <row r="109" spans="1:30" ht="16.5">
      <c r="A109" s="23"/>
      <c r="B109" s="102"/>
      <c r="C109" s="25"/>
      <c r="D109" s="29"/>
      <c r="E109" s="27"/>
      <c r="F109" s="27"/>
      <c r="G109" s="27"/>
      <c r="H109" s="29"/>
      <c r="I109" s="29"/>
      <c r="J109" s="29"/>
      <c r="K109" s="29"/>
      <c r="L109" s="29"/>
      <c r="M109" s="70"/>
      <c r="N109" s="70"/>
      <c r="O109" s="29"/>
      <c r="P109" s="29"/>
      <c r="Q109" s="29"/>
      <c r="R109" s="29"/>
      <c r="S109" s="29"/>
      <c r="T109" s="29"/>
      <c r="U109" s="29"/>
      <c r="V109" s="29"/>
      <c r="W109" s="29"/>
      <c r="X109" s="26">
        <f t="shared" si="12"/>
        <v>0</v>
      </c>
      <c r="Y109" s="29"/>
      <c r="Z109" s="26">
        <f t="shared" si="11"/>
        <v>0</v>
      </c>
      <c r="AA109" s="30"/>
      <c r="AB109" s="27"/>
      <c r="AC109" s="31"/>
      <c r="AD109" s="27"/>
    </row>
    <row r="110" spans="1:30" ht="16.5">
      <c r="A110" s="23"/>
      <c r="B110" s="102"/>
      <c r="C110" s="25"/>
      <c r="D110" s="29"/>
      <c r="E110" s="27"/>
      <c r="F110" s="27"/>
      <c r="G110" s="27"/>
      <c r="H110" s="29"/>
      <c r="I110" s="29"/>
      <c r="J110" s="29"/>
      <c r="K110" s="29"/>
      <c r="L110" s="29"/>
      <c r="M110" s="70"/>
      <c r="N110" s="70"/>
      <c r="O110" s="29"/>
      <c r="P110" s="29"/>
      <c r="Q110" s="29"/>
      <c r="R110" s="29"/>
      <c r="S110" s="29"/>
      <c r="T110" s="29"/>
      <c r="U110" s="29"/>
      <c r="V110" s="29"/>
      <c r="W110" s="29"/>
      <c r="X110" s="26">
        <f t="shared" si="12"/>
        <v>0</v>
      </c>
      <c r="Y110" s="29"/>
      <c r="Z110" s="26">
        <f t="shared" si="11"/>
        <v>0</v>
      </c>
      <c r="AA110" s="30"/>
      <c r="AB110" s="27"/>
      <c r="AC110" s="31"/>
      <c r="AD110" s="27"/>
    </row>
    <row r="111" spans="1:30" ht="16.5">
      <c r="A111" s="23"/>
      <c r="B111" s="102"/>
      <c r="C111" s="25"/>
      <c r="D111" s="29"/>
      <c r="E111" s="27"/>
      <c r="F111" s="27"/>
      <c r="G111" s="27"/>
      <c r="H111" s="29"/>
      <c r="I111" s="29"/>
      <c r="J111" s="29"/>
      <c r="K111" s="29"/>
      <c r="L111" s="29"/>
      <c r="M111" s="70"/>
      <c r="N111" s="70"/>
      <c r="O111" s="29"/>
      <c r="P111" s="29"/>
      <c r="Q111" s="29"/>
      <c r="R111" s="29"/>
      <c r="S111" s="29"/>
      <c r="T111" s="29"/>
      <c r="U111" s="29"/>
      <c r="V111" s="29"/>
      <c r="W111" s="29"/>
      <c r="X111" s="26">
        <f t="shared" si="12"/>
        <v>0</v>
      </c>
      <c r="Y111" s="29"/>
      <c r="Z111" s="26">
        <f t="shared" si="11"/>
        <v>0</v>
      </c>
      <c r="AA111" s="30"/>
      <c r="AB111" s="27"/>
      <c r="AC111" s="31"/>
      <c r="AD111" s="27"/>
    </row>
    <row r="112" spans="1:30" ht="16.5">
      <c r="A112" s="23"/>
      <c r="B112" s="102"/>
      <c r="C112" s="25"/>
      <c r="D112" s="29"/>
      <c r="E112" s="27"/>
      <c r="F112" s="27"/>
      <c r="G112" s="27"/>
      <c r="H112" s="29"/>
      <c r="I112" s="29"/>
      <c r="J112" s="29"/>
      <c r="K112" s="29"/>
      <c r="L112" s="29"/>
      <c r="M112" s="70"/>
      <c r="N112" s="70"/>
      <c r="O112" s="29"/>
      <c r="P112" s="29"/>
      <c r="Q112" s="29"/>
      <c r="R112" s="29"/>
      <c r="S112" s="29"/>
      <c r="T112" s="29"/>
      <c r="U112" s="29"/>
      <c r="V112" s="29"/>
      <c r="W112" s="29"/>
      <c r="X112" s="26">
        <f t="shared" si="12"/>
        <v>0</v>
      </c>
      <c r="Y112" s="29"/>
      <c r="Z112" s="26">
        <f t="shared" si="11"/>
        <v>0</v>
      </c>
      <c r="AA112" s="30"/>
      <c r="AB112" s="27"/>
      <c r="AC112" s="31"/>
      <c r="AD112" s="27"/>
    </row>
    <row r="113" spans="1:30">
      <c r="A113" s="103"/>
      <c r="B113" s="56"/>
      <c r="C113" s="104"/>
      <c r="D113" s="118"/>
      <c r="E113" s="106"/>
      <c r="F113" s="106"/>
      <c r="G113" s="106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26">
        <f t="shared" si="12"/>
        <v>0</v>
      </c>
      <c r="Y113" s="107"/>
      <c r="Z113" s="118"/>
      <c r="AA113" s="105"/>
      <c r="AB113" s="108"/>
      <c r="AC113" s="109"/>
      <c r="AD113" s="106"/>
    </row>
    <row r="114" spans="1:30">
      <c r="D114" s="11"/>
      <c r="X114" s="26"/>
    </row>
    <row r="115" spans="1:30" ht="20.25">
      <c r="A115" s="110"/>
      <c r="B115" s="111" t="s">
        <v>220</v>
      </c>
      <c r="C115" s="112"/>
      <c r="D115" s="113"/>
      <c r="E115" s="114"/>
      <c r="F115" s="114"/>
      <c r="G115" s="114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26">
        <f t="shared" ref="X115:X122" si="13">D115+E115+F115+G115-Q115-P115-N115-M115-L115-J115-O115-H115-I115-K115-R115-S115-T115-U115-V115+W115</f>
        <v>0</v>
      </c>
      <c r="Y115" s="113"/>
      <c r="Z115" s="115"/>
      <c r="AA115" s="116"/>
      <c r="AB115" s="115"/>
      <c r="AC115" s="117"/>
      <c r="AD115" s="114"/>
    </row>
    <row r="116" spans="1:30" ht="16.5">
      <c r="A116" s="23"/>
      <c r="B116" s="102" t="s">
        <v>223</v>
      </c>
      <c r="C116" s="25" t="s">
        <v>45</v>
      </c>
      <c r="D116" s="29">
        <v>2</v>
      </c>
      <c r="E116" s="27"/>
      <c r="F116" s="27"/>
      <c r="G116" s="27"/>
      <c r="H116" s="29"/>
      <c r="I116" s="29"/>
      <c r="J116" s="29"/>
      <c r="K116" s="29"/>
      <c r="L116" s="29"/>
      <c r="M116" s="70"/>
      <c r="N116" s="70"/>
      <c r="O116" s="29"/>
      <c r="P116" s="29"/>
      <c r="Q116" s="29"/>
      <c r="R116" s="29"/>
      <c r="S116" s="29"/>
      <c r="T116" s="29"/>
      <c r="U116" s="29"/>
      <c r="V116" s="29"/>
      <c r="W116" s="29"/>
      <c r="X116" s="26">
        <f t="shared" si="13"/>
        <v>2</v>
      </c>
      <c r="Y116" s="29"/>
      <c r="Z116" s="26">
        <f t="shared" ref="Z116:Z121" si="14">Y116-X116</f>
        <v>-2</v>
      </c>
      <c r="AA116" s="30"/>
      <c r="AB116" s="27"/>
      <c r="AC116" s="31"/>
      <c r="AD116" s="27"/>
    </row>
    <row r="117" spans="1:30" ht="16.5">
      <c r="A117" s="23"/>
      <c r="B117" s="102" t="s">
        <v>224</v>
      </c>
      <c r="C117" s="25" t="s">
        <v>194</v>
      </c>
      <c r="D117" s="29">
        <v>0</v>
      </c>
      <c r="E117" s="38"/>
      <c r="F117" s="27"/>
      <c r="G117" s="27"/>
      <c r="H117" s="29"/>
      <c r="I117" s="29"/>
      <c r="J117" s="29"/>
      <c r="K117" s="29"/>
      <c r="L117" s="29"/>
      <c r="M117" s="70"/>
      <c r="N117" s="70"/>
      <c r="O117" s="29"/>
      <c r="P117" s="29"/>
      <c r="Q117" s="29"/>
      <c r="R117" s="29"/>
      <c r="S117" s="29"/>
      <c r="T117" s="29"/>
      <c r="U117" s="29"/>
      <c r="V117" s="29"/>
      <c r="W117" s="29"/>
      <c r="X117" s="26">
        <f t="shared" si="13"/>
        <v>0</v>
      </c>
      <c r="Y117" s="29"/>
      <c r="Z117" s="26">
        <f t="shared" si="14"/>
        <v>0</v>
      </c>
      <c r="AA117" s="30"/>
      <c r="AB117" s="27"/>
      <c r="AC117" s="31"/>
      <c r="AD117" s="27"/>
    </row>
    <row r="118" spans="1:30" ht="16.5">
      <c r="A118" s="23"/>
      <c r="B118" s="102" t="s">
        <v>225</v>
      </c>
      <c r="C118" s="25"/>
      <c r="D118" s="29">
        <v>0</v>
      </c>
      <c r="E118" s="27"/>
      <c r="F118" s="27"/>
      <c r="G118" s="27"/>
      <c r="H118" s="29"/>
      <c r="I118" s="29"/>
      <c r="J118" s="29"/>
      <c r="K118" s="29"/>
      <c r="L118" s="29"/>
      <c r="M118" s="70"/>
      <c r="N118" s="70"/>
      <c r="O118" s="29"/>
      <c r="P118" s="29"/>
      <c r="Q118" s="29"/>
      <c r="R118" s="29"/>
      <c r="S118" s="29"/>
      <c r="T118" s="29"/>
      <c r="U118" s="29"/>
      <c r="V118" s="29"/>
      <c r="W118" s="29"/>
      <c r="X118" s="26">
        <f t="shared" si="13"/>
        <v>0</v>
      </c>
      <c r="Y118" s="29"/>
      <c r="Z118" s="26">
        <f t="shared" si="14"/>
        <v>0</v>
      </c>
      <c r="AA118" s="30"/>
      <c r="AB118" s="27"/>
      <c r="AC118" s="31"/>
      <c r="AD118" s="27"/>
    </row>
    <row r="119" spans="1:30" ht="16.5">
      <c r="A119" s="23"/>
      <c r="B119" s="102" t="s">
        <v>226</v>
      </c>
      <c r="C119" s="25"/>
      <c r="D119" s="29">
        <v>2</v>
      </c>
      <c r="E119" s="27"/>
      <c r="F119" s="27"/>
      <c r="G119" s="27"/>
      <c r="H119" s="29"/>
      <c r="I119" s="29"/>
      <c r="J119" s="29"/>
      <c r="K119" s="29"/>
      <c r="L119" s="29"/>
      <c r="M119" s="70"/>
      <c r="N119" s="70"/>
      <c r="O119" s="29"/>
      <c r="P119" s="29"/>
      <c r="Q119" s="29"/>
      <c r="R119" s="29"/>
      <c r="S119" s="29"/>
      <c r="T119" s="29"/>
      <c r="U119" s="29"/>
      <c r="V119" s="29"/>
      <c r="W119" s="29"/>
      <c r="X119" s="26">
        <f t="shared" si="13"/>
        <v>2</v>
      </c>
      <c r="Y119" s="29"/>
      <c r="Z119" s="26">
        <f t="shared" si="14"/>
        <v>-2</v>
      </c>
      <c r="AA119" s="30"/>
      <c r="AB119" s="27"/>
      <c r="AC119" s="31"/>
      <c r="AD119" s="27"/>
    </row>
    <row r="120" spans="1:30" ht="16.5">
      <c r="A120" s="23"/>
      <c r="B120" s="102" t="s">
        <v>227</v>
      </c>
      <c r="C120" s="25"/>
      <c r="D120" s="29">
        <v>2</v>
      </c>
      <c r="E120" s="27"/>
      <c r="F120" s="27"/>
      <c r="G120" s="27"/>
      <c r="H120" s="29"/>
      <c r="I120" s="29"/>
      <c r="J120" s="29"/>
      <c r="K120" s="29"/>
      <c r="L120" s="29"/>
      <c r="M120" s="70"/>
      <c r="N120" s="70"/>
      <c r="O120" s="29"/>
      <c r="P120" s="29"/>
      <c r="Q120" s="29"/>
      <c r="R120" s="29"/>
      <c r="S120" s="29"/>
      <c r="T120" s="29"/>
      <c r="U120" s="29"/>
      <c r="V120" s="29"/>
      <c r="W120" s="29"/>
      <c r="X120" s="26">
        <f t="shared" si="13"/>
        <v>2</v>
      </c>
      <c r="Y120" s="29"/>
      <c r="Z120" s="26">
        <f t="shared" si="14"/>
        <v>-2</v>
      </c>
      <c r="AA120" s="30"/>
      <c r="AB120" s="27"/>
      <c r="AC120" s="31"/>
      <c r="AD120" s="27"/>
    </row>
    <row r="121" spans="1:30" ht="16.5">
      <c r="A121" s="23"/>
      <c r="B121" s="102" t="s">
        <v>228</v>
      </c>
      <c r="C121" s="25"/>
      <c r="D121" s="29">
        <v>2</v>
      </c>
      <c r="E121" s="27"/>
      <c r="F121" s="27"/>
      <c r="G121" s="27"/>
      <c r="H121" s="29"/>
      <c r="I121" s="29"/>
      <c r="J121" s="29"/>
      <c r="K121" s="29"/>
      <c r="L121" s="29"/>
      <c r="M121" s="70"/>
      <c r="N121" s="70"/>
      <c r="O121" s="29"/>
      <c r="P121" s="29"/>
      <c r="Q121" s="29"/>
      <c r="R121" s="29"/>
      <c r="S121" s="29"/>
      <c r="T121" s="29"/>
      <c r="U121" s="29"/>
      <c r="V121" s="29"/>
      <c r="W121" s="29"/>
      <c r="X121" s="26">
        <f t="shared" si="13"/>
        <v>2</v>
      </c>
      <c r="Y121" s="29"/>
      <c r="Z121" s="26">
        <f t="shared" si="14"/>
        <v>-2</v>
      </c>
      <c r="AA121" s="30"/>
      <c r="AB121" s="27"/>
      <c r="AC121" s="31"/>
      <c r="AD121" s="27"/>
    </row>
    <row r="122" spans="1:30">
      <c r="A122" s="103"/>
      <c r="B122" s="56"/>
      <c r="C122" s="104"/>
      <c r="D122" s="118"/>
      <c r="E122" s="106"/>
      <c r="F122" s="106"/>
      <c r="G122" s="106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26">
        <f t="shared" si="13"/>
        <v>0</v>
      </c>
      <c r="Y122" s="107"/>
      <c r="Z122" s="118"/>
      <c r="AA122" s="105"/>
      <c r="AB122" s="108"/>
      <c r="AC122" s="109"/>
      <c r="AD122" s="106"/>
    </row>
  </sheetData>
  <conditionalFormatting sqref="B70:B93">
    <cfRule type="cellIs" dxfId="4" priority="4" operator="lessThan">
      <formula>0</formula>
    </cfRule>
  </conditionalFormatting>
  <conditionalFormatting sqref="B96:B98">
    <cfRule type="cellIs" dxfId="3" priority="5" operator="lessThan">
      <formula>0</formula>
    </cfRule>
  </conditionalFormatting>
  <conditionalFormatting sqref="B101:B103">
    <cfRule type="cellIs" dxfId="2" priority="3" operator="lessThan">
      <formula>0</formula>
    </cfRule>
  </conditionalFormatting>
  <conditionalFormatting sqref="B106:B112">
    <cfRule type="cellIs" dxfId="1" priority="1" operator="lessThan">
      <formula>0</formula>
    </cfRule>
  </conditionalFormatting>
  <conditionalFormatting sqref="B115:B121">
    <cfRule type="cellIs" dxfId="0" priority="2" operator="lessThan">
      <formula>0</formula>
    </cfRule>
  </conditionalFormatting>
  <dataValidations count="2">
    <dataValidation type="textLength" showInputMessage="1" showErrorMessage="1" sqref="B8 B10:B43 B78:B93 B97:B98 B102:B103 B107:B112 B116:B121">
      <formula1>5</formula1>
      <formula2>100</formula2>
    </dataValidation>
    <dataValidation type="textLength" showInputMessage="1" showErrorMessage="1" sqref="C18 C79 C98 C103 C22:C42 C83:C87 C108:C112 C117:C121">
      <formula1>0</formula1>
      <formula2>20</formula2>
    </dataValidation>
  </dataValidations>
  <pageMargins left="0.7" right="0.7" top="0.75" bottom="0.75" header="0.3" footer="0.3"/>
  <pageSetup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22"/>
  <sheetViews>
    <sheetView zoomScale="85" zoomScaleNormal="85" workbookViewId="0">
      <pane xSplit="3" ySplit="1" topLeftCell="D2" activePane="bottomRight" state="frozen"/>
      <selection pane="topRight"/>
      <selection pane="bottomLeft"/>
      <selection pane="bottomRight" activeCell="W54" sqref="W54"/>
    </sheetView>
  </sheetViews>
  <sheetFormatPr defaultColWidth="9" defaultRowHeight="15"/>
  <cols>
    <col min="1" max="1" width="12" style="9" customWidth="1"/>
    <col min="2" max="2" width="41" style="9" customWidth="1"/>
    <col min="3" max="3" width="15" style="9" hidden="1" customWidth="1"/>
    <col min="4" max="4" width="16.5703125" style="9" customWidth="1"/>
    <col min="5" max="5" width="10.85546875" style="10" customWidth="1"/>
    <col min="6" max="6" width="6.7109375" style="9" customWidth="1"/>
    <col min="7" max="7" width="6.7109375" style="9" hidden="1" customWidth="1"/>
    <col min="8" max="8" width="12.42578125" style="9" customWidth="1"/>
    <col min="9" max="9" width="11.7109375" style="9" hidden="1" customWidth="1"/>
    <col min="10" max="13" width="11.7109375" style="9" customWidth="1"/>
    <col min="14" max="14" width="11.7109375" style="9" hidden="1" customWidth="1"/>
    <col min="15" max="19" width="11.7109375" style="9" customWidth="1"/>
    <col min="20" max="21" width="10.85546875" style="9" customWidth="1"/>
    <col min="22" max="22" width="17.42578125" style="9" customWidth="1"/>
    <col min="23" max="23" width="8.85546875" style="11" customWidth="1"/>
    <col min="24" max="24" width="18.5703125" style="9" customWidth="1"/>
    <col min="25" max="25" width="18.85546875" style="11" customWidth="1"/>
    <col min="26" max="26" width="13.42578125" style="11" customWidth="1"/>
    <col min="27" max="27" width="47.85546875" style="11" customWidth="1"/>
    <col min="28" max="28" width="31.140625" style="9" hidden="1" customWidth="1"/>
    <col min="29" max="29" width="9" style="9" hidden="1" customWidth="1"/>
    <col min="30" max="30" width="9.7109375" style="9" hidden="1" customWidth="1"/>
    <col min="31" max="16384" width="9" style="9"/>
  </cols>
  <sheetData>
    <row r="1" spans="1:28" s="1" customFormat="1" ht="45" customHeight="1">
      <c r="A1" s="12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9" t="s">
        <v>23</v>
      </c>
      <c r="Y1" s="20" t="s">
        <v>24</v>
      </c>
      <c r="Z1" s="21" t="s">
        <v>25</v>
      </c>
      <c r="AA1" s="21" t="s">
        <v>26</v>
      </c>
      <c r="AB1" s="22"/>
    </row>
    <row r="2" spans="1:28">
      <c r="A2" s="23" t="s">
        <v>27</v>
      </c>
      <c r="B2" s="24" t="s">
        <v>28</v>
      </c>
      <c r="C2" s="25" t="s">
        <v>29</v>
      </c>
      <c r="D2" s="26">
        <v>91</v>
      </c>
      <c r="E2" s="27"/>
      <c r="F2" s="27"/>
      <c r="G2" s="27"/>
      <c r="H2" s="28">
        <f>97+250</f>
        <v>347</v>
      </c>
      <c r="I2" s="29"/>
      <c r="J2" s="29"/>
      <c r="K2" s="29"/>
      <c r="L2" s="29"/>
      <c r="M2" s="29">
        <f>36+40+100</f>
        <v>176</v>
      </c>
      <c r="N2" s="29"/>
      <c r="O2" s="29"/>
      <c r="P2" s="29"/>
      <c r="Q2" s="29"/>
      <c r="R2" s="29"/>
      <c r="S2" s="29">
        <f>150</f>
        <v>150</v>
      </c>
      <c r="T2" s="29"/>
      <c r="U2" s="29"/>
      <c r="V2" s="29"/>
      <c r="W2" s="29">
        <f>100+300+200</f>
        <v>600</v>
      </c>
      <c r="X2" s="26">
        <f t="shared" ref="X2:X11" si="0">D2+E2+F2+G2-Q2-P2-N2-M2-L2-J2-O2-H2-I2-K2-R2-S2-T2-U2-V2+W2</f>
        <v>18</v>
      </c>
      <c r="Y2" s="30"/>
      <c r="Z2" s="26">
        <f t="shared" ref="Z2:Z11" si="1">Y2-X2</f>
        <v>-18</v>
      </c>
      <c r="AA2" s="31"/>
      <c r="AB2" s="27"/>
    </row>
    <row r="3" spans="1:28">
      <c r="A3" s="23" t="s">
        <v>30</v>
      </c>
      <c r="B3" s="24" t="s">
        <v>31</v>
      </c>
      <c r="C3" s="25" t="s">
        <v>32</v>
      </c>
      <c r="D3" s="26">
        <v>3305</v>
      </c>
      <c r="E3" s="27"/>
      <c r="F3" s="27"/>
      <c r="G3" s="27"/>
      <c r="H3" s="29">
        <f>340+800</f>
        <v>1140</v>
      </c>
      <c r="I3" s="29"/>
      <c r="J3" s="29"/>
      <c r="K3" s="29"/>
      <c r="L3" s="29">
        <f>50</f>
        <v>50</v>
      </c>
      <c r="M3" s="29">
        <f>120+200</f>
        <v>320</v>
      </c>
      <c r="N3" s="29"/>
      <c r="O3" s="29">
        <f>30</f>
        <v>30</v>
      </c>
      <c r="P3" s="29"/>
      <c r="Q3" s="29"/>
      <c r="R3" s="29">
        <f>5</f>
        <v>5</v>
      </c>
      <c r="S3" s="29"/>
      <c r="T3" s="29"/>
      <c r="U3" s="29"/>
      <c r="V3" s="29"/>
      <c r="W3" s="29"/>
      <c r="X3" s="26">
        <f t="shared" si="0"/>
        <v>1760</v>
      </c>
      <c r="Y3" s="30"/>
      <c r="Z3" s="26">
        <f t="shared" si="1"/>
        <v>-1760</v>
      </c>
      <c r="AA3" s="31"/>
      <c r="AB3" s="27"/>
    </row>
    <row r="4" spans="1:28">
      <c r="A4" s="23" t="s">
        <v>33</v>
      </c>
      <c r="B4" s="24" t="s">
        <v>34</v>
      </c>
      <c r="C4" s="25" t="s">
        <v>35</v>
      </c>
      <c r="D4" s="26">
        <v>1120</v>
      </c>
      <c r="E4" s="27">
        <v>2500</v>
      </c>
      <c r="F4" s="27"/>
      <c r="G4" s="27"/>
      <c r="H4" s="29">
        <f>460</f>
        <v>460</v>
      </c>
      <c r="I4" s="29"/>
      <c r="J4" s="29"/>
      <c r="K4" s="29"/>
      <c r="L4" s="29">
        <f>10</f>
        <v>10</v>
      </c>
      <c r="M4" s="29">
        <f>90</f>
        <v>90</v>
      </c>
      <c r="N4" s="29"/>
      <c r="O4" s="29">
        <f>20</f>
        <v>20</v>
      </c>
      <c r="P4" s="29"/>
      <c r="Q4" s="29"/>
      <c r="R4" s="29">
        <f>10</f>
        <v>10</v>
      </c>
      <c r="S4" s="29"/>
      <c r="T4" s="29"/>
      <c r="U4" s="29"/>
      <c r="V4" s="29"/>
      <c r="W4" s="29">
        <f>-100+-300+-200</f>
        <v>-600</v>
      </c>
      <c r="X4" s="26">
        <f t="shared" si="0"/>
        <v>2430</v>
      </c>
      <c r="Y4" s="30"/>
      <c r="Z4" s="26">
        <f t="shared" si="1"/>
        <v>-2430</v>
      </c>
      <c r="AA4" s="31"/>
      <c r="AB4" s="27"/>
    </row>
    <row r="5" spans="1:28">
      <c r="A5" s="32"/>
      <c r="B5" s="33" t="s">
        <v>36</v>
      </c>
      <c r="C5" s="34"/>
      <c r="D5" s="35">
        <f>SUM(D9+D11)</f>
        <v>82</v>
      </c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>
        <f>SUM(X6:X11)</f>
        <v>871</v>
      </c>
      <c r="Y5" s="35"/>
      <c r="Z5" s="35">
        <f>SUM(Z6:Z11)</f>
        <v>-871</v>
      </c>
      <c r="AA5" s="36"/>
      <c r="AB5" s="37"/>
    </row>
    <row r="6" spans="1:28">
      <c r="A6" s="23"/>
      <c r="B6" s="24" t="s">
        <v>37</v>
      </c>
      <c r="C6" s="25" t="s">
        <v>38</v>
      </c>
      <c r="D6" s="26">
        <v>300</v>
      </c>
      <c r="E6" s="27"/>
      <c r="F6" s="27"/>
      <c r="G6" s="27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7"/>
      <c r="X6" s="26">
        <f t="shared" si="0"/>
        <v>300</v>
      </c>
      <c r="Y6" s="30"/>
      <c r="Z6" s="38">
        <f t="shared" si="1"/>
        <v>-300</v>
      </c>
      <c r="AA6" s="31"/>
      <c r="AB6" s="27"/>
    </row>
    <row r="7" spans="1:28">
      <c r="A7" s="23"/>
      <c r="B7" s="24" t="s">
        <v>39</v>
      </c>
      <c r="C7" s="25" t="s">
        <v>40</v>
      </c>
      <c r="D7" s="26">
        <v>297</v>
      </c>
      <c r="E7" s="27"/>
      <c r="F7" s="27"/>
      <c r="G7" s="27"/>
      <c r="H7" s="29">
        <f>12</f>
        <v>12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7"/>
      <c r="X7" s="26">
        <f t="shared" si="0"/>
        <v>285</v>
      </c>
      <c r="Y7" s="30"/>
      <c r="Z7" s="38">
        <f t="shared" si="1"/>
        <v>-285</v>
      </c>
      <c r="AA7" s="31"/>
      <c r="AB7" s="27"/>
    </row>
    <row r="8" spans="1:28">
      <c r="A8" s="23"/>
      <c r="B8" s="24" t="s">
        <v>41</v>
      </c>
      <c r="C8" s="39" t="s">
        <v>42</v>
      </c>
      <c r="D8" s="26">
        <v>292</v>
      </c>
      <c r="E8" s="27"/>
      <c r="F8" s="27"/>
      <c r="G8" s="27"/>
      <c r="H8" s="29">
        <f>4</f>
        <v>4</v>
      </c>
      <c r="I8" s="29"/>
      <c r="J8" s="29"/>
      <c r="K8" s="29"/>
      <c r="L8" s="29"/>
      <c r="M8" s="29">
        <f>1+2</f>
        <v>3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6">
        <f t="shared" si="0"/>
        <v>285</v>
      </c>
      <c r="Y8" s="30"/>
      <c r="Z8" s="26">
        <f t="shared" si="1"/>
        <v>-285</v>
      </c>
      <c r="AA8" s="31"/>
      <c r="AB8" s="27"/>
    </row>
    <row r="9" spans="1:28">
      <c r="A9" s="23" t="s">
        <v>43</v>
      </c>
      <c r="B9" s="24" t="s">
        <v>44</v>
      </c>
      <c r="C9" s="25" t="s">
        <v>45</v>
      </c>
      <c r="D9" s="26">
        <v>1</v>
      </c>
      <c r="E9" s="27"/>
      <c r="F9" s="27"/>
      <c r="G9" s="27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6">
        <f t="shared" si="0"/>
        <v>1</v>
      </c>
      <c r="Y9" s="30"/>
      <c r="Z9" s="26">
        <f t="shared" si="1"/>
        <v>-1</v>
      </c>
      <c r="AA9" s="31"/>
      <c r="AB9" s="27"/>
    </row>
    <row r="10" spans="1:28" hidden="1">
      <c r="A10" s="23" t="s">
        <v>46</v>
      </c>
      <c r="B10" s="24" t="s">
        <v>47</v>
      </c>
      <c r="C10" s="39" t="s">
        <v>48</v>
      </c>
      <c r="D10" s="26"/>
      <c r="E10" s="27"/>
      <c r="F10" s="27"/>
      <c r="G10" s="27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6">
        <f t="shared" si="0"/>
        <v>0</v>
      </c>
      <c r="Y10" s="30"/>
      <c r="Z10" s="26">
        <f t="shared" si="1"/>
        <v>0</v>
      </c>
      <c r="AA10" s="31" t="s">
        <v>49</v>
      </c>
      <c r="AB10" s="27"/>
    </row>
    <row r="11" spans="1:28">
      <c r="A11" s="23" t="s">
        <v>50</v>
      </c>
      <c r="B11" s="24" t="s">
        <v>51</v>
      </c>
      <c r="C11" s="39" t="s">
        <v>52</v>
      </c>
      <c r="D11" s="26">
        <v>81</v>
      </c>
      <c r="E11" s="27"/>
      <c r="F11" s="27"/>
      <c r="G11" s="27"/>
      <c r="H11" s="29">
        <f>30+50</f>
        <v>80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>
        <f>1</f>
        <v>1</v>
      </c>
      <c r="T11" s="29"/>
      <c r="U11" s="29"/>
      <c r="V11" s="29"/>
      <c r="W11" s="29"/>
      <c r="X11" s="26">
        <f t="shared" si="0"/>
        <v>0</v>
      </c>
      <c r="Y11" s="30"/>
      <c r="Z11" s="26">
        <f t="shared" si="1"/>
        <v>0</v>
      </c>
      <c r="AA11" s="31"/>
      <c r="AB11" s="27"/>
    </row>
    <row r="12" spans="1:28">
      <c r="A12" s="40"/>
      <c r="B12" s="33" t="s">
        <v>53</v>
      </c>
      <c r="C12" s="41"/>
      <c r="D12" s="42">
        <v>19742</v>
      </c>
      <c r="E12" s="37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>
        <f>SUM(X13:X43)</f>
        <v>15823</v>
      </c>
      <c r="Y12" s="42"/>
      <c r="Z12" s="42">
        <f>SUM(Z13:Z43)</f>
        <v>-15823</v>
      </c>
      <c r="AA12" s="43"/>
      <c r="AB12" s="44"/>
    </row>
    <row r="13" spans="1:28">
      <c r="A13" s="23" t="s">
        <v>54</v>
      </c>
      <c r="B13" s="24" t="s">
        <v>55</v>
      </c>
      <c r="C13" s="39" t="s">
        <v>56</v>
      </c>
      <c r="D13" s="26">
        <v>9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6">
        <f t="shared" ref="X13:X45" si="2">D13+E13+F13+G13-Q13-P13-N13-M13-L13-J13-O13-H13-I13-K13-R13-S13-T13-U13-V13+W13</f>
        <v>9</v>
      </c>
      <c r="Y13" s="30"/>
      <c r="Z13" s="38">
        <f t="shared" ref="Z13:Z45" si="3">Y13-X13</f>
        <v>-9</v>
      </c>
      <c r="AA13" s="31"/>
      <c r="AB13" s="27"/>
    </row>
    <row r="14" spans="1:28">
      <c r="A14" s="23" t="s">
        <v>57</v>
      </c>
      <c r="B14" s="24" t="s">
        <v>58</v>
      </c>
      <c r="C14" s="39" t="s">
        <v>59</v>
      </c>
      <c r="D14" s="26">
        <v>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9"/>
      <c r="W14" s="29"/>
      <c r="X14" s="26">
        <f t="shared" si="2"/>
        <v>1</v>
      </c>
      <c r="Y14" s="30"/>
      <c r="Z14" s="26">
        <f t="shared" si="3"/>
        <v>-1</v>
      </c>
      <c r="AA14" s="31"/>
      <c r="AB14" s="27"/>
    </row>
    <row r="15" spans="1:28">
      <c r="A15" s="23" t="s">
        <v>60</v>
      </c>
      <c r="B15" s="24" t="s">
        <v>61</v>
      </c>
      <c r="C15" s="39" t="s">
        <v>62</v>
      </c>
      <c r="D15" s="26">
        <v>80</v>
      </c>
      <c r="E15" s="27"/>
      <c r="F15" s="27"/>
      <c r="G15" s="27"/>
      <c r="H15" s="27">
        <f>5</f>
        <v>5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9"/>
      <c r="W15" s="29"/>
      <c r="X15" s="26">
        <f t="shared" si="2"/>
        <v>75</v>
      </c>
      <c r="Y15" s="30"/>
      <c r="Z15" s="26">
        <f t="shared" si="3"/>
        <v>-75</v>
      </c>
      <c r="AA15" s="31"/>
      <c r="AB15" s="27"/>
    </row>
    <row r="16" spans="1:28">
      <c r="A16" s="23" t="s">
        <v>63</v>
      </c>
      <c r="B16" s="24" t="s">
        <v>64</v>
      </c>
      <c r="C16" s="39" t="s">
        <v>65</v>
      </c>
      <c r="D16" s="26">
        <v>2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9"/>
      <c r="W16" s="29"/>
      <c r="X16" s="26">
        <f t="shared" si="2"/>
        <v>2</v>
      </c>
      <c r="Y16" s="30"/>
      <c r="Z16" s="26">
        <f t="shared" si="3"/>
        <v>-2</v>
      </c>
      <c r="AA16" s="31"/>
      <c r="AB16" s="27"/>
    </row>
    <row r="17" spans="1:28" hidden="1">
      <c r="A17" s="23" t="s">
        <v>66</v>
      </c>
      <c r="B17" s="24" t="s">
        <v>67</v>
      </c>
      <c r="C17" s="39" t="s">
        <v>68</v>
      </c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9"/>
      <c r="W17" s="29"/>
      <c r="X17" s="26">
        <f t="shared" si="2"/>
        <v>0</v>
      </c>
      <c r="Y17" s="30"/>
      <c r="Z17" s="26">
        <f t="shared" si="3"/>
        <v>0</v>
      </c>
      <c r="AA17" s="31"/>
      <c r="AB17" s="27"/>
    </row>
    <row r="18" spans="1:28">
      <c r="A18" s="23" t="s">
        <v>69</v>
      </c>
      <c r="B18" s="24" t="s">
        <v>70</v>
      </c>
      <c r="C18" s="25" t="s">
        <v>71</v>
      </c>
      <c r="D18" s="26">
        <v>5870</v>
      </c>
      <c r="E18" s="27"/>
      <c r="F18" s="27"/>
      <c r="G18" s="27"/>
      <c r="H18" s="27">
        <f>25</f>
        <v>25</v>
      </c>
      <c r="I18" s="27"/>
      <c r="J18" s="27"/>
      <c r="K18" s="27"/>
      <c r="L18" s="27"/>
      <c r="M18" s="45">
        <f>10</f>
        <v>10</v>
      </c>
      <c r="N18" s="27"/>
      <c r="O18" s="27"/>
      <c r="P18" s="27"/>
      <c r="Q18" s="27"/>
      <c r="R18" s="27"/>
      <c r="S18" s="27">
        <f>150</f>
        <v>150</v>
      </c>
      <c r="T18" s="27"/>
      <c r="U18" s="27"/>
      <c r="V18" s="29"/>
      <c r="W18" s="29"/>
      <c r="X18" s="26">
        <f t="shared" si="2"/>
        <v>5685</v>
      </c>
      <c r="Y18" s="30"/>
      <c r="Z18" s="26">
        <f t="shared" si="3"/>
        <v>-5685</v>
      </c>
      <c r="AA18" s="31"/>
      <c r="AB18" s="27"/>
    </row>
    <row r="19" spans="1:28" hidden="1">
      <c r="A19" s="23" t="s">
        <v>72</v>
      </c>
      <c r="B19" s="24" t="s">
        <v>73</v>
      </c>
      <c r="C19" s="39" t="s">
        <v>74</v>
      </c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9"/>
      <c r="W19" s="29"/>
      <c r="X19" s="26">
        <f t="shared" si="2"/>
        <v>0</v>
      </c>
      <c r="Y19" s="30"/>
      <c r="Z19" s="26">
        <f t="shared" si="3"/>
        <v>0</v>
      </c>
      <c r="AA19" s="31"/>
      <c r="AB19" s="27"/>
    </row>
    <row r="20" spans="1:28" hidden="1">
      <c r="A20" s="23" t="s">
        <v>75</v>
      </c>
      <c r="B20" s="24" t="s">
        <v>76</v>
      </c>
      <c r="C20" s="39" t="s">
        <v>77</v>
      </c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9"/>
      <c r="W20" s="29"/>
      <c r="X20" s="26">
        <f t="shared" si="2"/>
        <v>0</v>
      </c>
      <c r="Y20" s="30"/>
      <c r="Z20" s="26">
        <f t="shared" si="3"/>
        <v>0</v>
      </c>
      <c r="AA20" s="31"/>
      <c r="AB20" s="27"/>
    </row>
    <row r="21" spans="1:28" hidden="1">
      <c r="A21" s="23" t="s">
        <v>78</v>
      </c>
      <c r="B21" s="24" t="s">
        <v>79</v>
      </c>
      <c r="C21" s="39" t="s">
        <v>80</v>
      </c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9"/>
      <c r="W21" s="29"/>
      <c r="X21" s="26">
        <f t="shared" si="2"/>
        <v>0</v>
      </c>
      <c r="Y21" s="30"/>
      <c r="Z21" s="26">
        <f t="shared" si="3"/>
        <v>0</v>
      </c>
      <c r="AA21" s="31"/>
      <c r="AB21" s="27"/>
    </row>
    <row r="22" spans="1:28">
      <c r="A22" s="23" t="s">
        <v>81</v>
      </c>
      <c r="B22" s="24" t="s">
        <v>82</v>
      </c>
      <c r="C22" s="25" t="s">
        <v>83</v>
      </c>
      <c r="D22" s="26">
        <v>8</v>
      </c>
      <c r="E22" s="27"/>
      <c r="F22" s="27"/>
      <c r="G22" s="27"/>
      <c r="H22" s="27"/>
      <c r="I22" s="27"/>
      <c r="J22" s="27"/>
      <c r="K22" s="27"/>
      <c r="L22" s="27"/>
      <c r="M22" s="45"/>
      <c r="N22" s="27"/>
      <c r="O22" s="27"/>
      <c r="P22" s="27"/>
      <c r="Q22" s="27"/>
      <c r="R22" s="27"/>
      <c r="S22" s="27">
        <f>7</f>
        <v>7</v>
      </c>
      <c r="T22" s="27"/>
      <c r="U22" s="27">
        <f>1</f>
        <v>1</v>
      </c>
      <c r="V22" s="29"/>
      <c r="W22" s="29"/>
      <c r="X22" s="26">
        <f t="shared" si="2"/>
        <v>0</v>
      </c>
      <c r="Y22" s="30"/>
      <c r="Z22" s="26">
        <f t="shared" si="3"/>
        <v>0</v>
      </c>
      <c r="AA22" s="31"/>
      <c r="AB22" s="27"/>
    </row>
    <row r="23" spans="1:28">
      <c r="A23" s="23" t="s">
        <v>84</v>
      </c>
      <c r="B23" s="24" t="s">
        <v>85</v>
      </c>
      <c r="C23" s="25" t="s">
        <v>86</v>
      </c>
      <c r="D23" s="26">
        <v>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9"/>
      <c r="W23" s="29"/>
      <c r="X23" s="26">
        <f t="shared" si="2"/>
        <v>0</v>
      </c>
      <c r="Y23" s="30"/>
      <c r="Z23" s="26">
        <f t="shared" si="3"/>
        <v>0</v>
      </c>
      <c r="AA23" s="31"/>
      <c r="AB23" s="27"/>
    </row>
    <row r="24" spans="1:28">
      <c r="A24" s="23" t="s">
        <v>87</v>
      </c>
      <c r="B24" s="24" t="s">
        <v>88</v>
      </c>
      <c r="C24" s="25" t="s">
        <v>89</v>
      </c>
      <c r="D24" s="26">
        <v>6485</v>
      </c>
      <c r="E24" s="27"/>
      <c r="F24" s="27"/>
      <c r="G24" s="27"/>
      <c r="H24" s="27">
        <f>10</f>
        <v>10</v>
      </c>
      <c r="I24" s="27"/>
      <c r="J24" s="27"/>
      <c r="K24" s="27"/>
      <c r="L24" s="27"/>
      <c r="M24" s="27">
        <f>50+10</f>
        <v>60</v>
      </c>
      <c r="N24" s="27"/>
      <c r="O24" s="27"/>
      <c r="P24" s="27"/>
      <c r="Q24" s="27"/>
      <c r="R24" s="27"/>
      <c r="S24" s="27"/>
      <c r="T24" s="27"/>
      <c r="U24" s="27"/>
      <c r="V24" s="29"/>
      <c r="W24" s="29"/>
      <c r="X24" s="26">
        <f t="shared" si="2"/>
        <v>6415</v>
      </c>
      <c r="Y24" s="30"/>
      <c r="Z24" s="26">
        <f t="shared" si="3"/>
        <v>-6415</v>
      </c>
      <c r="AA24" s="31"/>
      <c r="AB24" s="27"/>
    </row>
    <row r="25" spans="1:28">
      <c r="A25" s="23" t="s">
        <v>90</v>
      </c>
      <c r="B25" s="24" t="s">
        <v>91</v>
      </c>
      <c r="C25" s="25" t="s">
        <v>92</v>
      </c>
      <c r="D25" s="26">
        <v>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9"/>
      <c r="W25" s="29"/>
      <c r="X25" s="26">
        <f t="shared" si="2"/>
        <v>0</v>
      </c>
      <c r="Y25" s="30"/>
      <c r="Z25" s="26">
        <f t="shared" si="3"/>
        <v>0</v>
      </c>
      <c r="AA25" s="31"/>
      <c r="AB25" s="27"/>
    </row>
    <row r="26" spans="1:28" hidden="1">
      <c r="A26" s="23" t="s">
        <v>93</v>
      </c>
      <c r="B26" s="24" t="s">
        <v>94</v>
      </c>
      <c r="C26" s="25" t="s">
        <v>95</v>
      </c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9"/>
      <c r="W26" s="29"/>
      <c r="X26" s="26">
        <f t="shared" si="2"/>
        <v>0</v>
      </c>
      <c r="Y26" s="30"/>
      <c r="Z26" s="26">
        <f t="shared" si="3"/>
        <v>0</v>
      </c>
      <c r="AA26" s="31"/>
      <c r="AB26" s="27"/>
    </row>
    <row r="27" spans="1:28" hidden="1">
      <c r="A27" s="23" t="s">
        <v>96</v>
      </c>
      <c r="B27" s="24" t="s">
        <v>97</v>
      </c>
      <c r="C27" s="25" t="s">
        <v>98</v>
      </c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9"/>
      <c r="W27" s="29"/>
      <c r="X27" s="26">
        <f t="shared" si="2"/>
        <v>0</v>
      </c>
      <c r="Y27" s="30"/>
      <c r="Z27" s="26">
        <f t="shared" si="3"/>
        <v>0</v>
      </c>
      <c r="AA27" s="31"/>
      <c r="AB27" s="27"/>
    </row>
    <row r="28" spans="1:28">
      <c r="A28" s="23" t="s">
        <v>99</v>
      </c>
      <c r="B28" s="24" t="s">
        <v>100</v>
      </c>
      <c r="C28" s="25" t="s">
        <v>101</v>
      </c>
      <c r="D28" s="26">
        <v>1064</v>
      </c>
      <c r="E28" s="27"/>
      <c r="F28" s="27"/>
      <c r="G28" s="27"/>
      <c r="H28" s="27">
        <f>8</f>
        <v>8</v>
      </c>
      <c r="I28" s="27"/>
      <c r="J28" s="27"/>
      <c r="K28" s="27"/>
      <c r="L28" s="27"/>
      <c r="M28" s="27">
        <f>8</f>
        <v>8</v>
      </c>
      <c r="N28" s="27"/>
      <c r="O28" s="27"/>
      <c r="P28" s="27"/>
      <c r="Q28" s="27"/>
      <c r="R28" s="27"/>
      <c r="S28" s="27"/>
      <c r="T28" s="27"/>
      <c r="U28" s="27"/>
      <c r="V28" s="29"/>
      <c r="W28" s="29"/>
      <c r="X28" s="26">
        <f t="shared" si="2"/>
        <v>1048</v>
      </c>
      <c r="Y28" s="30"/>
      <c r="Z28" s="26">
        <f t="shared" si="3"/>
        <v>-1048</v>
      </c>
      <c r="AA28" s="119" t="s">
        <v>102</v>
      </c>
      <c r="AB28" s="27"/>
    </row>
    <row r="29" spans="1:28" hidden="1">
      <c r="A29" s="23" t="s">
        <v>103</v>
      </c>
      <c r="B29" s="24" t="s">
        <v>104</v>
      </c>
      <c r="C29" s="25" t="s">
        <v>105</v>
      </c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9"/>
      <c r="W29" s="29"/>
      <c r="X29" s="26">
        <f t="shared" si="2"/>
        <v>0</v>
      </c>
      <c r="Y29" s="30"/>
      <c r="Z29" s="26">
        <f t="shared" si="3"/>
        <v>0</v>
      </c>
      <c r="AA29" s="31"/>
      <c r="AB29" s="27"/>
    </row>
    <row r="30" spans="1:28">
      <c r="A30" s="23" t="s">
        <v>106</v>
      </c>
      <c r="B30" s="24" t="s">
        <v>107</v>
      </c>
      <c r="C30" s="25" t="s">
        <v>108</v>
      </c>
      <c r="D30" s="26">
        <v>1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9"/>
      <c r="W30" s="29"/>
      <c r="X30" s="26">
        <f t="shared" si="2"/>
        <v>1</v>
      </c>
      <c r="Y30" s="30"/>
      <c r="Z30" s="26">
        <f t="shared" si="3"/>
        <v>-1</v>
      </c>
      <c r="AA30" s="31"/>
      <c r="AB30" s="27"/>
    </row>
    <row r="31" spans="1:28" hidden="1">
      <c r="A31" s="23" t="s">
        <v>109</v>
      </c>
      <c r="B31" s="24" t="s">
        <v>110</v>
      </c>
      <c r="C31" s="25" t="s">
        <v>111</v>
      </c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9"/>
      <c r="W31" s="29"/>
      <c r="X31" s="26">
        <f t="shared" si="2"/>
        <v>0</v>
      </c>
      <c r="Y31" s="30"/>
      <c r="Z31" s="26">
        <f t="shared" si="3"/>
        <v>0</v>
      </c>
      <c r="AA31" s="31"/>
      <c r="AB31" s="27"/>
    </row>
    <row r="32" spans="1:28">
      <c r="A32" s="23" t="s">
        <v>112</v>
      </c>
      <c r="B32" s="24" t="s">
        <v>113</v>
      </c>
      <c r="C32" s="25" t="s">
        <v>114</v>
      </c>
      <c r="D32" s="26">
        <v>349</v>
      </c>
      <c r="E32" s="27"/>
      <c r="F32" s="27"/>
      <c r="G32" s="27"/>
      <c r="H32" s="27">
        <f>25+15</f>
        <v>40</v>
      </c>
      <c r="I32" s="27"/>
      <c r="J32" s="27"/>
      <c r="K32" s="27"/>
      <c r="L32" s="27"/>
      <c r="M32" s="27">
        <f>20</f>
        <v>20</v>
      </c>
      <c r="N32" s="27"/>
      <c r="O32" s="27"/>
      <c r="P32" s="27"/>
      <c r="Q32" s="27"/>
      <c r="R32" s="27"/>
      <c r="S32" s="27">
        <f>150</f>
        <v>150</v>
      </c>
      <c r="T32" s="27"/>
      <c r="U32" s="27"/>
      <c r="V32" s="29"/>
      <c r="W32" s="29"/>
      <c r="X32" s="26">
        <f t="shared" si="2"/>
        <v>139</v>
      </c>
      <c r="Y32" s="30"/>
      <c r="Z32" s="26">
        <f t="shared" si="3"/>
        <v>-139</v>
      </c>
      <c r="AA32" s="31"/>
      <c r="AB32" s="27"/>
    </row>
    <row r="33" spans="1:28" ht="30">
      <c r="A33" s="23" t="s">
        <v>115</v>
      </c>
      <c r="B33" s="24" t="s">
        <v>116</v>
      </c>
      <c r="C33" s="25" t="s">
        <v>117</v>
      </c>
      <c r="D33" s="26">
        <v>278</v>
      </c>
      <c r="E33" s="27">
        <f>2500</f>
        <v>2500</v>
      </c>
      <c r="F33" s="27"/>
      <c r="G33" s="27"/>
      <c r="H33" s="27">
        <f>50</f>
        <v>50</v>
      </c>
      <c r="I33" s="27"/>
      <c r="J33" s="27"/>
      <c r="K33" s="27"/>
      <c r="L33" s="27"/>
      <c r="M33" s="27">
        <f>50+45</f>
        <v>95</v>
      </c>
      <c r="N33" s="27"/>
      <c r="O33" s="27">
        <f>25+10</f>
        <v>35</v>
      </c>
      <c r="P33" s="27"/>
      <c r="Q33" s="27"/>
      <c r="R33" s="27"/>
      <c r="S33" s="27">
        <f>150</f>
        <v>150</v>
      </c>
      <c r="T33" s="27"/>
      <c r="U33" s="27"/>
      <c r="V33" s="29"/>
      <c r="W33" s="29"/>
      <c r="X33" s="26">
        <f t="shared" si="2"/>
        <v>2448</v>
      </c>
      <c r="Y33" s="30"/>
      <c r="Z33" s="26">
        <f t="shared" si="3"/>
        <v>-2448</v>
      </c>
      <c r="AA33" s="31"/>
      <c r="AB33" s="27"/>
    </row>
    <row r="34" spans="1:28" hidden="1">
      <c r="A34" s="39" t="s">
        <v>118</v>
      </c>
      <c r="B34" s="24" t="s">
        <v>119</v>
      </c>
      <c r="C34" s="25" t="s">
        <v>120</v>
      </c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9"/>
      <c r="W34" s="29"/>
      <c r="X34" s="26">
        <f t="shared" si="2"/>
        <v>0</v>
      </c>
      <c r="Y34" s="30"/>
      <c r="Z34" s="26">
        <f t="shared" si="3"/>
        <v>0</v>
      </c>
      <c r="AA34" s="31"/>
      <c r="AB34" s="27"/>
    </row>
    <row r="35" spans="1:28" hidden="1">
      <c r="A35" s="39" t="s">
        <v>121</v>
      </c>
      <c r="B35" s="24" t="s">
        <v>122</v>
      </c>
      <c r="C35" s="25" t="s">
        <v>123</v>
      </c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9"/>
      <c r="W35" s="29"/>
      <c r="X35" s="26">
        <f t="shared" si="2"/>
        <v>0</v>
      </c>
      <c r="Y35" s="30"/>
      <c r="Z35" s="26">
        <f t="shared" si="3"/>
        <v>0</v>
      </c>
      <c r="AA35" s="119" t="s">
        <v>124</v>
      </c>
      <c r="AB35" s="27"/>
    </row>
    <row r="36" spans="1:28" hidden="1">
      <c r="A36" s="39" t="s">
        <v>125</v>
      </c>
      <c r="B36" s="24" t="s">
        <v>126</v>
      </c>
      <c r="C36" s="25" t="s">
        <v>127</v>
      </c>
      <c r="D36" s="26"/>
      <c r="E36" s="27"/>
      <c r="F36" s="27"/>
      <c r="G36" s="27"/>
      <c r="H36" s="45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9"/>
      <c r="W36" s="29"/>
      <c r="X36" s="26">
        <f t="shared" si="2"/>
        <v>0</v>
      </c>
      <c r="Y36" s="30"/>
      <c r="Z36" s="26">
        <f t="shared" si="3"/>
        <v>0</v>
      </c>
      <c r="AA36" s="31"/>
      <c r="AB36" s="27"/>
    </row>
    <row r="37" spans="1:28" hidden="1">
      <c r="A37" s="39" t="s">
        <v>128</v>
      </c>
      <c r="B37" s="24" t="s">
        <v>129</v>
      </c>
      <c r="C37" s="25" t="s">
        <v>130</v>
      </c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9"/>
      <c r="W37" s="29"/>
      <c r="X37" s="26">
        <f t="shared" si="2"/>
        <v>0</v>
      </c>
      <c r="Y37" s="30"/>
      <c r="Z37" s="26">
        <f t="shared" si="3"/>
        <v>0</v>
      </c>
      <c r="AA37" s="31"/>
      <c r="AB37" s="27"/>
    </row>
    <row r="38" spans="1:28" hidden="1">
      <c r="A38" s="39" t="s">
        <v>131</v>
      </c>
      <c r="B38" s="24" t="s">
        <v>132</v>
      </c>
      <c r="C38" s="25" t="s">
        <v>133</v>
      </c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9"/>
      <c r="W38" s="29"/>
      <c r="X38" s="26">
        <f t="shared" si="2"/>
        <v>0</v>
      </c>
      <c r="Y38" s="30"/>
      <c r="Z38" s="26">
        <f t="shared" si="3"/>
        <v>0</v>
      </c>
      <c r="AA38" s="31"/>
      <c r="AB38" s="27"/>
    </row>
    <row r="39" spans="1:28" hidden="1">
      <c r="A39" s="39" t="s">
        <v>134</v>
      </c>
      <c r="B39" s="24" t="s">
        <v>135</v>
      </c>
      <c r="C39" s="25" t="s">
        <v>136</v>
      </c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9"/>
      <c r="W39" s="29"/>
      <c r="X39" s="26">
        <f t="shared" si="2"/>
        <v>0</v>
      </c>
      <c r="Y39" s="30"/>
      <c r="Z39" s="26">
        <f t="shared" si="3"/>
        <v>0</v>
      </c>
      <c r="AA39" s="31"/>
      <c r="AB39" s="27"/>
    </row>
    <row r="40" spans="1:28" hidden="1">
      <c r="A40" s="23" t="s">
        <v>137</v>
      </c>
      <c r="B40" s="24" t="s">
        <v>138</v>
      </c>
      <c r="C40" s="25" t="s">
        <v>139</v>
      </c>
      <c r="D40" s="26"/>
      <c r="E40" s="27"/>
      <c r="F40" s="27"/>
      <c r="G40" s="27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6">
        <f t="shared" si="2"/>
        <v>0</v>
      </c>
      <c r="Y40" s="30"/>
      <c r="Z40" s="26">
        <f t="shared" si="3"/>
        <v>0</v>
      </c>
      <c r="AA40" s="31"/>
      <c r="AB40" s="27"/>
    </row>
    <row r="41" spans="1:28" hidden="1">
      <c r="A41" s="23" t="s">
        <v>140</v>
      </c>
      <c r="B41" s="24" t="s">
        <v>141</v>
      </c>
      <c r="C41" s="25" t="s">
        <v>142</v>
      </c>
      <c r="D41" s="26"/>
      <c r="E41" s="27"/>
      <c r="F41" s="27"/>
      <c r="G41" s="27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6">
        <f t="shared" si="2"/>
        <v>0</v>
      </c>
      <c r="Y41" s="30"/>
      <c r="Z41" s="26">
        <f t="shared" si="3"/>
        <v>0</v>
      </c>
      <c r="AA41" s="31"/>
      <c r="AB41" s="27"/>
    </row>
    <row r="42" spans="1:28" hidden="1">
      <c r="A42" s="23" t="s">
        <v>143</v>
      </c>
      <c r="B42" s="24" t="s">
        <v>144</v>
      </c>
      <c r="C42" s="25" t="s">
        <v>145</v>
      </c>
      <c r="D42" s="26"/>
      <c r="E42" s="27"/>
      <c r="F42" s="27"/>
      <c r="G42" s="27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6">
        <f t="shared" si="2"/>
        <v>0</v>
      </c>
      <c r="Y42" s="30"/>
      <c r="Z42" s="26">
        <f t="shared" si="3"/>
        <v>0</v>
      </c>
      <c r="AA42" s="31"/>
      <c r="AB42" s="27"/>
    </row>
    <row r="43" spans="1:28" hidden="1">
      <c r="A43" s="23" t="s">
        <v>146</v>
      </c>
      <c r="B43" s="24" t="s">
        <v>147</v>
      </c>
      <c r="C43" s="39" t="s">
        <v>130</v>
      </c>
      <c r="D43" s="26"/>
      <c r="E43" s="27"/>
      <c r="F43" s="38"/>
      <c r="G43" s="38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6">
        <f t="shared" si="2"/>
        <v>0</v>
      </c>
      <c r="Y43" s="30"/>
      <c r="Z43" s="26">
        <f t="shared" si="3"/>
        <v>0</v>
      </c>
      <c r="AA43" s="119" t="s">
        <v>148</v>
      </c>
      <c r="AB43" s="27"/>
    </row>
    <row r="44" spans="1:28" hidden="1">
      <c r="A44" s="46" t="s">
        <v>149</v>
      </c>
      <c r="B44" s="47" t="s">
        <v>150</v>
      </c>
      <c r="C44" s="48" t="s">
        <v>151</v>
      </c>
      <c r="D44" s="26"/>
      <c r="E44" s="49"/>
      <c r="F44" s="50"/>
      <c r="G44" s="50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26">
        <f t="shared" si="2"/>
        <v>0</v>
      </c>
      <c r="Y44" s="52"/>
      <c r="Z44" s="50">
        <f t="shared" si="3"/>
        <v>0</v>
      </c>
      <c r="AA44" s="49"/>
      <c r="AB44" s="53"/>
    </row>
    <row r="45" spans="1:28" hidden="1">
      <c r="A45" s="46" t="s">
        <v>152</v>
      </c>
      <c r="B45" s="47" t="s">
        <v>153</v>
      </c>
      <c r="C45" s="48" t="s">
        <v>154</v>
      </c>
      <c r="D45" s="26"/>
      <c r="E45" s="54"/>
      <c r="F45" s="55"/>
      <c r="G45" s="55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26">
        <f t="shared" si="2"/>
        <v>0</v>
      </c>
      <c r="Y45" s="52"/>
      <c r="Z45" s="50">
        <f t="shared" si="3"/>
        <v>0</v>
      </c>
      <c r="AA45" s="49"/>
      <c r="AB45" s="53"/>
    </row>
    <row r="46" spans="1:28">
      <c r="B46" s="56" t="s">
        <v>155</v>
      </c>
      <c r="C46" s="57"/>
      <c r="D46" s="58">
        <v>27440</v>
      </c>
      <c r="E46" s="59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>
        <f t="shared" ref="X46:AA46" si="4">X2+X3+X4+X5+X12+X44+X45</f>
        <v>20902</v>
      </c>
      <c r="Y46" s="58"/>
      <c r="Z46" s="58">
        <f t="shared" si="4"/>
        <v>-20902</v>
      </c>
      <c r="AA46" s="58">
        <f t="shared" si="4"/>
        <v>0</v>
      </c>
      <c r="AB46" s="58"/>
    </row>
    <row r="47" spans="1:28">
      <c r="D47" s="60"/>
      <c r="X47" s="60"/>
      <c r="Y47" s="61"/>
      <c r="Z47" s="61"/>
    </row>
    <row r="48" spans="1:28" s="2" customFormat="1">
      <c r="D48" s="62"/>
      <c r="E48" s="63"/>
      <c r="W48" s="64"/>
      <c r="X48" s="62"/>
      <c r="Y48" s="65"/>
      <c r="Z48" s="65"/>
      <c r="AA48" s="64"/>
    </row>
    <row r="49" spans="1:28" s="2" customFormat="1">
      <c r="D49" s="62"/>
      <c r="E49" s="63"/>
      <c r="W49" s="64"/>
      <c r="X49" s="62"/>
      <c r="Y49" s="65"/>
      <c r="Z49" s="65"/>
      <c r="AA49" s="64"/>
    </row>
    <row r="50" spans="1:28" s="2" customFormat="1" ht="21.75" customHeight="1">
      <c r="D50" s="62"/>
      <c r="E50" s="63"/>
      <c r="W50" s="64"/>
      <c r="X50" s="62"/>
      <c r="Y50" s="65"/>
      <c r="Z50" s="65"/>
      <c r="AA50" s="64"/>
    </row>
    <row r="51" spans="1:28" s="3" customFormat="1" ht="21" customHeight="1">
      <c r="B51" s="66" t="s">
        <v>156</v>
      </c>
      <c r="E51" s="67"/>
      <c r="W51" s="68"/>
      <c r="Y51" s="68"/>
      <c r="Z51" s="68"/>
      <c r="AA51" s="68"/>
    </row>
    <row r="52" spans="1:28">
      <c r="A52" s="23"/>
      <c r="B52" s="24" t="s">
        <v>157</v>
      </c>
      <c r="C52" s="25" t="s">
        <v>29</v>
      </c>
      <c r="D52" s="30">
        <v>1608</v>
      </c>
      <c r="E52" s="27"/>
      <c r="F52" s="27"/>
      <c r="G52" s="27"/>
      <c r="H52" s="69">
        <f>115+16+84+145+70+50</f>
        <v>480</v>
      </c>
      <c r="I52" s="29"/>
      <c r="J52" s="29">
        <f>14+10</f>
        <v>24</v>
      </c>
      <c r="K52" s="29">
        <f>6</f>
        <v>6</v>
      </c>
      <c r="L52" s="70">
        <f>3+100+10+15+42</f>
        <v>170</v>
      </c>
      <c r="M52" s="70">
        <f>78+140+95+50+9+24</f>
        <v>396</v>
      </c>
      <c r="N52" s="70"/>
      <c r="O52" s="29">
        <f>5+24</f>
        <v>29</v>
      </c>
      <c r="P52" s="29"/>
      <c r="Q52" s="29"/>
      <c r="R52" s="29">
        <f>6</f>
        <v>6</v>
      </c>
      <c r="S52" s="29">
        <f>150</f>
        <v>150</v>
      </c>
      <c r="T52" s="29">
        <v>3</v>
      </c>
      <c r="U52" s="29"/>
      <c r="V52" s="29"/>
      <c r="W52" s="29"/>
      <c r="X52" s="26">
        <f t="shared" ref="X52:X93" si="5">D52+E52+F52+G52-Q52-P52-N52-M52-L52-J52-O52-H52-I52-K52-R52-S52-T52-U52-V52+W52</f>
        <v>344</v>
      </c>
      <c r="Y52" s="30">
        <v>907</v>
      </c>
      <c r="Z52" s="26">
        <f t="shared" ref="Z52:Z68" si="6">Y52-X52</f>
        <v>563</v>
      </c>
      <c r="AA52" s="31"/>
      <c r="AB52" s="27"/>
    </row>
    <row r="53" spans="1:28">
      <c r="A53" s="23"/>
      <c r="B53" s="24" t="s">
        <v>158</v>
      </c>
      <c r="C53" s="25"/>
      <c r="D53" s="71">
        <v>522</v>
      </c>
      <c r="E53" s="27">
        <f>500</f>
        <v>500</v>
      </c>
      <c r="F53" s="27"/>
      <c r="G53" s="27"/>
      <c r="H53" s="29">
        <f>100+90+5+5+29+14</f>
        <v>243</v>
      </c>
      <c r="I53" s="29"/>
      <c r="J53" s="29">
        <f>4+9+8+2</f>
        <v>23</v>
      </c>
      <c r="K53" s="29"/>
      <c r="L53" s="70">
        <f>1+2+2+3</f>
        <v>8</v>
      </c>
      <c r="M53" s="70">
        <f>95+28+19</f>
        <v>142</v>
      </c>
      <c r="N53" s="70"/>
      <c r="O53" s="29">
        <f>6+1</f>
        <v>7</v>
      </c>
      <c r="P53" s="29"/>
      <c r="Q53" s="29"/>
      <c r="R53" s="29"/>
      <c r="S53" s="29"/>
      <c r="T53" s="29"/>
      <c r="U53" s="29"/>
      <c r="V53" s="29"/>
      <c r="W53" s="29"/>
      <c r="X53" s="26">
        <f t="shared" si="5"/>
        <v>599</v>
      </c>
      <c r="Y53" s="71">
        <v>197</v>
      </c>
      <c r="Z53" s="26">
        <f t="shared" si="6"/>
        <v>-402</v>
      </c>
      <c r="AA53" s="31"/>
      <c r="AB53" s="27"/>
    </row>
    <row r="54" spans="1:28">
      <c r="A54" s="23"/>
      <c r="B54" s="24" t="s">
        <v>159</v>
      </c>
      <c r="C54" s="25"/>
      <c r="D54" s="30">
        <v>1443</v>
      </c>
      <c r="E54" s="27"/>
      <c r="F54" s="27"/>
      <c r="G54" s="27"/>
      <c r="H54" s="29">
        <f>15+50+10+5+25</f>
        <v>105</v>
      </c>
      <c r="I54" s="29"/>
      <c r="J54" s="29"/>
      <c r="K54" s="29"/>
      <c r="L54" s="70">
        <f>5</f>
        <v>5</v>
      </c>
      <c r="M54" s="70">
        <f>5+5+10+15+10</f>
        <v>45</v>
      </c>
      <c r="N54" s="70"/>
      <c r="O54" s="29">
        <f>5</f>
        <v>5</v>
      </c>
      <c r="P54" s="29"/>
      <c r="Q54" s="29"/>
      <c r="R54" s="29"/>
      <c r="S54" s="29">
        <v>50</v>
      </c>
      <c r="T54" s="29"/>
      <c r="U54" s="29"/>
      <c r="V54" s="29"/>
      <c r="W54" s="29"/>
      <c r="X54" s="26">
        <f t="shared" si="5"/>
        <v>1233</v>
      </c>
      <c r="Y54" s="30">
        <v>1266</v>
      </c>
      <c r="Z54" s="26">
        <f t="shared" si="6"/>
        <v>33</v>
      </c>
      <c r="AA54" s="31"/>
      <c r="AB54" s="27"/>
    </row>
    <row r="55" spans="1:28">
      <c r="A55" s="23"/>
      <c r="B55" s="24" t="s">
        <v>160</v>
      </c>
      <c r="C55" s="25" t="s">
        <v>32</v>
      </c>
      <c r="D55" s="30">
        <v>1184</v>
      </c>
      <c r="E55" s="27"/>
      <c r="F55" s="27"/>
      <c r="G55" s="27"/>
      <c r="H55" s="29">
        <f>18</f>
        <v>18</v>
      </c>
      <c r="I55" s="29"/>
      <c r="J55" s="29"/>
      <c r="K55" s="29"/>
      <c r="L55" s="70">
        <f>6</f>
        <v>6</v>
      </c>
      <c r="M55" s="70">
        <f>10+275+78</f>
        <v>363</v>
      </c>
      <c r="N55" s="70"/>
      <c r="O55" s="29">
        <f>6</f>
        <v>6</v>
      </c>
      <c r="P55" s="29"/>
      <c r="Q55" s="29"/>
      <c r="R55" s="29">
        <f>1</f>
        <v>1</v>
      </c>
      <c r="S55" s="29"/>
      <c r="T55" s="29">
        <v>3</v>
      </c>
      <c r="U55" s="29">
        <v>1</v>
      </c>
      <c r="V55" s="29"/>
      <c r="W55" s="29"/>
      <c r="X55" s="26">
        <f t="shared" si="5"/>
        <v>786</v>
      </c>
      <c r="Y55" s="30">
        <v>919</v>
      </c>
      <c r="Z55" s="26">
        <f t="shared" si="6"/>
        <v>133</v>
      </c>
      <c r="AA55" s="31"/>
      <c r="AB55" s="27"/>
    </row>
    <row r="56" spans="1:28" s="4" customFormat="1">
      <c r="A56" s="72"/>
      <c r="B56" s="33" t="s">
        <v>161</v>
      </c>
      <c r="C56" s="34" t="s">
        <v>35</v>
      </c>
      <c r="D56" s="73">
        <v>599</v>
      </c>
      <c r="E56" s="37"/>
      <c r="F56" s="37"/>
      <c r="G56" s="37"/>
      <c r="H56" s="36">
        <f>5</f>
        <v>5</v>
      </c>
      <c r="I56" s="36"/>
      <c r="J56" s="36"/>
      <c r="K56" s="36"/>
      <c r="L56" s="74">
        <f>2</f>
        <v>2</v>
      </c>
      <c r="M56" s="74"/>
      <c r="N56" s="74"/>
      <c r="O56" s="36"/>
      <c r="P56" s="36"/>
      <c r="Q56" s="36"/>
      <c r="R56" s="36"/>
      <c r="S56" s="36"/>
      <c r="T56" s="36"/>
      <c r="U56" s="36"/>
      <c r="V56" s="36"/>
      <c r="W56" s="36"/>
      <c r="X56" s="26">
        <f t="shared" si="5"/>
        <v>592</v>
      </c>
      <c r="Y56" s="73">
        <v>592</v>
      </c>
      <c r="Z56" s="26">
        <f t="shared" si="6"/>
        <v>0</v>
      </c>
      <c r="AA56" s="75"/>
      <c r="AB56" s="37"/>
    </row>
    <row r="57" spans="1:28" s="4" customFormat="1">
      <c r="A57" s="76"/>
      <c r="B57" s="33" t="s">
        <v>162</v>
      </c>
      <c r="C57" s="34"/>
      <c r="D57" s="77">
        <v>1473</v>
      </c>
      <c r="E57" s="37"/>
      <c r="F57" s="35"/>
      <c r="G57" s="35"/>
      <c r="H57" s="35">
        <f>11</f>
        <v>11</v>
      </c>
      <c r="I57" s="35"/>
      <c r="J57" s="35"/>
      <c r="K57" s="35"/>
      <c r="L57" s="78"/>
      <c r="M57" s="78">
        <f>3+55</f>
        <v>58</v>
      </c>
      <c r="N57" s="78"/>
      <c r="O57" s="35"/>
      <c r="P57" s="35"/>
      <c r="Q57" s="35"/>
      <c r="R57" s="35"/>
      <c r="S57" s="35"/>
      <c r="T57" s="36"/>
      <c r="U57" s="35"/>
      <c r="V57" s="35"/>
      <c r="W57" s="36"/>
      <c r="X57" s="26">
        <f t="shared" si="5"/>
        <v>1404</v>
      </c>
      <c r="Y57" s="77">
        <v>1418</v>
      </c>
      <c r="Z57" s="26">
        <f t="shared" si="6"/>
        <v>14</v>
      </c>
      <c r="AA57" s="36"/>
      <c r="AB57" s="37"/>
    </row>
    <row r="58" spans="1:28">
      <c r="A58" s="32"/>
      <c r="B58" s="24" t="s">
        <v>163</v>
      </c>
      <c r="C58" s="25"/>
      <c r="D58" s="26">
        <v>611</v>
      </c>
      <c r="E58" s="27">
        <v>1000</v>
      </c>
      <c r="F58" s="79"/>
      <c r="G58" s="79"/>
      <c r="H58" s="29">
        <f>45+45+25+36+10+24+67+25+50</f>
        <v>327</v>
      </c>
      <c r="I58" s="29"/>
      <c r="J58" s="29">
        <f>3</f>
        <v>3</v>
      </c>
      <c r="K58" s="29"/>
      <c r="L58" s="70">
        <f>5+15+4+49+25+25+18</f>
        <v>141</v>
      </c>
      <c r="M58" s="70">
        <f>253+100+50+25+35+132</f>
        <v>595</v>
      </c>
      <c r="N58" s="70"/>
      <c r="O58" s="29">
        <f>5</f>
        <v>5</v>
      </c>
      <c r="P58" s="29"/>
      <c r="Q58" s="29"/>
      <c r="R58" s="29"/>
      <c r="S58" s="29"/>
      <c r="T58" s="29">
        <v>3</v>
      </c>
      <c r="U58" s="29"/>
      <c r="V58" s="79"/>
      <c r="W58" s="29"/>
      <c r="X58" s="26">
        <f t="shared" si="5"/>
        <v>537</v>
      </c>
      <c r="Y58" s="26"/>
      <c r="Z58" s="38">
        <f t="shared" si="6"/>
        <v>-537</v>
      </c>
      <c r="AA58" s="29"/>
      <c r="AB58" s="27"/>
    </row>
    <row r="59" spans="1:28">
      <c r="A59" s="23"/>
      <c r="B59" s="24" t="s">
        <v>164</v>
      </c>
      <c r="C59" s="25"/>
      <c r="D59" s="71">
        <v>656</v>
      </c>
      <c r="E59" s="27"/>
      <c r="F59" s="27"/>
      <c r="G59" s="27"/>
      <c r="H59" s="29">
        <f>5+2+19+17+2+5</f>
        <v>50</v>
      </c>
      <c r="I59" s="29"/>
      <c r="J59" s="29"/>
      <c r="K59" s="29"/>
      <c r="L59" s="70">
        <f>1+1+26</f>
        <v>28</v>
      </c>
      <c r="M59" s="70">
        <f>24+18+23</f>
        <v>65</v>
      </c>
      <c r="N59" s="70"/>
      <c r="O59" s="29">
        <f>2</f>
        <v>2</v>
      </c>
      <c r="P59" s="29"/>
      <c r="Q59" s="29"/>
      <c r="R59" s="29"/>
      <c r="S59" s="29"/>
      <c r="T59" s="29"/>
      <c r="U59" s="29"/>
      <c r="V59" s="29"/>
      <c r="W59" s="29"/>
      <c r="X59" s="26">
        <f t="shared" si="5"/>
        <v>511</v>
      </c>
      <c r="Y59" s="71"/>
      <c r="Z59" s="38">
        <f t="shared" si="6"/>
        <v>-511</v>
      </c>
      <c r="AA59" s="31"/>
      <c r="AB59" s="27"/>
    </row>
    <row r="60" spans="1:28">
      <c r="A60" s="23"/>
      <c r="B60" s="24" t="s">
        <v>165</v>
      </c>
      <c r="C60" s="25" t="s">
        <v>40</v>
      </c>
      <c r="D60" s="30">
        <v>69</v>
      </c>
      <c r="E60" s="27"/>
      <c r="F60" s="27"/>
      <c r="G60" s="27"/>
      <c r="H60" s="29">
        <f>1+22</f>
        <v>23</v>
      </c>
      <c r="I60" s="29"/>
      <c r="J60" s="29"/>
      <c r="K60" s="29"/>
      <c r="L60" s="70">
        <f>2+2+2</f>
        <v>6</v>
      </c>
      <c r="M60" s="70">
        <f>5</f>
        <v>5</v>
      </c>
      <c r="N60" s="70"/>
      <c r="O60" s="29">
        <f>1</f>
        <v>1</v>
      </c>
      <c r="P60" s="29"/>
      <c r="Q60" s="29"/>
      <c r="R60" s="29"/>
      <c r="S60" s="29"/>
      <c r="T60" s="29">
        <v>1</v>
      </c>
      <c r="U60" s="29"/>
      <c r="V60" s="29"/>
      <c r="W60" s="27"/>
      <c r="X60" s="26">
        <f t="shared" si="5"/>
        <v>33</v>
      </c>
      <c r="Y60" s="30"/>
      <c r="Z60" s="38">
        <f t="shared" si="6"/>
        <v>-33</v>
      </c>
      <c r="AA60" s="31"/>
      <c r="AB60" s="27"/>
    </row>
    <row r="61" spans="1:28">
      <c r="A61" s="23"/>
      <c r="B61" s="24" t="s">
        <v>166</v>
      </c>
      <c r="C61" s="25" t="s">
        <v>167</v>
      </c>
      <c r="D61" s="30">
        <v>2</v>
      </c>
      <c r="E61" s="27"/>
      <c r="F61" s="27"/>
      <c r="G61" s="27"/>
      <c r="H61" s="29"/>
      <c r="I61" s="29"/>
      <c r="J61" s="29"/>
      <c r="K61" s="29"/>
      <c r="L61" s="70"/>
      <c r="M61" s="70"/>
      <c r="N61" s="70"/>
      <c r="O61" s="29"/>
      <c r="P61" s="29"/>
      <c r="Q61" s="29"/>
      <c r="R61" s="29"/>
      <c r="S61" s="29"/>
      <c r="T61" s="29"/>
      <c r="U61" s="29"/>
      <c r="V61" s="29"/>
      <c r="W61" s="29"/>
      <c r="X61" s="26">
        <f t="shared" si="5"/>
        <v>2</v>
      </c>
      <c r="Y61" s="30"/>
      <c r="Z61" s="26">
        <f t="shared" si="6"/>
        <v>-2</v>
      </c>
      <c r="AA61" s="31"/>
      <c r="AB61" s="27"/>
    </row>
    <row r="62" spans="1:28">
      <c r="A62" s="23"/>
      <c r="B62" s="24" t="s">
        <v>168</v>
      </c>
      <c r="C62" s="25" t="s">
        <v>169</v>
      </c>
      <c r="D62" s="30">
        <v>62</v>
      </c>
      <c r="E62" s="27"/>
      <c r="F62" s="27"/>
      <c r="G62" s="27"/>
      <c r="H62" s="29">
        <f>14+7</f>
        <v>21</v>
      </c>
      <c r="I62" s="29"/>
      <c r="J62" s="29"/>
      <c r="K62" s="29"/>
      <c r="L62" s="70">
        <f>2</f>
        <v>2</v>
      </c>
      <c r="M62" s="70">
        <f>7+8+2</f>
        <v>17</v>
      </c>
      <c r="N62" s="70"/>
      <c r="O62" s="29"/>
      <c r="P62" s="29"/>
      <c r="Q62" s="29"/>
      <c r="R62" s="29"/>
      <c r="S62" s="29"/>
      <c r="T62" s="29"/>
      <c r="U62" s="29"/>
      <c r="V62" s="29"/>
      <c r="W62" s="29"/>
      <c r="X62" s="26">
        <f t="shared" si="5"/>
        <v>22</v>
      </c>
      <c r="Y62" s="30"/>
      <c r="Z62" s="26">
        <f t="shared" si="6"/>
        <v>-22</v>
      </c>
      <c r="AA62" s="31"/>
      <c r="AB62" s="27"/>
    </row>
    <row r="63" spans="1:28">
      <c r="A63" s="23"/>
      <c r="B63" s="80" t="s">
        <v>170</v>
      </c>
      <c r="C63" s="25" t="s">
        <v>38</v>
      </c>
      <c r="D63" s="30">
        <v>43</v>
      </c>
      <c r="E63" s="27">
        <f>200+200</f>
        <v>400</v>
      </c>
      <c r="F63" s="27"/>
      <c r="G63" s="27"/>
      <c r="H63" s="29">
        <f>35+34+24</f>
        <v>93</v>
      </c>
      <c r="I63" s="29"/>
      <c r="J63" s="29"/>
      <c r="K63" s="29"/>
      <c r="L63" s="70">
        <f>9+64+4</f>
        <v>77</v>
      </c>
      <c r="M63" s="70">
        <f>8+15+18+51+16+13</f>
        <v>121</v>
      </c>
      <c r="N63" s="70"/>
      <c r="O63" s="69">
        <f>2</f>
        <v>2</v>
      </c>
      <c r="P63" s="29"/>
      <c r="Q63" s="29"/>
      <c r="R63" s="29"/>
      <c r="S63" s="29">
        <f>50+1</f>
        <v>51</v>
      </c>
      <c r="T63" s="29">
        <v>1</v>
      </c>
      <c r="U63" s="29"/>
      <c r="V63" s="29"/>
      <c r="W63" s="27"/>
      <c r="X63" s="26">
        <f t="shared" si="5"/>
        <v>98</v>
      </c>
      <c r="Y63" s="30"/>
      <c r="Z63" s="38">
        <f t="shared" si="6"/>
        <v>-98</v>
      </c>
      <c r="AA63" s="31"/>
      <c r="AB63" s="27"/>
    </row>
    <row r="64" spans="1:28">
      <c r="A64" s="23"/>
      <c r="B64" s="24" t="s">
        <v>171</v>
      </c>
      <c r="C64" s="25" t="s">
        <v>172</v>
      </c>
      <c r="D64" s="71">
        <v>37</v>
      </c>
      <c r="E64" s="27">
        <f>24</f>
        <v>24</v>
      </c>
      <c r="F64" s="27"/>
      <c r="G64" s="27"/>
      <c r="H64" s="29">
        <f>2+9</f>
        <v>11</v>
      </c>
      <c r="I64" s="29"/>
      <c r="J64" s="29"/>
      <c r="K64" s="29"/>
      <c r="L64" s="70">
        <f>7</f>
        <v>7</v>
      </c>
      <c r="M64" s="81">
        <f>11+2+13</f>
        <v>26</v>
      </c>
      <c r="N64" s="70"/>
      <c r="O64" s="29">
        <f>1</f>
        <v>1</v>
      </c>
      <c r="P64" s="29"/>
      <c r="Q64" s="29"/>
      <c r="R64" s="29"/>
      <c r="S64" s="29"/>
      <c r="T64" s="29">
        <v>1</v>
      </c>
      <c r="U64" s="29"/>
      <c r="V64" s="29"/>
      <c r="W64" s="79"/>
      <c r="X64" s="26">
        <f t="shared" si="5"/>
        <v>15</v>
      </c>
      <c r="Y64" s="71"/>
      <c r="Z64" s="38">
        <f t="shared" si="6"/>
        <v>-15</v>
      </c>
      <c r="AA64" s="31"/>
      <c r="AB64" s="27"/>
    </row>
    <row r="65" spans="1:28">
      <c r="A65" s="23"/>
      <c r="B65" s="24" t="s">
        <v>173</v>
      </c>
      <c r="C65" s="25" t="s">
        <v>174</v>
      </c>
      <c r="D65" s="71">
        <v>2819</v>
      </c>
      <c r="E65" s="27">
        <f>3000</f>
        <v>3000</v>
      </c>
      <c r="F65" s="27"/>
      <c r="G65" s="27"/>
      <c r="H65" s="29">
        <f>12+14+1+35+2+9+18+17+300+419+2+7+600</f>
        <v>1436</v>
      </c>
      <c r="I65" s="29"/>
      <c r="J65" s="29">
        <f>3</f>
        <v>3</v>
      </c>
      <c r="K65" s="70">
        <f>2</f>
        <v>2</v>
      </c>
      <c r="L65" s="70">
        <f>4+2+2+1+6+4+925+2+3+4+375</f>
        <v>1328</v>
      </c>
      <c r="M65" s="70">
        <f>7+8+11+2+257+8+3+2+15+18+13+5+14+31+100</f>
        <v>494</v>
      </c>
      <c r="N65" s="70"/>
      <c r="O65" s="29">
        <f>1+1+77</f>
        <v>79</v>
      </c>
      <c r="P65" s="29"/>
      <c r="Q65" s="29"/>
      <c r="R65" s="29"/>
      <c r="S65" s="29"/>
      <c r="T65" s="29">
        <v>3</v>
      </c>
      <c r="U65" s="29">
        <f>1+1</f>
        <v>2</v>
      </c>
      <c r="V65" s="29"/>
      <c r="W65" s="29"/>
      <c r="X65" s="26">
        <f t="shared" si="5"/>
        <v>2472</v>
      </c>
      <c r="Y65" s="71"/>
      <c r="Z65" s="38">
        <f t="shared" si="6"/>
        <v>-2472</v>
      </c>
      <c r="AA65" s="31"/>
      <c r="AB65" s="27"/>
    </row>
    <row r="66" spans="1:28">
      <c r="A66" s="23"/>
      <c r="B66" s="82" t="s">
        <v>175</v>
      </c>
      <c r="C66" s="25"/>
      <c r="D66" s="71">
        <v>23186</v>
      </c>
      <c r="E66" s="27"/>
      <c r="F66" s="27"/>
      <c r="G66" s="27"/>
      <c r="H66" s="29">
        <f>24+50</f>
        <v>74</v>
      </c>
      <c r="I66" s="29"/>
      <c r="J66" s="29"/>
      <c r="K66" s="29"/>
      <c r="L66" s="70">
        <f>6</f>
        <v>6</v>
      </c>
      <c r="M66" s="70">
        <f>36+50</f>
        <v>86</v>
      </c>
      <c r="N66" s="70"/>
      <c r="O66" s="29"/>
      <c r="P66" s="29"/>
      <c r="Q66" s="29"/>
      <c r="R66" s="29"/>
      <c r="S66" s="29"/>
      <c r="T66" s="29"/>
      <c r="U66" s="29"/>
      <c r="V66" s="29"/>
      <c r="W66" s="29"/>
      <c r="X66" s="26">
        <f t="shared" si="5"/>
        <v>23020</v>
      </c>
      <c r="Y66" s="71"/>
      <c r="Z66" s="38">
        <f t="shared" si="6"/>
        <v>-23020</v>
      </c>
      <c r="AA66" s="31"/>
      <c r="AB66" s="27"/>
    </row>
    <row r="67" spans="1:28">
      <c r="A67" s="23"/>
      <c r="B67" s="24" t="s">
        <v>176</v>
      </c>
      <c r="C67" s="25"/>
      <c r="D67" s="71">
        <v>415</v>
      </c>
      <c r="E67" s="27"/>
      <c r="F67" s="27"/>
      <c r="G67" s="27"/>
      <c r="H67" s="29">
        <f>17+15+11</f>
        <v>43</v>
      </c>
      <c r="I67" s="29"/>
      <c r="J67" s="29"/>
      <c r="K67" s="29"/>
      <c r="L67" s="70">
        <f>4+4+7</f>
        <v>15</v>
      </c>
      <c r="M67" s="70">
        <f>6+31</f>
        <v>37</v>
      </c>
      <c r="N67" s="70"/>
      <c r="O67" s="29"/>
      <c r="P67" s="29"/>
      <c r="Q67" s="29"/>
      <c r="R67" s="29"/>
      <c r="S67" s="29">
        <v>11</v>
      </c>
      <c r="T67" s="29">
        <v>1</v>
      </c>
      <c r="U67" s="29"/>
      <c r="V67" s="29"/>
      <c r="W67" s="29"/>
      <c r="X67" s="26">
        <f t="shared" si="5"/>
        <v>308</v>
      </c>
      <c r="Y67" s="71"/>
      <c r="Z67" s="38">
        <f t="shared" si="6"/>
        <v>-308</v>
      </c>
      <c r="AA67" s="31"/>
      <c r="AB67" s="27"/>
    </row>
    <row r="68" spans="1:28">
      <c r="A68" s="23"/>
      <c r="B68" s="24" t="s">
        <v>177</v>
      </c>
      <c r="C68" s="25"/>
      <c r="D68" s="71">
        <v>88</v>
      </c>
      <c r="E68" s="27">
        <f>100</f>
        <v>100</v>
      </c>
      <c r="F68" s="27"/>
      <c r="G68" s="27"/>
      <c r="H68" s="29">
        <f>27+30</f>
        <v>57</v>
      </c>
      <c r="I68" s="29"/>
      <c r="J68" s="29"/>
      <c r="K68" s="29"/>
      <c r="L68" s="70">
        <f>13+81</f>
        <v>94</v>
      </c>
      <c r="M68" s="70"/>
      <c r="N68" s="70"/>
      <c r="O68" s="29"/>
      <c r="P68" s="29"/>
      <c r="Q68" s="29"/>
      <c r="R68" s="29"/>
      <c r="S68" s="29"/>
      <c r="T68" s="29"/>
      <c r="U68" s="29"/>
      <c r="V68" s="29"/>
      <c r="W68" s="29"/>
      <c r="X68" s="26">
        <f t="shared" si="5"/>
        <v>37</v>
      </c>
      <c r="Y68" s="71"/>
      <c r="Z68" s="38">
        <f t="shared" si="6"/>
        <v>-37</v>
      </c>
      <c r="AA68" s="31"/>
      <c r="AB68" s="27"/>
    </row>
    <row r="69" spans="1:28" s="5" customFormat="1" ht="18.75" customHeight="1">
      <c r="A69" s="83"/>
      <c r="B69" s="84" t="s">
        <v>178</v>
      </c>
      <c r="C69" s="85"/>
      <c r="D69" s="86"/>
      <c r="E69" s="87"/>
      <c r="F69" s="87"/>
      <c r="G69" s="87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26">
        <f t="shared" si="5"/>
        <v>0</v>
      </c>
      <c r="Y69" s="86"/>
      <c r="Z69" s="89"/>
      <c r="AA69" s="90"/>
      <c r="AB69" s="87"/>
    </row>
    <row r="70" spans="1:28" ht="16.5">
      <c r="A70" s="23"/>
      <c r="B70" s="91" t="s">
        <v>179</v>
      </c>
      <c r="C70" s="25" t="s">
        <v>180</v>
      </c>
      <c r="D70" s="71">
        <v>243</v>
      </c>
      <c r="E70" s="27">
        <v>500</v>
      </c>
      <c r="F70" s="27"/>
      <c r="G70" s="27"/>
      <c r="H70" s="29">
        <f>10+200+110+54</f>
        <v>374</v>
      </c>
      <c r="I70" s="29"/>
      <c r="J70" s="29"/>
      <c r="K70" s="29"/>
      <c r="L70" s="29"/>
      <c r="M70" s="29">
        <f>15+150+55+24</f>
        <v>244</v>
      </c>
      <c r="N70" s="29"/>
      <c r="O70" s="29">
        <f>5+24</f>
        <v>29</v>
      </c>
      <c r="P70" s="29"/>
      <c r="Q70" s="29"/>
      <c r="R70" s="29"/>
      <c r="S70" s="29"/>
      <c r="T70" s="29">
        <v>3</v>
      </c>
      <c r="U70" s="29"/>
      <c r="V70" s="29"/>
      <c r="W70" s="29"/>
      <c r="X70" s="26">
        <f t="shared" si="5"/>
        <v>93</v>
      </c>
      <c r="Y70" s="71"/>
      <c r="Z70" s="26">
        <f t="shared" ref="Z70:Z76" si="7">Y70-X70</f>
        <v>-93</v>
      </c>
      <c r="AA70" s="31"/>
      <c r="AB70" s="27"/>
    </row>
    <row r="71" spans="1:28" ht="16.5">
      <c r="A71" s="23"/>
      <c r="B71" s="91" t="s">
        <v>181</v>
      </c>
      <c r="C71" s="25" t="s">
        <v>182</v>
      </c>
      <c r="D71" s="71">
        <v>221</v>
      </c>
      <c r="E71" s="27"/>
      <c r="F71" s="27"/>
      <c r="G71" s="27"/>
      <c r="H71" s="29"/>
      <c r="I71" s="29"/>
      <c r="J71" s="29"/>
      <c r="K71" s="29"/>
      <c r="L71" s="29"/>
      <c r="M71" s="29">
        <f>6+6</f>
        <v>12</v>
      </c>
      <c r="N71" s="29"/>
      <c r="O71" s="29"/>
      <c r="P71" s="29"/>
      <c r="Q71" s="29"/>
      <c r="R71" s="29"/>
      <c r="S71" s="29"/>
      <c r="T71" s="29">
        <v>3</v>
      </c>
      <c r="U71" s="29"/>
      <c r="V71" s="29"/>
      <c r="W71" s="29"/>
      <c r="X71" s="26">
        <f t="shared" si="5"/>
        <v>206</v>
      </c>
      <c r="Y71" s="71"/>
      <c r="Z71" s="26">
        <f t="shared" si="7"/>
        <v>-206</v>
      </c>
      <c r="AA71" s="31"/>
      <c r="AB71" s="27"/>
    </row>
    <row r="72" spans="1:28" ht="16.5">
      <c r="A72" s="23"/>
      <c r="B72" s="91" t="s">
        <v>183</v>
      </c>
      <c r="C72" s="25" t="s">
        <v>184</v>
      </c>
      <c r="D72" s="71">
        <v>807</v>
      </c>
      <c r="E72" s="27"/>
      <c r="F72" s="27"/>
      <c r="G72" s="27"/>
      <c r="H72" s="29">
        <f>3+35+6</f>
        <v>44</v>
      </c>
      <c r="I72" s="29"/>
      <c r="J72" s="29"/>
      <c r="K72" s="29"/>
      <c r="L72" s="29">
        <f>15</f>
        <v>15</v>
      </c>
      <c r="M72" s="29">
        <f>18+15+42</f>
        <v>75</v>
      </c>
      <c r="N72" s="29"/>
      <c r="O72" s="29"/>
      <c r="P72" s="29"/>
      <c r="Q72" s="29"/>
      <c r="R72" s="29"/>
      <c r="S72" s="29"/>
      <c r="T72" s="29"/>
      <c r="U72" s="29">
        <v>1</v>
      </c>
      <c r="V72" s="29"/>
      <c r="W72" s="29"/>
      <c r="X72" s="26">
        <f t="shared" si="5"/>
        <v>672</v>
      </c>
      <c r="Y72" s="71"/>
      <c r="Z72" s="26">
        <f t="shared" si="7"/>
        <v>-672</v>
      </c>
      <c r="AA72" s="31"/>
      <c r="AB72" s="27"/>
    </row>
    <row r="73" spans="1:28" ht="16.5">
      <c r="A73" s="23"/>
      <c r="B73" s="91" t="s">
        <v>185</v>
      </c>
      <c r="C73" s="25"/>
      <c r="D73" s="71">
        <v>62</v>
      </c>
      <c r="E73" s="27"/>
      <c r="F73" s="27"/>
      <c r="G73" s="27"/>
      <c r="H73" s="29">
        <f>5</f>
        <v>5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6">
        <f t="shared" si="5"/>
        <v>57</v>
      </c>
      <c r="Y73" s="71"/>
      <c r="Z73" s="26">
        <f t="shared" si="7"/>
        <v>-57</v>
      </c>
      <c r="AA73" s="31"/>
      <c r="AB73" s="27"/>
    </row>
    <row r="74" spans="1:28" ht="16.5">
      <c r="A74" s="23"/>
      <c r="B74" s="91" t="s">
        <v>186</v>
      </c>
      <c r="C74" s="25"/>
      <c r="D74" s="71">
        <v>381</v>
      </c>
      <c r="E74" s="27"/>
      <c r="F74" s="27"/>
      <c r="G74" s="27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>
        <v>200</v>
      </c>
      <c r="T74" s="29"/>
      <c r="U74" s="29"/>
      <c r="V74" s="29"/>
      <c r="W74" s="29"/>
      <c r="X74" s="26">
        <f t="shared" si="5"/>
        <v>181</v>
      </c>
      <c r="Y74" s="71"/>
      <c r="Z74" s="26">
        <f t="shared" si="7"/>
        <v>-181</v>
      </c>
      <c r="AA74" s="31"/>
      <c r="AB74" s="27"/>
    </row>
    <row r="75" spans="1:28" ht="16.5">
      <c r="A75" s="23"/>
      <c r="B75" s="91" t="s">
        <v>187</v>
      </c>
      <c r="C75" s="25" t="s">
        <v>188</v>
      </c>
      <c r="D75" s="71">
        <v>143</v>
      </c>
      <c r="E75" s="27">
        <f>500</f>
        <v>500</v>
      </c>
      <c r="F75" s="27"/>
      <c r="G75" s="27"/>
      <c r="H75" s="29">
        <f>102</f>
        <v>102</v>
      </c>
      <c r="I75" s="29"/>
      <c r="J75" s="29">
        <f>2</f>
        <v>2</v>
      </c>
      <c r="K75" s="29"/>
      <c r="L75" s="29"/>
      <c r="M75" s="29">
        <f>1</f>
        <v>1</v>
      </c>
      <c r="N75" s="29"/>
      <c r="O75" s="69">
        <f>17</f>
        <v>17</v>
      </c>
      <c r="P75" s="29"/>
      <c r="Q75" s="29"/>
      <c r="R75" s="29"/>
      <c r="S75" s="29"/>
      <c r="T75" s="29">
        <v>3</v>
      </c>
      <c r="U75" s="29"/>
      <c r="V75" s="29"/>
      <c r="W75" s="29"/>
      <c r="X75" s="26">
        <f t="shared" si="5"/>
        <v>518</v>
      </c>
      <c r="Y75" s="71"/>
      <c r="Z75" s="26">
        <f t="shared" si="7"/>
        <v>-518</v>
      </c>
      <c r="AA75" s="31"/>
      <c r="AB75" s="27"/>
    </row>
    <row r="76" spans="1:28" ht="16.5">
      <c r="A76" s="23"/>
      <c r="B76" s="91" t="s">
        <v>189</v>
      </c>
      <c r="C76" s="25" t="s">
        <v>190</v>
      </c>
      <c r="D76" s="71">
        <v>137</v>
      </c>
      <c r="E76" s="27">
        <f>120</f>
        <v>120</v>
      </c>
      <c r="F76" s="27"/>
      <c r="G76" s="27"/>
      <c r="H76" s="29">
        <f>12+60</f>
        <v>72</v>
      </c>
      <c r="I76" s="29"/>
      <c r="J76" s="29"/>
      <c r="K76" s="29"/>
      <c r="L76" s="29">
        <f>8</f>
        <v>8</v>
      </c>
      <c r="M76" s="29">
        <f>28</f>
        <v>28</v>
      </c>
      <c r="N76" s="29"/>
      <c r="O76" s="69">
        <f>42</f>
        <v>42</v>
      </c>
      <c r="P76" s="29"/>
      <c r="Q76" s="29"/>
      <c r="R76" s="29"/>
      <c r="S76" s="29"/>
      <c r="T76" s="29"/>
      <c r="U76" s="29"/>
      <c r="V76" s="29"/>
      <c r="W76" s="29"/>
      <c r="X76" s="26">
        <f t="shared" si="5"/>
        <v>107</v>
      </c>
      <c r="Y76" s="71"/>
      <c r="Z76" s="26">
        <f t="shared" si="7"/>
        <v>-107</v>
      </c>
      <c r="AA76" s="31"/>
      <c r="AB76" s="27"/>
    </row>
    <row r="77" spans="1:28" s="6" customFormat="1" ht="20.25">
      <c r="A77" s="92"/>
      <c r="B77" s="93" t="s">
        <v>191</v>
      </c>
      <c r="C77" s="94"/>
      <c r="D77" s="95"/>
      <c r="E77" s="96"/>
      <c r="F77" s="96"/>
      <c r="G77" s="96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26">
        <f t="shared" si="5"/>
        <v>0</v>
      </c>
      <c r="Y77" s="95"/>
      <c r="Z77" s="98"/>
      <c r="AA77" s="99"/>
      <c r="AB77" s="96"/>
    </row>
    <row r="78" spans="1:28" ht="16.5">
      <c r="A78" s="23"/>
      <c r="B78" s="91" t="s">
        <v>192</v>
      </c>
      <c r="C78" s="25" t="s">
        <v>45</v>
      </c>
      <c r="D78" s="30">
        <v>996</v>
      </c>
      <c r="E78" s="27"/>
      <c r="F78" s="27"/>
      <c r="G78" s="27"/>
      <c r="H78" s="29">
        <f>60+110+42</f>
        <v>212</v>
      </c>
      <c r="I78" s="29"/>
      <c r="J78" s="29">
        <f>5+28+18</f>
        <v>51</v>
      </c>
      <c r="K78" s="29">
        <f>6+2</f>
        <v>8</v>
      </c>
      <c r="L78" s="69">
        <f>20+16+6</f>
        <v>42</v>
      </c>
      <c r="M78" s="70">
        <f>1+12</f>
        <v>13</v>
      </c>
      <c r="N78" s="70"/>
      <c r="O78" s="29">
        <f>5+24</f>
        <v>29</v>
      </c>
      <c r="P78" s="29"/>
      <c r="Q78" s="29"/>
      <c r="R78" s="29"/>
      <c r="S78" s="29"/>
      <c r="T78" s="29">
        <v>3</v>
      </c>
      <c r="U78" s="29"/>
      <c r="V78" s="29"/>
      <c r="W78" s="29"/>
      <c r="X78" s="26">
        <f t="shared" si="5"/>
        <v>638</v>
      </c>
      <c r="Y78" s="30"/>
      <c r="Z78" s="26">
        <f t="shared" ref="Z78:Z90" si="8">Y78-X78</f>
        <v>-638</v>
      </c>
      <c r="AA78" s="31"/>
      <c r="AB78" s="27"/>
    </row>
    <row r="79" spans="1:28" ht="16.5">
      <c r="A79" s="23"/>
      <c r="B79" s="91" t="s">
        <v>193</v>
      </c>
      <c r="C79" s="25" t="s">
        <v>194</v>
      </c>
      <c r="D79" s="30">
        <v>356</v>
      </c>
      <c r="E79" s="27"/>
      <c r="F79" s="27"/>
      <c r="G79" s="27"/>
      <c r="H79" s="29">
        <f>6</f>
        <v>6</v>
      </c>
      <c r="I79" s="29"/>
      <c r="J79" s="29"/>
      <c r="K79" s="29"/>
      <c r="L79" s="29"/>
      <c r="M79" s="70"/>
      <c r="N79" s="70"/>
      <c r="O79" s="29"/>
      <c r="P79" s="29"/>
      <c r="Q79" s="29"/>
      <c r="R79" s="29"/>
      <c r="S79" s="29"/>
      <c r="T79" s="29"/>
      <c r="U79" s="29"/>
      <c r="V79" s="29"/>
      <c r="W79" s="29"/>
      <c r="X79" s="26">
        <f t="shared" si="5"/>
        <v>350</v>
      </c>
      <c r="Y79" s="30"/>
      <c r="Z79" s="26">
        <f t="shared" si="8"/>
        <v>-350</v>
      </c>
      <c r="AA79" s="31"/>
      <c r="AB79" s="27"/>
    </row>
    <row r="80" spans="1:28" ht="16.5">
      <c r="A80" s="23"/>
      <c r="B80" s="100" t="s">
        <v>195</v>
      </c>
      <c r="C80" s="25"/>
      <c r="D80" s="30">
        <v>730</v>
      </c>
      <c r="E80" s="27"/>
      <c r="F80" s="27"/>
      <c r="G80" s="27"/>
      <c r="H80" s="29">
        <f>10+5+5+20</f>
        <v>40</v>
      </c>
      <c r="I80" s="29"/>
      <c r="J80" s="29"/>
      <c r="K80" s="29"/>
      <c r="L80" s="29"/>
      <c r="M80" s="70">
        <f>10+50+5+10+250+5</f>
        <v>330</v>
      </c>
      <c r="N80" s="70"/>
      <c r="O80" s="29"/>
      <c r="P80" s="29"/>
      <c r="Q80" s="29"/>
      <c r="R80" s="29"/>
      <c r="S80" s="29"/>
      <c r="T80" s="29"/>
      <c r="U80" s="29"/>
      <c r="V80" s="29"/>
      <c r="W80" s="29">
        <v>350</v>
      </c>
      <c r="X80" s="26">
        <f t="shared" si="5"/>
        <v>710</v>
      </c>
      <c r="Y80" s="30">
        <v>720</v>
      </c>
      <c r="Z80" s="26">
        <f t="shared" si="8"/>
        <v>10</v>
      </c>
      <c r="AA80" s="31"/>
      <c r="AB80" s="27"/>
    </row>
    <row r="81" spans="1:30" ht="16.5">
      <c r="A81" s="23"/>
      <c r="B81" s="91" t="s">
        <v>196</v>
      </c>
      <c r="C81" s="25"/>
      <c r="D81" s="30">
        <v>356</v>
      </c>
      <c r="E81" s="27">
        <v>500</v>
      </c>
      <c r="F81" s="27"/>
      <c r="G81" s="27"/>
      <c r="H81" s="29">
        <f>9</f>
        <v>9</v>
      </c>
      <c r="I81" s="29"/>
      <c r="J81" s="29">
        <f>1</f>
        <v>1</v>
      </c>
      <c r="K81" s="29"/>
      <c r="L81" s="29"/>
      <c r="M81" s="70">
        <f>8</f>
        <v>8</v>
      </c>
      <c r="N81" s="70"/>
      <c r="O81" s="29"/>
      <c r="P81" s="29"/>
      <c r="Q81" s="29"/>
      <c r="R81" s="29"/>
      <c r="S81" s="29"/>
      <c r="T81" s="29"/>
      <c r="U81" s="29"/>
      <c r="V81" s="29"/>
      <c r="W81" s="29">
        <v>-150</v>
      </c>
      <c r="X81" s="26">
        <f t="shared" si="5"/>
        <v>688</v>
      </c>
      <c r="Y81" s="30"/>
      <c r="Z81" s="26">
        <f t="shared" si="8"/>
        <v>-688</v>
      </c>
      <c r="AA81" s="31"/>
      <c r="AB81" s="27"/>
    </row>
    <row r="82" spans="1:30" ht="16.5">
      <c r="A82" s="23"/>
      <c r="B82" s="91" t="s">
        <v>197</v>
      </c>
      <c r="C82" s="25"/>
      <c r="D82" s="30">
        <v>1026</v>
      </c>
      <c r="E82" s="27"/>
      <c r="F82" s="27"/>
      <c r="G82" s="27"/>
      <c r="H82" s="29">
        <f>10</f>
        <v>10</v>
      </c>
      <c r="I82" s="29"/>
      <c r="J82" s="29">
        <f>2</f>
        <v>2</v>
      </c>
      <c r="K82" s="29"/>
      <c r="L82" s="29"/>
      <c r="M82" s="70">
        <f>4+3</f>
        <v>7</v>
      </c>
      <c r="N82" s="70"/>
      <c r="O82" s="29"/>
      <c r="P82" s="29"/>
      <c r="Q82" s="29"/>
      <c r="R82" s="29"/>
      <c r="S82" s="29"/>
      <c r="T82" s="29"/>
      <c r="U82" s="29"/>
      <c r="V82" s="29"/>
      <c r="W82" s="29">
        <v>-200</v>
      </c>
      <c r="X82" s="26">
        <f t="shared" si="5"/>
        <v>807</v>
      </c>
      <c r="Y82" s="30"/>
      <c r="Z82" s="26">
        <f t="shared" si="8"/>
        <v>-807</v>
      </c>
      <c r="AA82" s="31"/>
      <c r="AB82" s="27"/>
    </row>
    <row r="83" spans="1:30" ht="16.5">
      <c r="A83" s="23"/>
      <c r="B83" s="91" t="s">
        <v>198</v>
      </c>
      <c r="C83" s="25" t="s">
        <v>199</v>
      </c>
      <c r="D83" s="30">
        <v>194</v>
      </c>
      <c r="E83" s="27"/>
      <c r="F83" s="27"/>
      <c r="G83" s="27"/>
      <c r="H83" s="29">
        <f>6+3+100</f>
        <v>109</v>
      </c>
      <c r="I83" s="29"/>
      <c r="J83" s="29">
        <f>4</f>
        <v>4</v>
      </c>
      <c r="K83" s="29"/>
      <c r="L83" s="29"/>
      <c r="M83" s="70">
        <f>6</f>
        <v>6</v>
      </c>
      <c r="N83" s="70"/>
      <c r="O83" s="29"/>
      <c r="P83" s="29"/>
      <c r="Q83" s="29"/>
      <c r="R83" s="29"/>
      <c r="S83" s="29"/>
      <c r="T83" s="29"/>
      <c r="U83" s="29"/>
      <c r="V83" s="29"/>
      <c r="W83" s="29"/>
      <c r="X83" s="26">
        <f t="shared" si="5"/>
        <v>75</v>
      </c>
      <c r="Y83" s="30">
        <v>79</v>
      </c>
      <c r="Z83" s="26">
        <f t="shared" si="8"/>
        <v>4</v>
      </c>
      <c r="AA83" s="31"/>
      <c r="AB83" s="27"/>
    </row>
    <row r="84" spans="1:30" ht="16.5" hidden="1">
      <c r="A84" s="23"/>
      <c r="B84" s="91" t="s">
        <v>200</v>
      </c>
      <c r="C84" s="25" t="s">
        <v>201</v>
      </c>
      <c r="D84" s="30"/>
      <c r="E84" s="27"/>
      <c r="F84" s="27"/>
      <c r="G84" s="27"/>
      <c r="H84" s="29"/>
      <c r="I84" s="29"/>
      <c r="J84" s="29"/>
      <c r="K84" s="29"/>
      <c r="L84" s="29"/>
      <c r="M84" s="70"/>
      <c r="N84" s="70"/>
      <c r="O84" s="29"/>
      <c r="P84" s="29"/>
      <c r="Q84" s="29"/>
      <c r="R84" s="29"/>
      <c r="S84" s="29"/>
      <c r="T84" s="29"/>
      <c r="U84" s="29"/>
      <c r="V84" s="29"/>
      <c r="W84" s="29"/>
      <c r="X84" s="26">
        <f t="shared" si="5"/>
        <v>0</v>
      </c>
      <c r="Y84" s="30"/>
      <c r="Z84" s="26">
        <f t="shared" si="8"/>
        <v>0</v>
      </c>
      <c r="AA84" s="31"/>
      <c r="AB84" s="27"/>
    </row>
    <row r="85" spans="1:30" ht="16.5">
      <c r="A85" s="23"/>
      <c r="B85" s="91" t="s">
        <v>202</v>
      </c>
      <c r="C85" s="25" t="s">
        <v>203</v>
      </c>
      <c r="D85" s="30">
        <v>430</v>
      </c>
      <c r="E85" s="27"/>
      <c r="F85" s="27"/>
      <c r="G85" s="27"/>
      <c r="H85" s="29">
        <f>3+9</f>
        <v>12</v>
      </c>
      <c r="I85" s="29"/>
      <c r="J85" s="29">
        <f>5</f>
        <v>5</v>
      </c>
      <c r="K85" s="29"/>
      <c r="L85" s="29">
        <f>3</f>
        <v>3</v>
      </c>
      <c r="M85" s="29">
        <f>9</f>
        <v>9</v>
      </c>
      <c r="N85" s="29"/>
      <c r="O85" s="29">
        <f>5</f>
        <v>5</v>
      </c>
      <c r="P85" s="29"/>
      <c r="Q85" s="29"/>
      <c r="R85" s="29"/>
      <c r="S85" s="29"/>
      <c r="T85" s="29">
        <v>1</v>
      </c>
      <c r="U85" s="29"/>
      <c r="V85" s="29"/>
      <c r="W85" s="29"/>
      <c r="X85" s="26">
        <f t="shared" si="5"/>
        <v>395</v>
      </c>
      <c r="Y85" s="30"/>
      <c r="Z85" s="26">
        <f t="shared" si="8"/>
        <v>-395</v>
      </c>
      <c r="AA85" s="31"/>
      <c r="AB85" s="27"/>
    </row>
    <row r="86" spans="1:30" ht="16.5" hidden="1">
      <c r="A86" s="23"/>
      <c r="B86" s="91" t="s">
        <v>204</v>
      </c>
      <c r="C86" s="25" t="s">
        <v>205</v>
      </c>
      <c r="D86" s="71"/>
      <c r="E86" s="27"/>
      <c r="F86" s="27"/>
      <c r="G86" s="27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6">
        <f t="shared" si="5"/>
        <v>0</v>
      </c>
      <c r="Y86" s="71"/>
      <c r="Z86" s="26">
        <f t="shared" si="8"/>
        <v>0</v>
      </c>
      <c r="AA86" s="31"/>
      <c r="AB86" s="27"/>
    </row>
    <row r="87" spans="1:30" ht="16.5">
      <c r="A87" s="23"/>
      <c r="B87" s="91" t="s">
        <v>206</v>
      </c>
      <c r="C87" s="25" t="s">
        <v>207</v>
      </c>
      <c r="D87" s="30">
        <v>39</v>
      </c>
      <c r="E87" s="27"/>
      <c r="F87" s="27"/>
      <c r="G87" s="27"/>
      <c r="H87" s="29">
        <f>15</f>
        <v>15</v>
      </c>
      <c r="I87" s="29"/>
      <c r="J87" s="29"/>
      <c r="K87" s="29"/>
      <c r="L87" s="29">
        <f>3</f>
        <v>3</v>
      </c>
      <c r="M87" s="29">
        <f>8</f>
        <v>8</v>
      </c>
      <c r="N87" s="29"/>
      <c r="O87" s="29">
        <f>1</f>
        <v>1</v>
      </c>
      <c r="P87" s="29"/>
      <c r="Q87" s="29"/>
      <c r="R87" s="29"/>
      <c r="S87" s="29"/>
      <c r="T87" s="29">
        <v>3</v>
      </c>
      <c r="U87" s="29"/>
      <c r="V87" s="29"/>
      <c r="W87" s="29"/>
      <c r="X87" s="26">
        <f t="shared" si="5"/>
        <v>9</v>
      </c>
      <c r="Y87" s="30"/>
      <c r="Z87" s="26">
        <f t="shared" si="8"/>
        <v>-9</v>
      </c>
      <c r="AA87" s="31"/>
      <c r="AB87" s="27"/>
    </row>
    <row r="88" spans="1:30" ht="16.5" hidden="1">
      <c r="A88" s="23"/>
      <c r="B88" s="91" t="s">
        <v>208</v>
      </c>
      <c r="C88" s="39" t="s">
        <v>42</v>
      </c>
      <c r="D88" s="30"/>
      <c r="E88" s="27"/>
      <c r="F88" s="27"/>
      <c r="G88" s="27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6">
        <f t="shared" si="5"/>
        <v>0</v>
      </c>
      <c r="Y88" s="30"/>
      <c r="Z88" s="26">
        <f t="shared" si="8"/>
        <v>0</v>
      </c>
      <c r="AA88" s="31"/>
      <c r="AB88" s="27"/>
    </row>
    <row r="89" spans="1:30" ht="16.5">
      <c r="A89" s="23"/>
      <c r="B89" s="91" t="s">
        <v>209</v>
      </c>
      <c r="C89" s="39" t="s">
        <v>48</v>
      </c>
      <c r="D89" s="30">
        <v>313</v>
      </c>
      <c r="E89" s="27"/>
      <c r="F89" s="27"/>
      <c r="G89" s="27"/>
      <c r="H89" s="29">
        <f>1</f>
        <v>1</v>
      </c>
      <c r="I89" s="29"/>
      <c r="J89" s="29"/>
      <c r="K89" s="29"/>
      <c r="L89" s="29"/>
      <c r="M89" s="29"/>
      <c r="N89" s="29"/>
      <c r="O89" s="29">
        <f>3</f>
        <v>3</v>
      </c>
      <c r="P89" s="29"/>
      <c r="Q89" s="29"/>
      <c r="R89" s="29"/>
      <c r="S89" s="29"/>
      <c r="T89" s="29"/>
      <c r="U89" s="29"/>
      <c r="V89" s="29"/>
      <c r="W89" s="29"/>
      <c r="X89" s="26">
        <f t="shared" si="5"/>
        <v>309</v>
      </c>
      <c r="Y89" s="30"/>
      <c r="Z89" s="26">
        <f t="shared" si="8"/>
        <v>-309</v>
      </c>
      <c r="AA89" s="31"/>
      <c r="AB89" s="27"/>
    </row>
    <row r="90" spans="1:30" ht="16.5">
      <c r="A90" s="23"/>
      <c r="B90" s="91" t="s">
        <v>210</v>
      </c>
      <c r="C90" s="39" t="s">
        <v>52</v>
      </c>
      <c r="D90" s="30">
        <v>67</v>
      </c>
      <c r="E90" s="27"/>
      <c r="F90" s="27"/>
      <c r="G90" s="27"/>
      <c r="H90" s="69">
        <f>4</f>
        <v>4</v>
      </c>
      <c r="I90" s="29"/>
      <c r="J90" s="29"/>
      <c r="K90" s="29"/>
      <c r="L90" s="29"/>
      <c r="M90" s="29">
        <f>4</f>
        <v>4</v>
      </c>
      <c r="N90" s="29"/>
      <c r="O90" s="29">
        <f>1</f>
        <v>1</v>
      </c>
      <c r="P90" s="29"/>
      <c r="Q90" s="29"/>
      <c r="R90" s="29"/>
      <c r="S90" s="29"/>
      <c r="T90" s="29">
        <v>1</v>
      </c>
      <c r="U90" s="29">
        <f>1</f>
        <v>1</v>
      </c>
      <c r="V90" s="29"/>
      <c r="W90" s="29"/>
      <c r="X90" s="26">
        <f t="shared" si="5"/>
        <v>56</v>
      </c>
      <c r="Y90" s="30">
        <v>57</v>
      </c>
      <c r="Z90" s="26">
        <f t="shared" si="8"/>
        <v>1</v>
      </c>
      <c r="AA90" s="31"/>
      <c r="AB90" s="27"/>
    </row>
    <row r="91" spans="1:30" ht="16.5">
      <c r="A91" s="23"/>
      <c r="B91" s="101" t="s">
        <v>211</v>
      </c>
      <c r="C91" s="39"/>
      <c r="D91" s="30">
        <v>0</v>
      </c>
      <c r="E91" s="27"/>
      <c r="F91" s="27"/>
      <c r="G91" s="27"/>
      <c r="H91" s="7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6">
        <f t="shared" si="5"/>
        <v>0</v>
      </c>
      <c r="Y91" s="30"/>
      <c r="Z91" s="26"/>
      <c r="AA91" s="31"/>
      <c r="AB91" s="27"/>
    </row>
    <row r="92" spans="1:30" ht="16.5">
      <c r="A92" s="23"/>
      <c r="B92" s="102" t="s">
        <v>212</v>
      </c>
      <c r="C92" s="39"/>
      <c r="D92" s="30">
        <v>9</v>
      </c>
      <c r="E92" s="27"/>
      <c r="F92" s="27"/>
      <c r="G92" s="27"/>
      <c r="H92" s="29"/>
      <c r="I92" s="29"/>
      <c r="J92" s="29">
        <f>1</f>
        <v>1</v>
      </c>
      <c r="K92" s="29">
        <f>1</f>
        <v>1</v>
      </c>
      <c r="L92" s="29"/>
      <c r="M92" s="29"/>
      <c r="N92" s="29"/>
      <c r="O92" s="29">
        <f>4</f>
        <v>4</v>
      </c>
      <c r="P92" s="29"/>
      <c r="Q92" s="29"/>
      <c r="R92" s="29"/>
      <c r="S92" s="29"/>
      <c r="T92" s="29"/>
      <c r="U92" s="29"/>
      <c r="V92" s="29"/>
      <c r="W92" s="29"/>
      <c r="X92" s="26">
        <f t="shared" si="5"/>
        <v>3</v>
      </c>
      <c r="Y92" s="30"/>
      <c r="Z92" s="26">
        <f t="shared" ref="Z92:Z98" si="9">Y92-X92</f>
        <v>-3</v>
      </c>
      <c r="AA92" s="31"/>
      <c r="AB92" s="27"/>
    </row>
    <row r="93" spans="1:30" ht="16.5">
      <c r="A93" s="23"/>
      <c r="B93" s="102" t="s">
        <v>213</v>
      </c>
      <c r="C93" s="39"/>
      <c r="D93" s="30">
        <v>10</v>
      </c>
      <c r="E93" s="27"/>
      <c r="F93" s="27"/>
      <c r="G93" s="27"/>
      <c r="H93" s="29">
        <f>1</f>
        <v>1</v>
      </c>
      <c r="I93" s="29"/>
      <c r="J93" s="29"/>
      <c r="K93" s="29">
        <f>2</f>
        <v>2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6">
        <f t="shared" si="5"/>
        <v>7</v>
      </c>
      <c r="Y93" s="30"/>
      <c r="Z93" s="26">
        <f t="shared" si="9"/>
        <v>-7</v>
      </c>
      <c r="AA93" s="31"/>
      <c r="AB93" s="27"/>
    </row>
    <row r="94" spans="1:30" s="7" customFormat="1">
      <c r="A94" s="103"/>
      <c r="B94" s="56"/>
      <c r="C94" s="104"/>
      <c r="D94" s="105"/>
      <c r="E94" s="106"/>
      <c r="F94" s="106"/>
      <c r="G94" s="106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5"/>
      <c r="Z94" s="108"/>
      <c r="AA94" s="109"/>
      <c r="AB94" s="106"/>
    </row>
    <row r="95" spans="1:30">
      <c r="D95" s="11"/>
      <c r="U95" s="11"/>
      <c r="X95" s="26">
        <f>D95+E95+F95+G95-Q95-P95-N95-M95-L95-J95-O95-H95-I95-K95-S95-T95-U95-V95+W95</f>
        <v>0</v>
      </c>
      <c r="Z95" s="9"/>
      <c r="AA95" s="9"/>
    </row>
    <row r="96" spans="1:30" s="8" customFormat="1" ht="20.25">
      <c r="A96" s="110"/>
      <c r="B96" s="111" t="s">
        <v>214</v>
      </c>
      <c r="C96" s="112"/>
      <c r="D96" s="113"/>
      <c r="E96" s="114"/>
      <c r="F96" s="114"/>
      <c r="G96" s="114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5"/>
      <c r="AA96" s="116"/>
      <c r="AB96" s="115"/>
      <c r="AC96" s="117"/>
      <c r="AD96" s="114"/>
    </row>
    <row r="97" spans="1:30" ht="16.5">
      <c r="A97" s="23"/>
      <c r="B97" s="91" t="s">
        <v>215</v>
      </c>
      <c r="C97" s="25" t="s">
        <v>45</v>
      </c>
      <c r="D97" s="29">
        <v>1</v>
      </c>
      <c r="E97" s="27"/>
      <c r="F97" s="27"/>
      <c r="G97" s="27"/>
      <c r="H97" s="79">
        <f>1</f>
        <v>1</v>
      </c>
      <c r="I97" s="29"/>
      <c r="J97" s="29"/>
      <c r="K97" s="29"/>
      <c r="L97" s="29"/>
      <c r="M97" s="70"/>
      <c r="N97" s="70"/>
      <c r="O97" s="29"/>
      <c r="P97" s="29"/>
      <c r="Q97" s="29"/>
      <c r="R97" s="29"/>
      <c r="S97" s="29"/>
      <c r="T97" s="29"/>
      <c r="U97" s="29"/>
      <c r="V97" s="29"/>
      <c r="W97" s="29"/>
      <c r="X97" s="26">
        <f t="shared" ref="X97:X103" si="10">D97+E97+F97+G97-Q97-P97-N97-M97-L97-J97-O97-H97-I97-K97-R97-S97-T97-U97-V97+W97</f>
        <v>0</v>
      </c>
      <c r="Y97" s="29"/>
      <c r="Z97" s="26">
        <f t="shared" si="9"/>
        <v>0</v>
      </c>
      <c r="AA97" s="30"/>
      <c r="AB97" s="27"/>
      <c r="AC97" s="31"/>
      <c r="AD97" s="27"/>
    </row>
    <row r="98" spans="1:30" ht="16.5">
      <c r="A98" s="23"/>
      <c r="B98" s="91" t="s">
        <v>216</v>
      </c>
      <c r="C98" s="25" t="s">
        <v>194</v>
      </c>
      <c r="D98" s="29">
        <v>54</v>
      </c>
      <c r="E98" s="27">
        <v>48</v>
      </c>
      <c r="F98" s="27"/>
      <c r="G98" s="27"/>
      <c r="H98" s="29">
        <f>26+1</f>
        <v>27</v>
      </c>
      <c r="I98" s="29"/>
      <c r="J98" s="29"/>
      <c r="K98" s="29"/>
      <c r="L98" s="29"/>
      <c r="M98" s="70"/>
      <c r="N98" s="70"/>
      <c r="O98" s="29"/>
      <c r="P98" s="29">
        <f>6</f>
        <v>6</v>
      </c>
      <c r="Q98" s="29">
        <f>3+48+2</f>
        <v>53</v>
      </c>
      <c r="R98" s="29"/>
      <c r="S98" s="29"/>
      <c r="T98" s="29"/>
      <c r="U98" s="29"/>
      <c r="V98" s="29"/>
      <c r="W98" s="29"/>
      <c r="X98" s="26">
        <f t="shared" si="10"/>
        <v>16</v>
      </c>
      <c r="Y98" s="29"/>
      <c r="Z98" s="26">
        <f t="shared" si="9"/>
        <v>-16</v>
      </c>
      <c r="AA98" s="30"/>
      <c r="AB98" s="27"/>
      <c r="AC98" s="31"/>
      <c r="AD98" s="27"/>
    </row>
    <row r="99" spans="1:30">
      <c r="A99" s="103"/>
      <c r="B99" s="56"/>
      <c r="C99" s="104"/>
      <c r="D99" s="107"/>
      <c r="E99" s="106"/>
      <c r="F99" s="106"/>
      <c r="G99" s="106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18"/>
      <c r="AA99" s="105"/>
      <c r="AB99" s="108"/>
      <c r="AC99" s="109"/>
      <c r="AD99" s="106"/>
    </row>
    <row r="100" spans="1:30">
      <c r="D100" s="11"/>
      <c r="X100" s="26">
        <f t="shared" si="10"/>
        <v>0</v>
      </c>
    </row>
    <row r="101" spans="1:30" s="8" customFormat="1" ht="20.25">
      <c r="A101" s="110"/>
      <c r="B101" s="111" t="s">
        <v>217</v>
      </c>
      <c r="C101" s="112"/>
      <c r="D101" s="113"/>
      <c r="E101" s="114"/>
      <c r="F101" s="114"/>
      <c r="G101" s="114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26">
        <f t="shared" si="10"/>
        <v>0</v>
      </c>
      <c r="Y101" s="113"/>
      <c r="Z101" s="115"/>
      <c r="AA101" s="116"/>
      <c r="AB101" s="115"/>
      <c r="AC101" s="117"/>
      <c r="AD101" s="114"/>
    </row>
    <row r="102" spans="1:30" ht="16.5">
      <c r="A102" s="23"/>
      <c r="B102" s="91" t="s">
        <v>218</v>
      </c>
      <c r="C102" s="25" t="s">
        <v>45</v>
      </c>
      <c r="D102" s="29">
        <v>234</v>
      </c>
      <c r="E102" s="27"/>
      <c r="F102" s="27"/>
      <c r="G102" s="27"/>
      <c r="H102" s="29">
        <f>6+12</f>
        <v>18</v>
      </c>
      <c r="I102" s="29"/>
      <c r="J102" s="29"/>
      <c r="K102" s="29"/>
      <c r="L102" s="29"/>
      <c r="M102" s="70">
        <f>2+72</f>
        <v>74</v>
      </c>
      <c r="N102" s="70"/>
      <c r="O102" s="29">
        <f>4+12</f>
        <v>16</v>
      </c>
      <c r="P102" s="29"/>
      <c r="Q102" s="29"/>
      <c r="R102" s="29"/>
      <c r="S102" s="29"/>
      <c r="T102" s="29">
        <v>2</v>
      </c>
      <c r="U102" s="29"/>
      <c r="V102" s="29"/>
      <c r="W102" s="29"/>
      <c r="X102" s="26">
        <f t="shared" si="10"/>
        <v>124</v>
      </c>
      <c r="Y102" s="29"/>
      <c r="Z102" s="26">
        <f t="shared" ref="Z102:Z112" si="11">Y102-X102</f>
        <v>-124</v>
      </c>
      <c r="AA102" s="30"/>
      <c r="AB102" s="27"/>
      <c r="AC102" s="31"/>
      <c r="AD102" s="27"/>
    </row>
    <row r="103" spans="1:30" ht="16.5">
      <c r="A103" s="23"/>
      <c r="B103" s="91" t="s">
        <v>219</v>
      </c>
      <c r="C103" s="25" t="s">
        <v>194</v>
      </c>
      <c r="D103" s="29">
        <v>190</v>
      </c>
      <c r="E103" s="27"/>
      <c r="F103" s="27"/>
      <c r="G103" s="27"/>
      <c r="H103" s="29">
        <f>10+24</f>
        <v>34</v>
      </c>
      <c r="I103" s="29"/>
      <c r="J103" s="29"/>
      <c r="K103" s="29"/>
      <c r="L103" s="29"/>
      <c r="M103" s="70">
        <f>12</f>
        <v>12</v>
      </c>
      <c r="N103" s="70"/>
      <c r="O103" s="29">
        <f>1</f>
        <v>1</v>
      </c>
      <c r="P103" s="29"/>
      <c r="Q103" s="29"/>
      <c r="R103" s="29"/>
      <c r="S103" s="29"/>
      <c r="T103" s="29"/>
      <c r="U103" s="29"/>
      <c r="V103" s="29"/>
      <c r="W103" s="29"/>
      <c r="X103" s="26">
        <f t="shared" si="10"/>
        <v>143</v>
      </c>
      <c r="Y103" s="29"/>
      <c r="Z103" s="26">
        <f t="shared" si="11"/>
        <v>-143</v>
      </c>
      <c r="AA103" s="30"/>
      <c r="AB103" s="27"/>
      <c r="AC103" s="31"/>
      <c r="AD103" s="27"/>
    </row>
    <row r="104" spans="1:30">
      <c r="A104" s="103"/>
      <c r="B104" s="56"/>
      <c r="C104" s="104"/>
      <c r="D104" s="107"/>
      <c r="E104" s="106"/>
      <c r="F104" s="106"/>
      <c r="G104" s="106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18"/>
      <c r="AA104" s="105"/>
      <c r="AB104" s="108"/>
      <c r="AC104" s="109"/>
      <c r="AD104" s="106"/>
    </row>
    <row r="105" spans="1:30">
      <c r="D105" s="11"/>
      <c r="X105" s="26">
        <f t="shared" ref="X105:X113" si="12">D105+E105+F105+G105-Q105-P105-N105-M105-L105-J105-O105-H105-I105-K105-R105-S105-T105-U105-V105+W105</f>
        <v>0</v>
      </c>
    </row>
    <row r="106" spans="1:30" ht="20.25">
      <c r="A106" s="110"/>
      <c r="B106" s="111" t="s">
        <v>220</v>
      </c>
      <c r="C106" s="112"/>
      <c r="D106" s="113"/>
      <c r="E106" s="114"/>
      <c r="F106" s="114"/>
      <c r="G106" s="114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26">
        <f t="shared" si="12"/>
        <v>0</v>
      </c>
      <c r="Y106" s="113"/>
      <c r="Z106" s="115"/>
      <c r="AA106" s="116"/>
      <c r="AB106" s="115"/>
      <c r="AC106" s="117"/>
      <c r="AD106" s="114"/>
    </row>
    <row r="107" spans="1:30" ht="16.5">
      <c r="A107" s="23"/>
      <c r="B107" s="102" t="s">
        <v>221</v>
      </c>
      <c r="C107" s="25"/>
      <c r="D107" s="29">
        <v>40</v>
      </c>
      <c r="E107" s="27"/>
      <c r="F107" s="27"/>
      <c r="G107" s="27"/>
      <c r="H107" s="29"/>
      <c r="I107" s="29"/>
      <c r="J107" s="29"/>
      <c r="K107" s="29"/>
      <c r="L107" s="29">
        <f>2</f>
        <v>2</v>
      </c>
      <c r="M107" s="70"/>
      <c r="N107" s="70"/>
      <c r="O107" s="29"/>
      <c r="P107" s="29"/>
      <c r="Q107" s="29"/>
      <c r="R107" s="29"/>
      <c r="S107" s="29"/>
      <c r="T107" s="29"/>
      <c r="U107" s="29"/>
      <c r="V107" s="29"/>
      <c r="W107" s="29"/>
      <c r="X107" s="26">
        <f t="shared" si="12"/>
        <v>38</v>
      </c>
      <c r="Y107" s="29"/>
      <c r="Z107" s="26">
        <f t="shared" si="11"/>
        <v>-38</v>
      </c>
      <c r="AA107" s="30"/>
      <c r="AB107" s="27"/>
      <c r="AC107" s="31"/>
      <c r="AD107" s="27"/>
    </row>
    <row r="108" spans="1:30" ht="16.5">
      <c r="A108" s="23"/>
      <c r="B108" s="102" t="s">
        <v>222</v>
      </c>
      <c r="C108" s="25"/>
      <c r="D108" s="29">
        <v>40</v>
      </c>
      <c r="E108" s="38"/>
      <c r="F108" s="27"/>
      <c r="G108" s="27"/>
      <c r="H108" s="29">
        <f>4</f>
        <v>4</v>
      </c>
      <c r="I108" s="29"/>
      <c r="J108" s="29"/>
      <c r="K108" s="29"/>
      <c r="L108" s="29"/>
      <c r="M108" s="70"/>
      <c r="N108" s="70"/>
      <c r="O108" s="29"/>
      <c r="P108" s="29"/>
      <c r="Q108" s="29"/>
      <c r="R108" s="29"/>
      <c r="S108" s="29"/>
      <c r="T108" s="29"/>
      <c r="U108" s="29"/>
      <c r="V108" s="29"/>
      <c r="W108" s="29"/>
      <c r="X108" s="26">
        <f t="shared" si="12"/>
        <v>36</v>
      </c>
      <c r="Y108" s="29"/>
      <c r="Z108" s="26">
        <f t="shared" si="11"/>
        <v>-36</v>
      </c>
      <c r="AA108" s="30"/>
      <c r="AB108" s="27"/>
      <c r="AC108" s="31"/>
      <c r="AD108" s="27"/>
    </row>
    <row r="109" spans="1:30" ht="16.5">
      <c r="A109" s="23"/>
      <c r="B109" s="102"/>
      <c r="C109" s="25"/>
      <c r="D109" s="29"/>
      <c r="E109" s="27"/>
      <c r="F109" s="27"/>
      <c r="G109" s="27"/>
      <c r="H109" s="29"/>
      <c r="I109" s="29"/>
      <c r="J109" s="29"/>
      <c r="K109" s="29"/>
      <c r="L109" s="29"/>
      <c r="M109" s="70"/>
      <c r="N109" s="70"/>
      <c r="O109" s="29"/>
      <c r="P109" s="29"/>
      <c r="Q109" s="29"/>
      <c r="R109" s="29"/>
      <c r="S109" s="29"/>
      <c r="T109" s="29"/>
      <c r="U109" s="29"/>
      <c r="V109" s="29"/>
      <c r="W109" s="29"/>
      <c r="X109" s="26">
        <f t="shared" si="12"/>
        <v>0</v>
      </c>
      <c r="Y109" s="29"/>
      <c r="Z109" s="26">
        <f t="shared" si="11"/>
        <v>0</v>
      </c>
      <c r="AA109" s="30"/>
      <c r="AB109" s="27"/>
      <c r="AC109" s="31"/>
      <c r="AD109" s="27"/>
    </row>
    <row r="110" spans="1:30" ht="16.5">
      <c r="A110" s="23"/>
      <c r="B110" s="102"/>
      <c r="C110" s="25"/>
      <c r="D110" s="29"/>
      <c r="E110" s="27"/>
      <c r="F110" s="27"/>
      <c r="G110" s="27"/>
      <c r="H110" s="29"/>
      <c r="I110" s="29"/>
      <c r="J110" s="29"/>
      <c r="K110" s="29"/>
      <c r="L110" s="29"/>
      <c r="M110" s="70"/>
      <c r="N110" s="70"/>
      <c r="O110" s="29"/>
      <c r="P110" s="29"/>
      <c r="Q110" s="29"/>
      <c r="R110" s="29"/>
      <c r="S110" s="29"/>
      <c r="T110" s="29"/>
      <c r="U110" s="29"/>
      <c r="V110" s="29"/>
      <c r="W110" s="29"/>
      <c r="X110" s="26">
        <f t="shared" si="12"/>
        <v>0</v>
      </c>
      <c r="Y110" s="29"/>
      <c r="Z110" s="26">
        <f t="shared" si="11"/>
        <v>0</v>
      </c>
      <c r="AA110" s="30"/>
      <c r="AB110" s="27"/>
      <c r="AC110" s="31"/>
      <c r="AD110" s="27"/>
    </row>
    <row r="111" spans="1:30" ht="16.5">
      <c r="A111" s="23"/>
      <c r="B111" s="102"/>
      <c r="C111" s="25"/>
      <c r="D111" s="29"/>
      <c r="E111" s="27"/>
      <c r="F111" s="27"/>
      <c r="G111" s="27"/>
      <c r="H111" s="29"/>
      <c r="I111" s="29"/>
      <c r="J111" s="29"/>
      <c r="K111" s="29"/>
      <c r="L111" s="29"/>
      <c r="M111" s="70"/>
      <c r="N111" s="70"/>
      <c r="O111" s="29"/>
      <c r="P111" s="29"/>
      <c r="Q111" s="29"/>
      <c r="R111" s="29"/>
      <c r="S111" s="29"/>
      <c r="T111" s="29"/>
      <c r="U111" s="29"/>
      <c r="V111" s="29"/>
      <c r="W111" s="29"/>
      <c r="X111" s="26">
        <f t="shared" si="12"/>
        <v>0</v>
      </c>
      <c r="Y111" s="29"/>
      <c r="Z111" s="26">
        <f t="shared" si="11"/>
        <v>0</v>
      </c>
      <c r="AA111" s="30"/>
      <c r="AB111" s="27"/>
      <c r="AC111" s="31"/>
      <c r="AD111" s="27"/>
    </row>
    <row r="112" spans="1:30" ht="16.5">
      <c r="A112" s="23"/>
      <c r="B112" s="102"/>
      <c r="C112" s="25"/>
      <c r="D112" s="29"/>
      <c r="E112" s="27"/>
      <c r="F112" s="27"/>
      <c r="G112" s="27"/>
      <c r="H112" s="29"/>
      <c r="I112" s="29"/>
      <c r="J112" s="29"/>
      <c r="K112" s="29"/>
      <c r="L112" s="29"/>
      <c r="M112" s="70"/>
      <c r="N112" s="70"/>
      <c r="O112" s="29"/>
      <c r="P112" s="29"/>
      <c r="Q112" s="29"/>
      <c r="R112" s="29"/>
      <c r="S112" s="29"/>
      <c r="T112" s="29"/>
      <c r="U112" s="29"/>
      <c r="V112" s="29"/>
      <c r="W112" s="29"/>
      <c r="X112" s="26">
        <f t="shared" si="12"/>
        <v>0</v>
      </c>
      <c r="Y112" s="29"/>
      <c r="Z112" s="26">
        <f t="shared" si="11"/>
        <v>0</v>
      </c>
      <c r="AA112" s="30"/>
      <c r="AB112" s="27"/>
      <c r="AC112" s="31"/>
      <c r="AD112" s="27"/>
    </row>
    <row r="113" spans="1:30">
      <c r="A113" s="103"/>
      <c r="B113" s="56"/>
      <c r="C113" s="104"/>
      <c r="D113" s="118"/>
      <c r="E113" s="106"/>
      <c r="F113" s="106"/>
      <c r="G113" s="106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26">
        <f t="shared" si="12"/>
        <v>0</v>
      </c>
      <c r="Y113" s="107"/>
      <c r="Z113" s="118"/>
      <c r="AA113" s="105"/>
      <c r="AB113" s="108"/>
      <c r="AC113" s="109"/>
      <c r="AD113" s="106"/>
    </row>
    <row r="114" spans="1:30">
      <c r="D114" s="11"/>
      <c r="X114" s="26"/>
    </row>
    <row r="115" spans="1:30" ht="20.25">
      <c r="A115" s="110"/>
      <c r="B115" s="111" t="s">
        <v>220</v>
      </c>
      <c r="C115" s="112"/>
      <c r="D115" s="113"/>
      <c r="E115" s="114"/>
      <c r="F115" s="114"/>
      <c r="G115" s="114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26">
        <f t="shared" ref="X115:X122" si="13">D115+E115+F115+G115-Q115-P115-N115-M115-L115-J115-O115-H115-I115-K115-R115-S115-T115-U115-V115+W115</f>
        <v>0</v>
      </c>
      <c r="Y115" s="113"/>
      <c r="Z115" s="115"/>
      <c r="AA115" s="116"/>
      <c r="AB115" s="115"/>
      <c r="AC115" s="117"/>
      <c r="AD115" s="114"/>
    </row>
    <row r="116" spans="1:30" ht="16.5">
      <c r="A116" s="23"/>
      <c r="B116" s="102" t="s">
        <v>223</v>
      </c>
      <c r="C116" s="25" t="s">
        <v>45</v>
      </c>
      <c r="D116" s="29">
        <v>2</v>
      </c>
      <c r="E116" s="27"/>
      <c r="F116" s="27"/>
      <c r="G116" s="27"/>
      <c r="H116" s="29"/>
      <c r="I116" s="29"/>
      <c r="J116" s="29"/>
      <c r="K116" s="29"/>
      <c r="L116" s="29"/>
      <c r="M116" s="70"/>
      <c r="N116" s="70"/>
      <c r="O116" s="29"/>
      <c r="P116" s="29"/>
      <c r="Q116" s="29"/>
      <c r="R116" s="29"/>
      <c r="S116" s="29"/>
      <c r="T116" s="29"/>
      <c r="U116" s="29"/>
      <c r="V116" s="29"/>
      <c r="W116" s="29"/>
      <c r="X116" s="26">
        <f t="shared" si="13"/>
        <v>2</v>
      </c>
      <c r="Y116" s="29"/>
      <c r="Z116" s="26">
        <f t="shared" ref="Z116:Z121" si="14">Y116-X116</f>
        <v>-2</v>
      </c>
      <c r="AA116" s="30"/>
      <c r="AB116" s="27"/>
      <c r="AC116" s="31"/>
      <c r="AD116" s="27"/>
    </row>
    <row r="117" spans="1:30" ht="16.5">
      <c r="A117" s="23"/>
      <c r="B117" s="102" t="s">
        <v>224</v>
      </c>
      <c r="C117" s="25" t="s">
        <v>194</v>
      </c>
      <c r="D117" s="29">
        <v>0</v>
      </c>
      <c r="E117" s="38"/>
      <c r="F117" s="27"/>
      <c r="G117" s="27"/>
      <c r="H117" s="29"/>
      <c r="I117" s="29"/>
      <c r="J117" s="29"/>
      <c r="K117" s="29"/>
      <c r="L117" s="29"/>
      <c r="M117" s="70"/>
      <c r="N117" s="70"/>
      <c r="O117" s="29"/>
      <c r="P117" s="29"/>
      <c r="Q117" s="29"/>
      <c r="R117" s="29"/>
      <c r="S117" s="29"/>
      <c r="T117" s="29"/>
      <c r="U117" s="29"/>
      <c r="V117" s="29"/>
      <c r="W117" s="29"/>
      <c r="X117" s="26">
        <f t="shared" si="13"/>
        <v>0</v>
      </c>
      <c r="Y117" s="29"/>
      <c r="Z117" s="26">
        <f t="shared" si="14"/>
        <v>0</v>
      </c>
      <c r="AA117" s="30"/>
      <c r="AB117" s="27"/>
      <c r="AC117" s="31"/>
      <c r="AD117" s="27"/>
    </row>
    <row r="118" spans="1:30" ht="16.5">
      <c r="A118" s="23"/>
      <c r="B118" s="102" t="s">
        <v>225</v>
      </c>
      <c r="C118" s="25"/>
      <c r="D118" s="29">
        <v>0</v>
      </c>
      <c r="E118" s="27"/>
      <c r="F118" s="27"/>
      <c r="G118" s="27"/>
      <c r="H118" s="29"/>
      <c r="I118" s="29"/>
      <c r="J118" s="29"/>
      <c r="K118" s="29"/>
      <c r="L118" s="29"/>
      <c r="M118" s="70"/>
      <c r="N118" s="70"/>
      <c r="O118" s="29"/>
      <c r="P118" s="29"/>
      <c r="Q118" s="29"/>
      <c r="R118" s="29"/>
      <c r="S118" s="29"/>
      <c r="T118" s="29"/>
      <c r="U118" s="29"/>
      <c r="V118" s="29"/>
      <c r="W118" s="29"/>
      <c r="X118" s="26">
        <f t="shared" si="13"/>
        <v>0</v>
      </c>
      <c r="Y118" s="29"/>
      <c r="Z118" s="26">
        <f t="shared" si="14"/>
        <v>0</v>
      </c>
      <c r="AA118" s="30"/>
      <c r="AB118" s="27"/>
      <c r="AC118" s="31"/>
      <c r="AD118" s="27"/>
    </row>
    <row r="119" spans="1:30" ht="16.5">
      <c r="A119" s="23"/>
      <c r="B119" s="102" t="s">
        <v>226</v>
      </c>
      <c r="C119" s="25"/>
      <c r="D119" s="29">
        <v>2</v>
      </c>
      <c r="E119" s="27"/>
      <c r="F119" s="27"/>
      <c r="G119" s="27"/>
      <c r="H119" s="29"/>
      <c r="I119" s="29"/>
      <c r="J119" s="29"/>
      <c r="K119" s="29"/>
      <c r="L119" s="29"/>
      <c r="M119" s="70"/>
      <c r="N119" s="70"/>
      <c r="O119" s="29"/>
      <c r="P119" s="29"/>
      <c r="Q119" s="29"/>
      <c r="R119" s="29"/>
      <c r="S119" s="29"/>
      <c r="T119" s="29"/>
      <c r="U119" s="29"/>
      <c r="V119" s="29"/>
      <c r="W119" s="29"/>
      <c r="X119" s="26">
        <f t="shared" si="13"/>
        <v>2</v>
      </c>
      <c r="Y119" s="29"/>
      <c r="Z119" s="26">
        <f t="shared" si="14"/>
        <v>-2</v>
      </c>
      <c r="AA119" s="30"/>
      <c r="AB119" s="27"/>
      <c r="AC119" s="31"/>
      <c r="AD119" s="27"/>
    </row>
    <row r="120" spans="1:30" ht="16.5">
      <c r="A120" s="23"/>
      <c r="B120" s="102" t="s">
        <v>227</v>
      </c>
      <c r="C120" s="25"/>
      <c r="D120" s="29">
        <v>2</v>
      </c>
      <c r="E120" s="27"/>
      <c r="F120" s="27"/>
      <c r="G120" s="27"/>
      <c r="H120" s="29"/>
      <c r="I120" s="29"/>
      <c r="J120" s="29"/>
      <c r="K120" s="29"/>
      <c r="L120" s="29"/>
      <c r="M120" s="70"/>
      <c r="N120" s="70"/>
      <c r="O120" s="29"/>
      <c r="P120" s="29"/>
      <c r="Q120" s="29"/>
      <c r="R120" s="29"/>
      <c r="S120" s="29"/>
      <c r="T120" s="29"/>
      <c r="U120" s="29"/>
      <c r="V120" s="29"/>
      <c r="W120" s="29"/>
      <c r="X120" s="26">
        <f t="shared" si="13"/>
        <v>2</v>
      </c>
      <c r="Y120" s="29"/>
      <c r="Z120" s="26">
        <f t="shared" si="14"/>
        <v>-2</v>
      </c>
      <c r="AA120" s="30"/>
      <c r="AB120" s="27"/>
      <c r="AC120" s="31"/>
      <c r="AD120" s="27"/>
    </row>
    <row r="121" spans="1:30" ht="16.5">
      <c r="A121" s="23"/>
      <c r="B121" s="102" t="s">
        <v>228</v>
      </c>
      <c r="C121" s="25"/>
      <c r="D121" s="29">
        <v>2</v>
      </c>
      <c r="E121" s="27"/>
      <c r="F121" s="27"/>
      <c r="G121" s="27"/>
      <c r="H121" s="29"/>
      <c r="I121" s="29"/>
      <c r="J121" s="29"/>
      <c r="K121" s="29"/>
      <c r="L121" s="29"/>
      <c r="M121" s="70"/>
      <c r="N121" s="70"/>
      <c r="O121" s="29"/>
      <c r="P121" s="29"/>
      <c r="Q121" s="29"/>
      <c r="R121" s="29"/>
      <c r="S121" s="29"/>
      <c r="T121" s="29"/>
      <c r="U121" s="29"/>
      <c r="V121" s="29"/>
      <c r="W121" s="29"/>
      <c r="X121" s="26">
        <f t="shared" si="13"/>
        <v>2</v>
      </c>
      <c r="Y121" s="29"/>
      <c r="Z121" s="26">
        <f t="shared" si="14"/>
        <v>-2</v>
      </c>
      <c r="AA121" s="30"/>
      <c r="AB121" s="27"/>
      <c r="AC121" s="31"/>
      <c r="AD121" s="27"/>
    </row>
    <row r="122" spans="1:30">
      <c r="A122" s="103"/>
      <c r="B122" s="56"/>
      <c r="C122" s="104"/>
      <c r="D122" s="118"/>
      <c r="E122" s="106"/>
      <c r="F122" s="106"/>
      <c r="G122" s="106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26">
        <f t="shared" si="13"/>
        <v>0</v>
      </c>
      <c r="Y122" s="107"/>
      <c r="Z122" s="118"/>
      <c r="AA122" s="105"/>
      <c r="AB122" s="108"/>
      <c r="AC122" s="109"/>
      <c r="AD122" s="106"/>
    </row>
  </sheetData>
  <conditionalFormatting sqref="B70:B93">
    <cfRule type="cellIs" dxfId="19" priority="4" operator="lessThan">
      <formula>0</formula>
    </cfRule>
  </conditionalFormatting>
  <conditionalFormatting sqref="B96:B98">
    <cfRule type="cellIs" dxfId="18" priority="5" operator="lessThan">
      <formula>0</formula>
    </cfRule>
  </conditionalFormatting>
  <conditionalFormatting sqref="B101:B103">
    <cfRule type="cellIs" dxfId="17" priority="3" operator="lessThan">
      <formula>0</formula>
    </cfRule>
  </conditionalFormatting>
  <conditionalFormatting sqref="B106:B112">
    <cfRule type="cellIs" dxfId="16" priority="1" operator="lessThan">
      <formula>0</formula>
    </cfRule>
  </conditionalFormatting>
  <conditionalFormatting sqref="B115:B121">
    <cfRule type="cellIs" dxfId="15" priority="2" operator="lessThan">
      <formula>0</formula>
    </cfRule>
  </conditionalFormatting>
  <dataValidations count="2">
    <dataValidation type="textLength" showInputMessage="1" showErrorMessage="1" sqref="C18 C79 C98 C103 C22:C42 C83:C87 C108:C112 C117:C121">
      <formula1>0</formula1>
      <formula2>20</formula2>
    </dataValidation>
    <dataValidation type="textLength" showInputMessage="1" showErrorMessage="1" sqref="B8 B10:B43 B78:B93 B97:B98 B102:B103 B107:B112 B116:B121">
      <formula1>5</formula1>
      <formula2>100</formula2>
    </dataValidation>
  </dataValidations>
  <pageMargins left="0.7" right="0.7" top="0.75" bottom="0.75" header="0.3" footer="0.3"/>
  <pageSetup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22"/>
  <sheetViews>
    <sheetView zoomScale="85" zoomScaleNormal="85" workbookViewId="0">
      <pane xSplit="3" ySplit="1" topLeftCell="O55" activePane="bottomRight" state="frozen"/>
      <selection pane="topRight"/>
      <selection pane="bottomLeft"/>
      <selection pane="bottomRight" activeCell="T67" sqref="T67"/>
    </sheetView>
  </sheetViews>
  <sheetFormatPr defaultColWidth="9" defaultRowHeight="15"/>
  <cols>
    <col min="1" max="1" width="12" style="9" customWidth="1"/>
    <col min="2" max="2" width="41" style="9" customWidth="1"/>
    <col min="3" max="3" width="15" style="9" hidden="1" customWidth="1"/>
    <col min="4" max="4" width="16.5703125" style="9" customWidth="1"/>
    <col min="5" max="5" width="10.85546875" style="10" customWidth="1"/>
    <col min="6" max="6" width="6.7109375" style="9" customWidth="1"/>
    <col min="7" max="7" width="6.7109375" style="9" hidden="1" customWidth="1"/>
    <col min="8" max="8" width="12.42578125" style="9" customWidth="1"/>
    <col min="9" max="9" width="11.7109375" style="9" hidden="1" customWidth="1"/>
    <col min="10" max="13" width="11.7109375" style="9" customWidth="1"/>
    <col min="14" max="14" width="11.7109375" style="9" hidden="1" customWidth="1"/>
    <col min="15" max="19" width="11.7109375" style="9" customWidth="1"/>
    <col min="20" max="21" width="10.85546875" style="9" customWidth="1"/>
    <col min="22" max="22" width="17.42578125" style="9" customWidth="1"/>
    <col min="23" max="23" width="8.85546875" style="11" customWidth="1"/>
    <col min="24" max="24" width="18.5703125" style="9" customWidth="1"/>
    <col min="25" max="25" width="18.85546875" style="11" customWidth="1"/>
    <col min="26" max="26" width="13.42578125" style="11" customWidth="1"/>
    <col min="27" max="27" width="47.85546875" style="11" customWidth="1"/>
    <col min="28" max="28" width="31.140625" style="9" hidden="1" customWidth="1"/>
    <col min="29" max="29" width="9" style="9" hidden="1" customWidth="1"/>
    <col min="30" max="30" width="9.7109375" style="9" hidden="1" customWidth="1"/>
    <col min="31" max="16384" width="9" style="9"/>
  </cols>
  <sheetData>
    <row r="1" spans="1:28" s="1" customFormat="1" ht="45" customHeight="1">
      <c r="A1" s="12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9" t="s">
        <v>23</v>
      </c>
      <c r="Y1" s="20" t="s">
        <v>24</v>
      </c>
      <c r="Z1" s="21" t="s">
        <v>25</v>
      </c>
      <c r="AA1" s="21" t="s">
        <v>26</v>
      </c>
      <c r="AB1" s="22"/>
    </row>
    <row r="2" spans="1:28">
      <c r="A2" s="23" t="s">
        <v>27</v>
      </c>
      <c r="B2" s="24" t="s">
        <v>28</v>
      </c>
      <c r="C2" s="25" t="s">
        <v>29</v>
      </c>
      <c r="D2" s="26">
        <v>91</v>
      </c>
      <c r="E2" s="27"/>
      <c r="F2" s="27"/>
      <c r="G2" s="27"/>
      <c r="H2" s="28">
        <f>81+300</f>
        <v>381</v>
      </c>
      <c r="I2" s="29"/>
      <c r="J2" s="29"/>
      <c r="K2" s="29"/>
      <c r="L2" s="29"/>
      <c r="M2" s="29">
        <f>51+50</f>
        <v>101</v>
      </c>
      <c r="N2" s="29"/>
      <c r="O2" s="29"/>
      <c r="P2" s="29"/>
      <c r="Q2" s="29"/>
      <c r="R2" s="29"/>
      <c r="S2" s="29"/>
      <c r="T2" s="29"/>
      <c r="U2" s="29"/>
      <c r="V2" s="29"/>
      <c r="W2" s="29">
        <f>100+300</f>
        <v>400</v>
      </c>
      <c r="X2" s="26">
        <f t="shared" ref="X2:X11" si="0">D2+E2+F2+G2-Q2-P2-N2-M2-L2-J2-O2-H2-I2-K2-R2-S2-T2-U2-V2+W2</f>
        <v>9</v>
      </c>
      <c r="Y2" s="30"/>
      <c r="Z2" s="26">
        <f t="shared" ref="Z2:Z11" si="1">Y2-X2</f>
        <v>-9</v>
      </c>
      <c r="AA2" s="31"/>
      <c r="AB2" s="27"/>
    </row>
    <row r="3" spans="1:28">
      <c r="A3" s="23" t="s">
        <v>30</v>
      </c>
      <c r="B3" s="24" t="s">
        <v>31</v>
      </c>
      <c r="C3" s="25" t="s">
        <v>32</v>
      </c>
      <c r="D3" s="26">
        <v>3305</v>
      </c>
      <c r="E3" s="27"/>
      <c r="F3" s="27"/>
      <c r="G3" s="27"/>
      <c r="H3" s="29">
        <f>945</f>
        <v>945</v>
      </c>
      <c r="I3" s="29"/>
      <c r="J3" s="29"/>
      <c r="K3" s="29"/>
      <c r="L3" s="29">
        <v>50</v>
      </c>
      <c r="M3" s="29">
        <v>175</v>
      </c>
      <c r="N3" s="29"/>
      <c r="O3" s="29">
        <v>20</v>
      </c>
      <c r="P3" s="29"/>
      <c r="Q3" s="29"/>
      <c r="R3" s="29">
        <v>5</v>
      </c>
      <c r="S3" s="29"/>
      <c r="T3" s="29"/>
      <c r="U3" s="29"/>
      <c r="V3" s="29"/>
      <c r="W3" s="29"/>
      <c r="X3" s="26">
        <f t="shared" si="0"/>
        <v>2110</v>
      </c>
      <c r="Y3" s="30"/>
      <c r="Z3" s="26">
        <f t="shared" si="1"/>
        <v>-2110</v>
      </c>
      <c r="AA3" s="31"/>
      <c r="AB3" s="27"/>
    </row>
    <row r="4" spans="1:28">
      <c r="A4" s="23" t="s">
        <v>33</v>
      </c>
      <c r="B4" s="24" t="s">
        <v>34</v>
      </c>
      <c r="C4" s="25" t="s">
        <v>35</v>
      </c>
      <c r="D4" s="26">
        <v>1120</v>
      </c>
      <c r="E4" s="27">
        <v>2500</v>
      </c>
      <c r="F4" s="27"/>
      <c r="G4" s="27"/>
      <c r="H4" s="29">
        <v>240</v>
      </c>
      <c r="I4" s="29"/>
      <c r="J4" s="29"/>
      <c r="K4" s="29"/>
      <c r="L4" s="29">
        <v>10</v>
      </c>
      <c r="M4" s="29">
        <f>70</f>
        <v>70</v>
      </c>
      <c r="N4" s="29"/>
      <c r="O4" s="29">
        <f>20</f>
        <v>20</v>
      </c>
      <c r="P4" s="29"/>
      <c r="Q4" s="29"/>
      <c r="R4" s="29"/>
      <c r="S4" s="29"/>
      <c r="T4" s="29"/>
      <c r="U4" s="29"/>
      <c r="V4" s="29"/>
      <c r="W4" s="29">
        <f>-100+-300</f>
        <v>-400</v>
      </c>
      <c r="X4" s="26">
        <f t="shared" si="0"/>
        <v>2880</v>
      </c>
      <c r="Y4" s="30"/>
      <c r="Z4" s="26">
        <f t="shared" si="1"/>
        <v>-2880</v>
      </c>
      <c r="AA4" s="31"/>
      <c r="AB4" s="27"/>
    </row>
    <row r="5" spans="1:28">
      <c r="A5" s="32"/>
      <c r="B5" s="33" t="s">
        <v>36</v>
      </c>
      <c r="C5" s="34"/>
      <c r="D5" s="35">
        <f>SUM(D9+D11)</f>
        <v>82</v>
      </c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>
        <f>SUM(X6:X11)</f>
        <v>873</v>
      </c>
      <c r="Y5" s="35"/>
      <c r="Z5" s="35">
        <f>SUM(Z6:Z11)</f>
        <v>-873</v>
      </c>
      <c r="AA5" s="36"/>
      <c r="AB5" s="37"/>
    </row>
    <row r="6" spans="1:28">
      <c r="A6" s="23"/>
      <c r="B6" s="24" t="s">
        <v>37</v>
      </c>
      <c r="C6" s="25" t="s">
        <v>38</v>
      </c>
      <c r="D6" s="26">
        <v>300</v>
      </c>
      <c r="E6" s="27"/>
      <c r="F6" s="27"/>
      <c r="G6" s="27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7"/>
      <c r="X6" s="26">
        <f t="shared" si="0"/>
        <v>300</v>
      </c>
      <c r="Y6" s="30"/>
      <c r="Z6" s="38">
        <f t="shared" si="1"/>
        <v>-300</v>
      </c>
      <c r="AA6" s="31"/>
      <c r="AB6" s="27"/>
    </row>
    <row r="7" spans="1:28">
      <c r="A7" s="23"/>
      <c r="B7" s="24" t="s">
        <v>39</v>
      </c>
      <c r="C7" s="25" t="s">
        <v>40</v>
      </c>
      <c r="D7" s="26">
        <v>297</v>
      </c>
      <c r="E7" s="27"/>
      <c r="F7" s="27"/>
      <c r="G7" s="27"/>
      <c r="H7" s="29">
        <f>12</f>
        <v>12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7"/>
      <c r="X7" s="26">
        <f t="shared" si="0"/>
        <v>285</v>
      </c>
      <c r="Y7" s="30"/>
      <c r="Z7" s="38">
        <f t="shared" si="1"/>
        <v>-285</v>
      </c>
      <c r="AA7" s="31"/>
      <c r="AB7" s="27"/>
    </row>
    <row r="8" spans="1:28">
      <c r="A8" s="23"/>
      <c r="B8" s="24" t="s">
        <v>41</v>
      </c>
      <c r="C8" s="39" t="s">
        <v>42</v>
      </c>
      <c r="D8" s="26">
        <v>292</v>
      </c>
      <c r="E8" s="27"/>
      <c r="F8" s="27"/>
      <c r="G8" s="27"/>
      <c r="H8" s="29">
        <f>4</f>
        <v>4</v>
      </c>
      <c r="I8" s="29"/>
      <c r="J8" s="29"/>
      <c r="K8" s="29"/>
      <c r="L8" s="29"/>
      <c r="M8" s="29">
        <v>2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6">
        <f t="shared" si="0"/>
        <v>286</v>
      </c>
      <c r="Y8" s="30"/>
      <c r="Z8" s="26">
        <f t="shared" si="1"/>
        <v>-286</v>
      </c>
      <c r="AA8" s="31"/>
      <c r="AB8" s="27"/>
    </row>
    <row r="9" spans="1:28">
      <c r="A9" s="23" t="s">
        <v>43</v>
      </c>
      <c r="B9" s="24" t="s">
        <v>44</v>
      </c>
      <c r="C9" s="25" t="s">
        <v>45</v>
      </c>
      <c r="D9" s="26">
        <v>1</v>
      </c>
      <c r="E9" s="27"/>
      <c r="F9" s="27"/>
      <c r="G9" s="27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6">
        <f t="shared" si="0"/>
        <v>1</v>
      </c>
      <c r="Y9" s="30"/>
      <c r="Z9" s="26">
        <f t="shared" si="1"/>
        <v>-1</v>
      </c>
      <c r="AA9" s="31"/>
      <c r="AB9" s="27"/>
    </row>
    <row r="10" spans="1:28" hidden="1">
      <c r="A10" s="23" t="s">
        <v>46</v>
      </c>
      <c r="B10" s="24" t="s">
        <v>47</v>
      </c>
      <c r="C10" s="39" t="s">
        <v>48</v>
      </c>
      <c r="D10" s="26"/>
      <c r="E10" s="27"/>
      <c r="F10" s="27"/>
      <c r="G10" s="27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6">
        <f t="shared" si="0"/>
        <v>0</v>
      </c>
      <c r="Y10" s="30"/>
      <c r="Z10" s="26">
        <f t="shared" si="1"/>
        <v>0</v>
      </c>
      <c r="AA10" s="31" t="s">
        <v>49</v>
      </c>
      <c r="AB10" s="27"/>
    </row>
    <row r="11" spans="1:28">
      <c r="A11" s="23" t="s">
        <v>50</v>
      </c>
      <c r="B11" s="24" t="s">
        <v>51</v>
      </c>
      <c r="C11" s="39" t="s">
        <v>52</v>
      </c>
      <c r="D11" s="26">
        <v>81</v>
      </c>
      <c r="E11" s="27"/>
      <c r="F11" s="27"/>
      <c r="G11" s="27"/>
      <c r="H11" s="29">
        <v>80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6">
        <f t="shared" si="0"/>
        <v>1</v>
      </c>
      <c r="Y11" s="30"/>
      <c r="Z11" s="26">
        <f t="shared" si="1"/>
        <v>-1</v>
      </c>
      <c r="AA11" s="31"/>
      <c r="AB11" s="27"/>
    </row>
    <row r="12" spans="1:28">
      <c r="A12" s="40"/>
      <c r="B12" s="33" t="s">
        <v>53</v>
      </c>
      <c r="C12" s="41"/>
      <c r="D12" s="42">
        <v>19742</v>
      </c>
      <c r="E12" s="37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>
        <f>SUM(X13:X43)</f>
        <v>13911</v>
      </c>
      <c r="Y12" s="42"/>
      <c r="Z12" s="42">
        <f>SUM(Z13:Z43)</f>
        <v>-13911</v>
      </c>
      <c r="AA12" s="43"/>
      <c r="AB12" s="44"/>
    </row>
    <row r="13" spans="1:28">
      <c r="A13" s="23" t="s">
        <v>54</v>
      </c>
      <c r="B13" s="24" t="s">
        <v>55</v>
      </c>
      <c r="C13" s="39" t="s">
        <v>56</v>
      </c>
      <c r="D13" s="26">
        <v>9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6">
        <f t="shared" ref="X13:X45" si="2">D13+E13+F13+G13-Q13-P13-N13-M13-L13-J13-O13-H13-I13-K13-R13-S13-T13-U13-V13+W13</f>
        <v>9</v>
      </c>
      <c r="Y13" s="30"/>
      <c r="Z13" s="38">
        <f t="shared" ref="Z13:Z45" si="3">Y13-X13</f>
        <v>-9</v>
      </c>
      <c r="AA13" s="31"/>
      <c r="AB13" s="27"/>
    </row>
    <row r="14" spans="1:28">
      <c r="A14" s="23" t="s">
        <v>57</v>
      </c>
      <c r="B14" s="24" t="s">
        <v>58</v>
      </c>
      <c r="C14" s="39" t="s">
        <v>59</v>
      </c>
      <c r="D14" s="26">
        <v>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9"/>
      <c r="W14" s="29"/>
      <c r="X14" s="26">
        <f t="shared" si="2"/>
        <v>1</v>
      </c>
      <c r="Y14" s="30"/>
      <c r="Z14" s="26">
        <f t="shared" si="3"/>
        <v>-1</v>
      </c>
      <c r="AA14" s="31"/>
      <c r="AB14" s="27"/>
    </row>
    <row r="15" spans="1:28">
      <c r="A15" s="23" t="s">
        <v>60</v>
      </c>
      <c r="B15" s="24" t="s">
        <v>61</v>
      </c>
      <c r="C15" s="39" t="s">
        <v>62</v>
      </c>
      <c r="D15" s="26">
        <v>80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9"/>
      <c r="W15" s="29"/>
      <c r="X15" s="26">
        <f t="shared" si="2"/>
        <v>80</v>
      </c>
      <c r="Y15" s="30"/>
      <c r="Z15" s="26">
        <f t="shared" si="3"/>
        <v>-80</v>
      </c>
      <c r="AA15" s="31"/>
      <c r="AB15" s="27"/>
    </row>
    <row r="16" spans="1:28">
      <c r="A16" s="23" t="s">
        <v>63</v>
      </c>
      <c r="B16" s="24" t="s">
        <v>64</v>
      </c>
      <c r="C16" s="39" t="s">
        <v>65</v>
      </c>
      <c r="D16" s="26">
        <v>2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9"/>
      <c r="W16" s="29"/>
      <c r="X16" s="26">
        <f t="shared" si="2"/>
        <v>2</v>
      </c>
      <c r="Y16" s="30"/>
      <c r="Z16" s="26">
        <f t="shared" si="3"/>
        <v>-2</v>
      </c>
      <c r="AA16" s="31"/>
      <c r="AB16" s="27"/>
    </row>
    <row r="17" spans="1:28" hidden="1">
      <c r="A17" s="23" t="s">
        <v>66</v>
      </c>
      <c r="B17" s="24" t="s">
        <v>67</v>
      </c>
      <c r="C17" s="39" t="s">
        <v>68</v>
      </c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9"/>
      <c r="W17" s="29"/>
      <c r="X17" s="26">
        <f t="shared" si="2"/>
        <v>0</v>
      </c>
      <c r="Y17" s="30"/>
      <c r="Z17" s="26">
        <f t="shared" si="3"/>
        <v>0</v>
      </c>
      <c r="AA17" s="31"/>
      <c r="AB17" s="27"/>
    </row>
    <row r="18" spans="1:28">
      <c r="A18" s="23" t="s">
        <v>69</v>
      </c>
      <c r="B18" s="24" t="s">
        <v>70</v>
      </c>
      <c r="C18" s="25" t="s">
        <v>71</v>
      </c>
      <c r="D18" s="26">
        <v>5870</v>
      </c>
      <c r="E18" s="27"/>
      <c r="F18" s="27"/>
      <c r="G18" s="27"/>
      <c r="H18" s="27">
        <v>15</v>
      </c>
      <c r="I18" s="27"/>
      <c r="J18" s="27"/>
      <c r="K18" s="27"/>
      <c r="L18" s="27"/>
      <c r="M18" s="45">
        <f>5</f>
        <v>5</v>
      </c>
      <c r="N18" s="27"/>
      <c r="O18" s="27"/>
      <c r="P18" s="27"/>
      <c r="Q18" s="27"/>
      <c r="R18" s="27"/>
      <c r="S18" s="27"/>
      <c r="T18" s="27"/>
      <c r="U18" s="27"/>
      <c r="V18" s="29"/>
      <c r="W18" s="29"/>
      <c r="X18" s="26">
        <f t="shared" si="2"/>
        <v>5850</v>
      </c>
      <c r="Y18" s="30"/>
      <c r="Z18" s="26">
        <f t="shared" si="3"/>
        <v>-5850</v>
      </c>
      <c r="AA18" s="31"/>
      <c r="AB18" s="27"/>
    </row>
    <row r="19" spans="1:28" hidden="1">
      <c r="A19" s="23" t="s">
        <v>72</v>
      </c>
      <c r="B19" s="24" t="s">
        <v>73</v>
      </c>
      <c r="C19" s="39" t="s">
        <v>74</v>
      </c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9"/>
      <c r="W19" s="29"/>
      <c r="X19" s="26">
        <f t="shared" si="2"/>
        <v>0</v>
      </c>
      <c r="Y19" s="30"/>
      <c r="Z19" s="26">
        <f t="shared" si="3"/>
        <v>0</v>
      </c>
      <c r="AA19" s="31"/>
      <c r="AB19" s="27"/>
    </row>
    <row r="20" spans="1:28" hidden="1">
      <c r="A20" s="23" t="s">
        <v>75</v>
      </c>
      <c r="B20" s="24" t="s">
        <v>76</v>
      </c>
      <c r="C20" s="39" t="s">
        <v>77</v>
      </c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9"/>
      <c r="W20" s="29"/>
      <c r="X20" s="26">
        <f t="shared" si="2"/>
        <v>0</v>
      </c>
      <c r="Y20" s="30"/>
      <c r="Z20" s="26">
        <f t="shared" si="3"/>
        <v>0</v>
      </c>
      <c r="AA20" s="31"/>
      <c r="AB20" s="27"/>
    </row>
    <row r="21" spans="1:28" hidden="1">
      <c r="A21" s="23" t="s">
        <v>78</v>
      </c>
      <c r="B21" s="24" t="s">
        <v>79</v>
      </c>
      <c r="C21" s="39" t="s">
        <v>80</v>
      </c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9"/>
      <c r="W21" s="29"/>
      <c r="X21" s="26">
        <f t="shared" si="2"/>
        <v>0</v>
      </c>
      <c r="Y21" s="30"/>
      <c r="Z21" s="26">
        <f t="shared" si="3"/>
        <v>0</v>
      </c>
      <c r="AA21" s="31"/>
      <c r="AB21" s="27"/>
    </row>
    <row r="22" spans="1:28">
      <c r="A22" s="23" t="s">
        <v>81</v>
      </c>
      <c r="B22" s="24" t="s">
        <v>82</v>
      </c>
      <c r="C22" s="25" t="s">
        <v>83</v>
      </c>
      <c r="D22" s="26">
        <v>8</v>
      </c>
      <c r="E22" s="27"/>
      <c r="F22" s="27"/>
      <c r="G22" s="27"/>
      <c r="H22" s="27"/>
      <c r="I22" s="27"/>
      <c r="J22" s="27"/>
      <c r="K22" s="27"/>
      <c r="L22" s="27"/>
      <c r="M22" s="45"/>
      <c r="N22" s="27"/>
      <c r="O22" s="27"/>
      <c r="P22" s="27"/>
      <c r="Q22" s="27"/>
      <c r="R22" s="27"/>
      <c r="S22" s="27"/>
      <c r="T22" s="27"/>
      <c r="U22" s="27"/>
      <c r="V22" s="29"/>
      <c r="W22" s="29"/>
      <c r="X22" s="26">
        <f t="shared" si="2"/>
        <v>8</v>
      </c>
      <c r="Y22" s="30"/>
      <c r="Z22" s="26">
        <f t="shared" si="3"/>
        <v>-8</v>
      </c>
      <c r="AA22" s="31"/>
      <c r="AB22" s="27"/>
    </row>
    <row r="23" spans="1:28">
      <c r="A23" s="23" t="s">
        <v>84</v>
      </c>
      <c r="B23" s="24" t="s">
        <v>85</v>
      </c>
      <c r="C23" s="25" t="s">
        <v>86</v>
      </c>
      <c r="D23" s="26">
        <v>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9"/>
      <c r="W23" s="29"/>
      <c r="X23" s="26">
        <f t="shared" si="2"/>
        <v>0</v>
      </c>
      <c r="Y23" s="30"/>
      <c r="Z23" s="26">
        <f t="shared" si="3"/>
        <v>0</v>
      </c>
      <c r="AA23" s="31"/>
      <c r="AB23" s="27"/>
    </row>
    <row r="24" spans="1:28">
      <c r="A24" s="23" t="s">
        <v>87</v>
      </c>
      <c r="B24" s="24" t="s">
        <v>88</v>
      </c>
      <c r="C24" s="25" t="s">
        <v>89</v>
      </c>
      <c r="D24" s="26">
        <v>6485</v>
      </c>
      <c r="E24" s="27"/>
      <c r="F24" s="27"/>
      <c r="G24" s="27"/>
      <c r="H24" s="27">
        <f>5</f>
        <v>5</v>
      </c>
      <c r="I24" s="27"/>
      <c r="J24" s="27"/>
      <c r="K24" s="27"/>
      <c r="L24" s="27"/>
      <c r="M24" s="27">
        <v>55</v>
      </c>
      <c r="N24" s="27"/>
      <c r="O24" s="27"/>
      <c r="P24" s="27"/>
      <c r="Q24" s="27"/>
      <c r="R24" s="27"/>
      <c r="S24" s="27"/>
      <c r="T24" s="27"/>
      <c r="U24" s="27"/>
      <c r="V24" s="29"/>
      <c r="W24" s="29"/>
      <c r="X24" s="26">
        <f t="shared" si="2"/>
        <v>6425</v>
      </c>
      <c r="Y24" s="30"/>
      <c r="Z24" s="26">
        <f t="shared" si="3"/>
        <v>-6425</v>
      </c>
      <c r="AA24" s="31"/>
      <c r="AB24" s="27"/>
    </row>
    <row r="25" spans="1:28">
      <c r="A25" s="23" t="s">
        <v>90</v>
      </c>
      <c r="B25" s="24" t="s">
        <v>91</v>
      </c>
      <c r="C25" s="25" t="s">
        <v>92</v>
      </c>
      <c r="D25" s="26">
        <v>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9"/>
      <c r="W25" s="29"/>
      <c r="X25" s="26">
        <f t="shared" si="2"/>
        <v>0</v>
      </c>
      <c r="Y25" s="30"/>
      <c r="Z25" s="26">
        <f t="shared" si="3"/>
        <v>0</v>
      </c>
      <c r="AA25" s="31"/>
      <c r="AB25" s="27"/>
    </row>
    <row r="26" spans="1:28" hidden="1">
      <c r="A26" s="23" t="s">
        <v>93</v>
      </c>
      <c r="B26" s="24" t="s">
        <v>94</v>
      </c>
      <c r="C26" s="25" t="s">
        <v>95</v>
      </c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9"/>
      <c r="W26" s="29"/>
      <c r="X26" s="26">
        <f t="shared" si="2"/>
        <v>0</v>
      </c>
      <c r="Y26" s="30"/>
      <c r="Z26" s="26">
        <f t="shared" si="3"/>
        <v>0</v>
      </c>
      <c r="AA26" s="31"/>
      <c r="AB26" s="27"/>
    </row>
    <row r="27" spans="1:28" hidden="1">
      <c r="A27" s="23" t="s">
        <v>96</v>
      </c>
      <c r="B27" s="24" t="s">
        <v>97</v>
      </c>
      <c r="C27" s="25" t="s">
        <v>98</v>
      </c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9"/>
      <c r="W27" s="29"/>
      <c r="X27" s="26">
        <f t="shared" si="2"/>
        <v>0</v>
      </c>
      <c r="Y27" s="30"/>
      <c r="Z27" s="26">
        <f t="shared" si="3"/>
        <v>0</v>
      </c>
      <c r="AA27" s="31"/>
      <c r="AB27" s="27"/>
    </row>
    <row r="28" spans="1:28">
      <c r="A28" s="23" t="s">
        <v>99</v>
      </c>
      <c r="B28" s="24" t="s">
        <v>100</v>
      </c>
      <c r="C28" s="25" t="s">
        <v>101</v>
      </c>
      <c r="D28" s="26">
        <v>1064</v>
      </c>
      <c r="E28" s="27"/>
      <c r="F28" s="27"/>
      <c r="G28" s="27"/>
      <c r="H28" s="27">
        <v>8</v>
      </c>
      <c r="I28" s="27"/>
      <c r="J28" s="27"/>
      <c r="K28" s="27"/>
      <c r="L28" s="27"/>
      <c r="M28" s="27">
        <f>8</f>
        <v>8</v>
      </c>
      <c r="N28" s="27"/>
      <c r="O28" s="27"/>
      <c r="P28" s="27"/>
      <c r="Q28" s="27"/>
      <c r="R28" s="27"/>
      <c r="S28" s="27"/>
      <c r="T28" s="27"/>
      <c r="U28" s="27"/>
      <c r="V28" s="29"/>
      <c r="W28" s="29"/>
      <c r="X28" s="26">
        <f t="shared" si="2"/>
        <v>1048</v>
      </c>
      <c r="Y28" s="30"/>
      <c r="Z28" s="26">
        <f t="shared" si="3"/>
        <v>-1048</v>
      </c>
      <c r="AA28" s="119" t="s">
        <v>102</v>
      </c>
      <c r="AB28" s="27"/>
    </row>
    <row r="29" spans="1:28" hidden="1">
      <c r="A29" s="23" t="s">
        <v>103</v>
      </c>
      <c r="B29" s="24" t="s">
        <v>104</v>
      </c>
      <c r="C29" s="25" t="s">
        <v>105</v>
      </c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9"/>
      <c r="W29" s="29"/>
      <c r="X29" s="26">
        <f t="shared" si="2"/>
        <v>0</v>
      </c>
      <c r="Y29" s="30"/>
      <c r="Z29" s="26">
        <f t="shared" si="3"/>
        <v>0</v>
      </c>
      <c r="AA29" s="31"/>
      <c r="AB29" s="27"/>
    </row>
    <row r="30" spans="1:28">
      <c r="A30" s="23" t="s">
        <v>106</v>
      </c>
      <c r="B30" s="24" t="s">
        <v>107</v>
      </c>
      <c r="C30" s="25" t="s">
        <v>108</v>
      </c>
      <c r="D30" s="26">
        <v>1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9"/>
      <c r="W30" s="29"/>
      <c r="X30" s="26">
        <f t="shared" si="2"/>
        <v>1</v>
      </c>
      <c r="Y30" s="30"/>
      <c r="Z30" s="26">
        <f t="shared" si="3"/>
        <v>-1</v>
      </c>
      <c r="AA30" s="31"/>
      <c r="AB30" s="27"/>
    </row>
    <row r="31" spans="1:28" hidden="1">
      <c r="A31" s="23" t="s">
        <v>109</v>
      </c>
      <c r="B31" s="24" t="s">
        <v>110</v>
      </c>
      <c r="C31" s="25" t="s">
        <v>111</v>
      </c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9"/>
      <c r="W31" s="29"/>
      <c r="X31" s="26">
        <f t="shared" si="2"/>
        <v>0</v>
      </c>
      <c r="Y31" s="30"/>
      <c r="Z31" s="26">
        <f t="shared" si="3"/>
        <v>0</v>
      </c>
      <c r="AA31" s="31"/>
      <c r="AB31" s="27"/>
    </row>
    <row r="32" spans="1:28">
      <c r="A32" s="23" t="s">
        <v>112</v>
      </c>
      <c r="B32" s="24" t="s">
        <v>113</v>
      </c>
      <c r="C32" s="25" t="s">
        <v>114</v>
      </c>
      <c r="D32" s="26">
        <v>349</v>
      </c>
      <c r="E32" s="27"/>
      <c r="F32" s="27"/>
      <c r="G32" s="27"/>
      <c r="H32" s="27">
        <f>25</f>
        <v>25</v>
      </c>
      <c r="I32" s="27"/>
      <c r="J32" s="27"/>
      <c r="K32" s="27"/>
      <c r="L32" s="27"/>
      <c r="M32" s="27">
        <f>20</f>
        <v>20</v>
      </c>
      <c r="N32" s="27"/>
      <c r="O32" s="27"/>
      <c r="P32" s="27"/>
      <c r="Q32" s="27"/>
      <c r="R32" s="27"/>
      <c r="S32" s="27"/>
      <c r="T32" s="27"/>
      <c r="U32" s="27"/>
      <c r="V32" s="29"/>
      <c r="W32" s="29"/>
      <c r="X32" s="26">
        <f t="shared" si="2"/>
        <v>304</v>
      </c>
      <c r="Y32" s="30"/>
      <c r="Z32" s="26">
        <f t="shared" si="3"/>
        <v>-304</v>
      </c>
      <c r="AA32" s="31"/>
      <c r="AB32" s="27"/>
    </row>
    <row r="33" spans="1:28" ht="30">
      <c r="A33" s="23" t="s">
        <v>115</v>
      </c>
      <c r="B33" s="24" t="s">
        <v>116</v>
      </c>
      <c r="C33" s="25" t="s">
        <v>117</v>
      </c>
      <c r="D33" s="26">
        <v>278</v>
      </c>
      <c r="E33" s="27"/>
      <c r="F33" s="27"/>
      <c r="G33" s="27"/>
      <c r="H33" s="27">
        <f>30</f>
        <v>30</v>
      </c>
      <c r="I33" s="27"/>
      <c r="J33" s="27"/>
      <c r="K33" s="27"/>
      <c r="L33" s="27"/>
      <c r="M33" s="27">
        <f>30</f>
        <v>30</v>
      </c>
      <c r="N33" s="27"/>
      <c r="O33" s="27">
        <f>35</f>
        <v>35</v>
      </c>
      <c r="P33" s="27"/>
      <c r="Q33" s="27"/>
      <c r="R33" s="27"/>
      <c r="S33" s="27"/>
      <c r="T33" s="27"/>
      <c r="U33" s="27"/>
      <c r="V33" s="29"/>
      <c r="W33" s="29"/>
      <c r="X33" s="26">
        <f t="shared" si="2"/>
        <v>183</v>
      </c>
      <c r="Y33" s="30"/>
      <c r="Z33" s="26">
        <f t="shared" si="3"/>
        <v>-183</v>
      </c>
      <c r="AA33" s="31"/>
      <c r="AB33" s="27"/>
    </row>
    <row r="34" spans="1:28" hidden="1">
      <c r="A34" s="39" t="s">
        <v>118</v>
      </c>
      <c r="B34" s="24" t="s">
        <v>119</v>
      </c>
      <c r="C34" s="25" t="s">
        <v>120</v>
      </c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9"/>
      <c r="W34" s="29"/>
      <c r="X34" s="26">
        <f t="shared" si="2"/>
        <v>0</v>
      </c>
      <c r="Y34" s="30"/>
      <c r="Z34" s="26">
        <f t="shared" si="3"/>
        <v>0</v>
      </c>
      <c r="AA34" s="31"/>
      <c r="AB34" s="27"/>
    </row>
    <row r="35" spans="1:28" hidden="1">
      <c r="A35" s="39" t="s">
        <v>121</v>
      </c>
      <c r="B35" s="24" t="s">
        <v>122</v>
      </c>
      <c r="C35" s="25" t="s">
        <v>123</v>
      </c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9"/>
      <c r="W35" s="29"/>
      <c r="X35" s="26">
        <f t="shared" si="2"/>
        <v>0</v>
      </c>
      <c r="Y35" s="30"/>
      <c r="Z35" s="26">
        <f t="shared" si="3"/>
        <v>0</v>
      </c>
      <c r="AA35" s="119" t="s">
        <v>124</v>
      </c>
      <c r="AB35" s="27"/>
    </row>
    <row r="36" spans="1:28" hidden="1">
      <c r="A36" s="39" t="s">
        <v>125</v>
      </c>
      <c r="B36" s="24" t="s">
        <v>126</v>
      </c>
      <c r="C36" s="25" t="s">
        <v>127</v>
      </c>
      <c r="D36" s="26"/>
      <c r="E36" s="27"/>
      <c r="F36" s="27"/>
      <c r="G36" s="27"/>
      <c r="H36" s="45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9"/>
      <c r="W36" s="29"/>
      <c r="X36" s="26">
        <f t="shared" si="2"/>
        <v>0</v>
      </c>
      <c r="Y36" s="30"/>
      <c r="Z36" s="26">
        <f t="shared" si="3"/>
        <v>0</v>
      </c>
      <c r="AA36" s="31"/>
      <c r="AB36" s="27"/>
    </row>
    <row r="37" spans="1:28" hidden="1">
      <c r="A37" s="39" t="s">
        <v>128</v>
      </c>
      <c r="B37" s="24" t="s">
        <v>129</v>
      </c>
      <c r="C37" s="25" t="s">
        <v>130</v>
      </c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9"/>
      <c r="W37" s="29"/>
      <c r="X37" s="26">
        <f t="shared" si="2"/>
        <v>0</v>
      </c>
      <c r="Y37" s="30"/>
      <c r="Z37" s="26">
        <f t="shared" si="3"/>
        <v>0</v>
      </c>
      <c r="AA37" s="31"/>
      <c r="AB37" s="27"/>
    </row>
    <row r="38" spans="1:28" hidden="1">
      <c r="A38" s="39" t="s">
        <v>131</v>
      </c>
      <c r="B38" s="24" t="s">
        <v>132</v>
      </c>
      <c r="C38" s="25" t="s">
        <v>133</v>
      </c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9"/>
      <c r="W38" s="29"/>
      <c r="X38" s="26">
        <f t="shared" si="2"/>
        <v>0</v>
      </c>
      <c r="Y38" s="30"/>
      <c r="Z38" s="26">
        <f t="shared" si="3"/>
        <v>0</v>
      </c>
      <c r="AA38" s="31"/>
      <c r="AB38" s="27"/>
    </row>
    <row r="39" spans="1:28" hidden="1">
      <c r="A39" s="39" t="s">
        <v>134</v>
      </c>
      <c r="B39" s="24" t="s">
        <v>135</v>
      </c>
      <c r="C39" s="25" t="s">
        <v>136</v>
      </c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9"/>
      <c r="W39" s="29"/>
      <c r="X39" s="26">
        <f t="shared" si="2"/>
        <v>0</v>
      </c>
      <c r="Y39" s="30"/>
      <c r="Z39" s="26">
        <f t="shared" si="3"/>
        <v>0</v>
      </c>
      <c r="AA39" s="31"/>
      <c r="AB39" s="27"/>
    </row>
    <row r="40" spans="1:28" hidden="1">
      <c r="A40" s="23" t="s">
        <v>137</v>
      </c>
      <c r="B40" s="24" t="s">
        <v>138</v>
      </c>
      <c r="C40" s="25" t="s">
        <v>139</v>
      </c>
      <c r="D40" s="26"/>
      <c r="E40" s="27"/>
      <c r="F40" s="27"/>
      <c r="G40" s="27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6">
        <f t="shared" si="2"/>
        <v>0</v>
      </c>
      <c r="Y40" s="30"/>
      <c r="Z40" s="26">
        <f t="shared" si="3"/>
        <v>0</v>
      </c>
      <c r="AA40" s="31"/>
      <c r="AB40" s="27"/>
    </row>
    <row r="41" spans="1:28" hidden="1">
      <c r="A41" s="23" t="s">
        <v>140</v>
      </c>
      <c r="B41" s="24" t="s">
        <v>141</v>
      </c>
      <c r="C41" s="25" t="s">
        <v>142</v>
      </c>
      <c r="D41" s="26"/>
      <c r="E41" s="27"/>
      <c r="F41" s="27"/>
      <c r="G41" s="27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6">
        <f t="shared" si="2"/>
        <v>0</v>
      </c>
      <c r="Y41" s="30"/>
      <c r="Z41" s="26">
        <f t="shared" si="3"/>
        <v>0</v>
      </c>
      <c r="AA41" s="31"/>
      <c r="AB41" s="27"/>
    </row>
    <row r="42" spans="1:28" hidden="1">
      <c r="A42" s="23" t="s">
        <v>143</v>
      </c>
      <c r="B42" s="24" t="s">
        <v>144</v>
      </c>
      <c r="C42" s="25" t="s">
        <v>145</v>
      </c>
      <c r="D42" s="26"/>
      <c r="E42" s="27"/>
      <c r="F42" s="27"/>
      <c r="G42" s="27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6">
        <f t="shared" si="2"/>
        <v>0</v>
      </c>
      <c r="Y42" s="30"/>
      <c r="Z42" s="26">
        <f t="shared" si="3"/>
        <v>0</v>
      </c>
      <c r="AA42" s="31"/>
      <c r="AB42" s="27"/>
    </row>
    <row r="43" spans="1:28" hidden="1">
      <c r="A43" s="23" t="s">
        <v>146</v>
      </c>
      <c r="B43" s="24" t="s">
        <v>147</v>
      </c>
      <c r="C43" s="39" t="s">
        <v>130</v>
      </c>
      <c r="D43" s="26"/>
      <c r="E43" s="27"/>
      <c r="F43" s="38"/>
      <c r="G43" s="38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6">
        <f t="shared" si="2"/>
        <v>0</v>
      </c>
      <c r="Y43" s="30"/>
      <c r="Z43" s="26">
        <f t="shared" si="3"/>
        <v>0</v>
      </c>
      <c r="AA43" s="119" t="s">
        <v>148</v>
      </c>
      <c r="AB43" s="27"/>
    </row>
    <row r="44" spans="1:28" hidden="1">
      <c r="A44" s="46" t="s">
        <v>149</v>
      </c>
      <c r="B44" s="47" t="s">
        <v>150</v>
      </c>
      <c r="C44" s="48" t="s">
        <v>151</v>
      </c>
      <c r="D44" s="26"/>
      <c r="E44" s="49"/>
      <c r="F44" s="50"/>
      <c r="G44" s="50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26">
        <f t="shared" si="2"/>
        <v>0</v>
      </c>
      <c r="Y44" s="52"/>
      <c r="Z44" s="50">
        <f t="shared" si="3"/>
        <v>0</v>
      </c>
      <c r="AA44" s="49"/>
      <c r="AB44" s="53"/>
    </row>
    <row r="45" spans="1:28" hidden="1">
      <c r="A45" s="46" t="s">
        <v>152</v>
      </c>
      <c r="B45" s="47" t="s">
        <v>153</v>
      </c>
      <c r="C45" s="48" t="s">
        <v>154</v>
      </c>
      <c r="D45" s="26"/>
      <c r="E45" s="54"/>
      <c r="F45" s="55"/>
      <c r="G45" s="55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26">
        <f t="shared" si="2"/>
        <v>0</v>
      </c>
      <c r="Y45" s="52"/>
      <c r="Z45" s="50">
        <f t="shared" si="3"/>
        <v>0</v>
      </c>
      <c r="AA45" s="49"/>
      <c r="AB45" s="53"/>
    </row>
    <row r="46" spans="1:28">
      <c r="B46" s="56" t="s">
        <v>155</v>
      </c>
      <c r="C46" s="57"/>
      <c r="D46" s="58">
        <v>27440</v>
      </c>
      <c r="E46" s="59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>
        <f t="shared" ref="X46:AA46" si="4">X2+X3+X4+X5+X12+X44+X45</f>
        <v>19783</v>
      </c>
      <c r="Y46" s="58"/>
      <c r="Z46" s="58">
        <f t="shared" si="4"/>
        <v>-19783</v>
      </c>
      <c r="AA46" s="58">
        <f t="shared" si="4"/>
        <v>0</v>
      </c>
      <c r="AB46" s="58"/>
    </row>
    <row r="47" spans="1:28">
      <c r="D47" s="60"/>
      <c r="X47" s="60"/>
      <c r="Y47" s="61"/>
      <c r="Z47" s="61"/>
    </row>
    <row r="48" spans="1:28" s="2" customFormat="1">
      <c r="D48" s="62"/>
      <c r="E48" s="63"/>
      <c r="W48" s="64"/>
      <c r="X48" s="62"/>
      <c r="Y48" s="65"/>
      <c r="Z48" s="65"/>
      <c r="AA48" s="64"/>
    </row>
    <row r="49" spans="1:28" s="2" customFormat="1">
      <c r="D49" s="62"/>
      <c r="E49" s="63"/>
      <c r="W49" s="64"/>
      <c r="X49" s="62"/>
      <c r="Y49" s="65"/>
      <c r="Z49" s="65"/>
      <c r="AA49" s="64"/>
    </row>
    <row r="50" spans="1:28" s="2" customFormat="1" ht="21.75" customHeight="1">
      <c r="D50" s="62"/>
      <c r="E50" s="63"/>
      <c r="W50" s="64"/>
      <c r="X50" s="62"/>
      <c r="Y50" s="65"/>
      <c r="Z50" s="65"/>
      <c r="AA50" s="64"/>
    </row>
    <row r="51" spans="1:28" s="3" customFormat="1" ht="21" customHeight="1">
      <c r="B51" s="66" t="s">
        <v>156</v>
      </c>
      <c r="E51" s="67"/>
      <c r="W51" s="68"/>
      <c r="Y51" s="68"/>
      <c r="Z51" s="68"/>
      <c r="AA51" s="68"/>
    </row>
    <row r="52" spans="1:28">
      <c r="A52" s="23"/>
      <c r="B52" s="24" t="s">
        <v>157</v>
      </c>
      <c r="C52" s="25" t="s">
        <v>29</v>
      </c>
      <c r="D52" s="30">
        <v>1608</v>
      </c>
      <c r="E52" s="27"/>
      <c r="F52" s="27"/>
      <c r="G52" s="27"/>
      <c r="H52" s="69">
        <f>78+6+211</f>
        <v>295</v>
      </c>
      <c r="I52" s="29"/>
      <c r="J52" s="29">
        <f>10+10</f>
        <v>20</v>
      </c>
      <c r="K52" s="29">
        <f>6</f>
        <v>6</v>
      </c>
      <c r="L52" s="70">
        <f>1+25+30</f>
        <v>56</v>
      </c>
      <c r="M52" s="70">
        <f>226+50+6+24</f>
        <v>306</v>
      </c>
      <c r="N52" s="70"/>
      <c r="O52" s="29">
        <f>5+18</f>
        <v>23</v>
      </c>
      <c r="P52" s="29"/>
      <c r="Q52" s="29"/>
      <c r="R52" s="29">
        <v>6</v>
      </c>
      <c r="S52" s="29"/>
      <c r="T52" s="29">
        <v>3</v>
      </c>
      <c r="U52" s="29"/>
      <c r="V52" s="29"/>
      <c r="W52" s="29"/>
      <c r="X52" s="26">
        <f t="shared" ref="X52:X93" si="5">D52+E52+F52+G52-Q52-P52-N52-M52-L52-J52-O52-H52-I52-K52-R52-S52-T52-U52-V52+W52</f>
        <v>893</v>
      </c>
      <c r="Y52" s="30">
        <v>907</v>
      </c>
      <c r="Z52" s="26">
        <f t="shared" ref="Z52:Z68" si="6">Y52-X52</f>
        <v>14</v>
      </c>
      <c r="AA52" s="31"/>
      <c r="AB52" s="27"/>
    </row>
    <row r="53" spans="1:28">
      <c r="A53" s="23"/>
      <c r="B53" s="24" t="s">
        <v>158</v>
      </c>
      <c r="C53" s="25"/>
      <c r="D53" s="71">
        <v>522</v>
      </c>
      <c r="E53" s="27"/>
      <c r="F53" s="27"/>
      <c r="G53" s="27"/>
      <c r="H53" s="29">
        <f>116+7+29</f>
        <v>152</v>
      </c>
      <c r="I53" s="29"/>
      <c r="J53" s="29">
        <f>3+12+2</f>
        <v>17</v>
      </c>
      <c r="K53" s="29"/>
      <c r="L53" s="70">
        <f>21+2+5</f>
        <v>28</v>
      </c>
      <c r="M53" s="70">
        <f>58+32</f>
        <v>90</v>
      </c>
      <c r="N53" s="70"/>
      <c r="O53" s="29">
        <f>6+1</f>
        <v>7</v>
      </c>
      <c r="P53" s="29"/>
      <c r="Q53" s="29"/>
      <c r="R53" s="29"/>
      <c r="S53" s="29"/>
      <c r="T53" s="29"/>
      <c r="U53" s="29"/>
      <c r="V53" s="29"/>
      <c r="W53" s="29"/>
      <c r="X53" s="26">
        <f t="shared" si="5"/>
        <v>228</v>
      </c>
      <c r="Y53" s="71">
        <v>197</v>
      </c>
      <c r="Z53" s="26">
        <f t="shared" si="6"/>
        <v>-31</v>
      </c>
      <c r="AA53" s="31"/>
      <c r="AB53" s="27"/>
    </row>
    <row r="54" spans="1:28">
      <c r="A54" s="23"/>
      <c r="B54" s="24" t="s">
        <v>159</v>
      </c>
      <c r="C54" s="25"/>
      <c r="D54" s="30">
        <v>1443</v>
      </c>
      <c r="E54" s="27"/>
      <c r="F54" s="27"/>
      <c r="G54" s="27"/>
      <c r="H54" s="29">
        <v>85</v>
      </c>
      <c r="I54" s="29"/>
      <c r="J54" s="29"/>
      <c r="K54" s="29"/>
      <c r="L54" s="70">
        <v>5</v>
      </c>
      <c r="M54" s="70">
        <v>30</v>
      </c>
      <c r="N54" s="70"/>
      <c r="O54" s="29"/>
      <c r="P54" s="29"/>
      <c r="Q54" s="29"/>
      <c r="R54" s="29"/>
      <c r="S54" s="29">
        <v>50</v>
      </c>
      <c r="T54" s="29"/>
      <c r="U54" s="29"/>
      <c r="V54" s="29"/>
      <c r="W54" s="29"/>
      <c r="X54" s="26">
        <f t="shared" si="5"/>
        <v>1273</v>
      </c>
      <c r="Y54" s="30">
        <v>1266</v>
      </c>
      <c r="Z54" s="26">
        <f t="shared" si="6"/>
        <v>-7</v>
      </c>
      <c r="AA54" s="31"/>
      <c r="AB54" s="27"/>
    </row>
    <row r="55" spans="1:28">
      <c r="A55" s="23"/>
      <c r="B55" s="24" t="s">
        <v>160</v>
      </c>
      <c r="C55" s="25" t="s">
        <v>32</v>
      </c>
      <c r="D55" s="30">
        <v>1184</v>
      </c>
      <c r="E55" s="27"/>
      <c r="F55" s="27"/>
      <c r="G55" s="27"/>
      <c r="H55" s="29">
        <f>12</f>
        <v>12</v>
      </c>
      <c r="I55" s="29"/>
      <c r="J55" s="29"/>
      <c r="K55" s="29"/>
      <c r="L55" s="70">
        <v>6</v>
      </c>
      <c r="M55" s="70">
        <f>5+165+78</f>
        <v>248</v>
      </c>
      <c r="N55" s="70"/>
      <c r="O55" s="29">
        <v>6</v>
      </c>
      <c r="P55" s="29"/>
      <c r="Q55" s="29"/>
      <c r="R55" s="29"/>
      <c r="S55" s="29"/>
      <c r="T55" s="29">
        <v>3</v>
      </c>
      <c r="U55" s="29">
        <v>1</v>
      </c>
      <c r="V55" s="29"/>
      <c r="W55" s="29"/>
      <c r="X55" s="26">
        <f t="shared" si="5"/>
        <v>908</v>
      </c>
      <c r="Y55" s="30">
        <v>919</v>
      </c>
      <c r="Z55" s="26">
        <f t="shared" si="6"/>
        <v>11</v>
      </c>
      <c r="AA55" s="31"/>
      <c r="AB55" s="27"/>
    </row>
    <row r="56" spans="1:28" s="4" customFormat="1">
      <c r="A56" s="72"/>
      <c r="B56" s="33" t="s">
        <v>161</v>
      </c>
      <c r="C56" s="34" t="s">
        <v>35</v>
      </c>
      <c r="D56" s="73">
        <v>599</v>
      </c>
      <c r="E56" s="37"/>
      <c r="F56" s="37"/>
      <c r="G56" s="37"/>
      <c r="H56" s="36">
        <v>5</v>
      </c>
      <c r="I56" s="36"/>
      <c r="J56" s="36"/>
      <c r="K56" s="36"/>
      <c r="L56" s="74">
        <v>2</v>
      </c>
      <c r="M56" s="74"/>
      <c r="N56" s="74"/>
      <c r="O56" s="36"/>
      <c r="P56" s="36"/>
      <c r="Q56" s="36"/>
      <c r="R56" s="36"/>
      <c r="S56" s="36"/>
      <c r="T56" s="36"/>
      <c r="U56" s="36"/>
      <c r="V56" s="36"/>
      <c r="W56" s="36"/>
      <c r="X56" s="26">
        <f t="shared" si="5"/>
        <v>592</v>
      </c>
      <c r="Y56" s="73">
        <v>592</v>
      </c>
      <c r="Z56" s="26">
        <f t="shared" si="6"/>
        <v>0</v>
      </c>
      <c r="AA56" s="75"/>
      <c r="AB56" s="37"/>
    </row>
    <row r="57" spans="1:28" s="4" customFormat="1">
      <c r="A57" s="76"/>
      <c r="B57" s="33" t="s">
        <v>162</v>
      </c>
      <c r="C57" s="34"/>
      <c r="D57" s="77">
        <v>1473</v>
      </c>
      <c r="E57" s="37"/>
      <c r="F57" s="35"/>
      <c r="G57" s="35"/>
      <c r="H57" s="35"/>
      <c r="I57" s="35"/>
      <c r="J57" s="35"/>
      <c r="K57" s="35"/>
      <c r="L57" s="78"/>
      <c r="M57" s="78">
        <f>3+55</f>
        <v>58</v>
      </c>
      <c r="N57" s="78"/>
      <c r="O57" s="35"/>
      <c r="P57" s="35"/>
      <c r="Q57" s="35"/>
      <c r="R57" s="35"/>
      <c r="S57" s="35"/>
      <c r="T57" s="36"/>
      <c r="U57" s="35"/>
      <c r="V57" s="35"/>
      <c r="W57" s="36"/>
      <c r="X57" s="26">
        <f t="shared" si="5"/>
        <v>1415</v>
      </c>
      <c r="Y57" s="77">
        <v>1418</v>
      </c>
      <c r="Z57" s="26">
        <f t="shared" si="6"/>
        <v>3</v>
      </c>
      <c r="AA57" s="36"/>
      <c r="AB57" s="37"/>
    </row>
    <row r="58" spans="1:28">
      <c r="A58" s="32"/>
      <c r="B58" s="24" t="s">
        <v>163</v>
      </c>
      <c r="C58" s="25"/>
      <c r="D58" s="26">
        <v>611</v>
      </c>
      <c r="E58" s="27">
        <v>1000</v>
      </c>
      <c r="F58" s="79"/>
      <c r="G58" s="79"/>
      <c r="H58" s="29">
        <f>60+42+15+63+25+50</f>
        <v>255</v>
      </c>
      <c r="I58" s="29"/>
      <c r="J58" s="29">
        <f>3</f>
        <v>3</v>
      </c>
      <c r="K58" s="29"/>
      <c r="L58" s="70">
        <f>20+4+29+12</f>
        <v>65</v>
      </c>
      <c r="M58" s="70">
        <f>167+75+55+78</f>
        <v>375</v>
      </c>
      <c r="N58" s="70"/>
      <c r="O58" s="29">
        <f>5</f>
        <v>5</v>
      </c>
      <c r="P58" s="29"/>
      <c r="Q58" s="29"/>
      <c r="R58" s="29"/>
      <c r="S58" s="29"/>
      <c r="T58" s="29">
        <v>3</v>
      </c>
      <c r="U58" s="29"/>
      <c r="V58" s="79"/>
      <c r="W58" s="29"/>
      <c r="X58" s="26">
        <f t="shared" si="5"/>
        <v>905</v>
      </c>
      <c r="Y58" s="26"/>
      <c r="Z58" s="38">
        <f t="shared" si="6"/>
        <v>-905</v>
      </c>
      <c r="AA58" s="29"/>
      <c r="AB58" s="27"/>
    </row>
    <row r="59" spans="1:28">
      <c r="A59" s="23"/>
      <c r="B59" s="24" t="s">
        <v>164</v>
      </c>
      <c r="C59" s="25"/>
      <c r="D59" s="71">
        <v>656</v>
      </c>
      <c r="E59" s="27"/>
      <c r="F59" s="27"/>
      <c r="G59" s="27"/>
      <c r="H59" s="29">
        <f>6+14+5</f>
        <v>25</v>
      </c>
      <c r="I59" s="29"/>
      <c r="J59" s="29"/>
      <c r="K59" s="29"/>
      <c r="L59" s="70">
        <f>2</f>
        <v>2</v>
      </c>
      <c r="M59" s="70">
        <f>30+19</f>
        <v>49</v>
      </c>
      <c r="N59" s="70"/>
      <c r="O59" s="29">
        <f>2</f>
        <v>2</v>
      </c>
      <c r="P59" s="29"/>
      <c r="Q59" s="29"/>
      <c r="R59" s="29"/>
      <c r="S59" s="29"/>
      <c r="T59" s="29"/>
      <c r="U59" s="29"/>
      <c r="V59" s="29"/>
      <c r="W59" s="29"/>
      <c r="X59" s="26">
        <f t="shared" si="5"/>
        <v>578</v>
      </c>
      <c r="Y59" s="71"/>
      <c r="Z59" s="38">
        <f t="shared" si="6"/>
        <v>-578</v>
      </c>
      <c r="AA59" s="31"/>
      <c r="AB59" s="27"/>
    </row>
    <row r="60" spans="1:28">
      <c r="A60" s="23"/>
      <c r="B60" s="24" t="s">
        <v>165</v>
      </c>
      <c r="C60" s="25" t="s">
        <v>40</v>
      </c>
      <c r="D60" s="30">
        <v>69</v>
      </c>
      <c r="E60" s="27"/>
      <c r="F60" s="27"/>
      <c r="G60" s="27"/>
      <c r="H60" s="29">
        <f>1+15</f>
        <v>16</v>
      </c>
      <c r="I60" s="29"/>
      <c r="J60" s="29"/>
      <c r="K60" s="29"/>
      <c r="L60" s="70">
        <f>2+1</f>
        <v>3</v>
      </c>
      <c r="M60" s="70">
        <f>4</f>
        <v>4</v>
      </c>
      <c r="N60" s="70"/>
      <c r="O60" s="29">
        <v>1</v>
      </c>
      <c r="P60" s="29"/>
      <c r="Q60" s="29"/>
      <c r="R60" s="29"/>
      <c r="S60" s="29"/>
      <c r="T60" s="29">
        <v>1</v>
      </c>
      <c r="U60" s="29"/>
      <c r="V60" s="29"/>
      <c r="W60" s="27"/>
      <c r="X60" s="26">
        <f t="shared" si="5"/>
        <v>44</v>
      </c>
      <c r="Y60" s="30"/>
      <c r="Z60" s="38">
        <f t="shared" si="6"/>
        <v>-44</v>
      </c>
      <c r="AA60" s="31"/>
      <c r="AB60" s="27"/>
    </row>
    <row r="61" spans="1:28">
      <c r="A61" s="23"/>
      <c r="B61" s="24" t="s">
        <v>166</v>
      </c>
      <c r="C61" s="25" t="s">
        <v>167</v>
      </c>
      <c r="D61" s="30">
        <v>2</v>
      </c>
      <c r="E61" s="27"/>
      <c r="F61" s="27"/>
      <c r="G61" s="27"/>
      <c r="H61" s="29"/>
      <c r="I61" s="29"/>
      <c r="J61" s="29"/>
      <c r="K61" s="29"/>
      <c r="L61" s="70"/>
      <c r="M61" s="70"/>
      <c r="N61" s="70"/>
      <c r="O61" s="29"/>
      <c r="P61" s="29"/>
      <c r="Q61" s="29"/>
      <c r="R61" s="29"/>
      <c r="S61" s="29"/>
      <c r="T61" s="29"/>
      <c r="U61" s="29"/>
      <c r="V61" s="29"/>
      <c r="W61" s="29"/>
      <c r="X61" s="26">
        <f t="shared" si="5"/>
        <v>2</v>
      </c>
      <c r="Y61" s="30"/>
      <c r="Z61" s="26">
        <f t="shared" si="6"/>
        <v>-2</v>
      </c>
      <c r="AA61" s="31"/>
      <c r="AB61" s="27"/>
    </row>
    <row r="62" spans="1:28">
      <c r="A62" s="23"/>
      <c r="B62" s="24" t="s">
        <v>168</v>
      </c>
      <c r="C62" s="25" t="s">
        <v>169</v>
      </c>
      <c r="D62" s="30">
        <v>62</v>
      </c>
      <c r="E62" s="27"/>
      <c r="F62" s="27"/>
      <c r="G62" s="27"/>
      <c r="H62" s="29">
        <f>8+5</f>
        <v>13</v>
      </c>
      <c r="I62" s="29"/>
      <c r="J62" s="29"/>
      <c r="K62" s="29"/>
      <c r="L62" s="70">
        <f>1</f>
        <v>1</v>
      </c>
      <c r="M62" s="70">
        <f>10+2</f>
        <v>12</v>
      </c>
      <c r="N62" s="70"/>
      <c r="O62" s="29"/>
      <c r="P62" s="29"/>
      <c r="Q62" s="29"/>
      <c r="R62" s="29"/>
      <c r="S62" s="29"/>
      <c r="T62" s="29"/>
      <c r="U62" s="29"/>
      <c r="V62" s="29"/>
      <c r="W62" s="29"/>
      <c r="X62" s="26">
        <f t="shared" si="5"/>
        <v>36</v>
      </c>
      <c r="Y62" s="30"/>
      <c r="Z62" s="26">
        <f t="shared" si="6"/>
        <v>-36</v>
      </c>
      <c r="AA62" s="31"/>
      <c r="AB62" s="27"/>
    </row>
    <row r="63" spans="1:28">
      <c r="A63" s="23"/>
      <c r="B63" s="80" t="s">
        <v>170</v>
      </c>
      <c r="C63" s="25" t="s">
        <v>38</v>
      </c>
      <c r="D63" s="30">
        <v>43</v>
      </c>
      <c r="E63" s="27">
        <f>200+100</f>
        <v>300</v>
      </c>
      <c r="F63" s="27"/>
      <c r="G63" s="27"/>
      <c r="H63" s="29">
        <f>26+25+8</f>
        <v>59</v>
      </c>
      <c r="I63" s="29"/>
      <c r="J63" s="29"/>
      <c r="K63" s="29"/>
      <c r="L63" s="70">
        <f>53+4</f>
        <v>57</v>
      </c>
      <c r="M63" s="70">
        <f>25+41</f>
        <v>66</v>
      </c>
      <c r="N63" s="70"/>
      <c r="O63" s="69">
        <v>1</v>
      </c>
      <c r="P63" s="29"/>
      <c r="Q63" s="29"/>
      <c r="R63" s="29"/>
      <c r="S63" s="29">
        <f>50+1</f>
        <v>51</v>
      </c>
      <c r="T63" s="29">
        <v>1</v>
      </c>
      <c r="U63" s="29"/>
      <c r="V63" s="29"/>
      <c r="W63" s="27"/>
      <c r="X63" s="26">
        <f t="shared" si="5"/>
        <v>108</v>
      </c>
      <c r="Y63" s="30"/>
      <c r="Z63" s="38">
        <f t="shared" si="6"/>
        <v>-108</v>
      </c>
      <c r="AA63" s="31"/>
      <c r="AB63" s="27"/>
    </row>
    <row r="64" spans="1:28">
      <c r="A64" s="23"/>
      <c r="B64" s="24" t="s">
        <v>171</v>
      </c>
      <c r="C64" s="25" t="s">
        <v>172</v>
      </c>
      <c r="D64" s="71">
        <v>37</v>
      </c>
      <c r="E64" s="27">
        <f>24</f>
        <v>24</v>
      </c>
      <c r="F64" s="27"/>
      <c r="G64" s="27"/>
      <c r="H64" s="29">
        <f>2+8</f>
        <v>10</v>
      </c>
      <c r="I64" s="29"/>
      <c r="J64" s="29"/>
      <c r="K64" s="29"/>
      <c r="L64" s="70">
        <f>6</f>
        <v>6</v>
      </c>
      <c r="M64" s="81">
        <f>7+10</f>
        <v>17</v>
      </c>
      <c r="N64" s="70"/>
      <c r="O64" s="29"/>
      <c r="P64" s="29"/>
      <c r="Q64" s="29"/>
      <c r="R64" s="29"/>
      <c r="S64" s="29"/>
      <c r="T64" s="29">
        <v>1</v>
      </c>
      <c r="U64" s="29"/>
      <c r="V64" s="29"/>
      <c r="W64" s="79"/>
      <c r="X64" s="26">
        <f t="shared" si="5"/>
        <v>27</v>
      </c>
      <c r="Y64" s="71"/>
      <c r="Z64" s="38">
        <f t="shared" si="6"/>
        <v>-27</v>
      </c>
      <c r="AA64" s="31"/>
      <c r="AB64" s="27"/>
    </row>
    <row r="65" spans="1:28">
      <c r="A65" s="23"/>
      <c r="B65" s="24" t="s">
        <v>173</v>
      </c>
      <c r="C65" s="25" t="s">
        <v>174</v>
      </c>
      <c r="D65" s="71">
        <v>2819</v>
      </c>
      <c r="E65" s="27"/>
      <c r="F65" s="27"/>
      <c r="G65" s="27"/>
      <c r="H65" s="29">
        <f>9+8+1+26+2+18+12+258+2+4+325</f>
        <v>665</v>
      </c>
      <c r="I65" s="29"/>
      <c r="J65" s="29">
        <f>2</f>
        <v>2</v>
      </c>
      <c r="K65" s="70">
        <f>2</f>
        <v>2</v>
      </c>
      <c r="L65" s="70">
        <f>2+2+7+2+669+2+4+125</f>
        <v>813</v>
      </c>
      <c r="M65" s="70">
        <f>10+7+129+6+2+22+10+18+20+75</f>
        <v>299</v>
      </c>
      <c r="N65" s="70"/>
      <c r="O65" s="29">
        <f>1+59</f>
        <v>60</v>
      </c>
      <c r="P65" s="29"/>
      <c r="Q65" s="29"/>
      <c r="R65" s="29"/>
      <c r="S65" s="29"/>
      <c r="T65" s="29">
        <v>3</v>
      </c>
      <c r="U65" s="29">
        <f>1+1</f>
        <v>2</v>
      </c>
      <c r="V65" s="29"/>
      <c r="W65" s="29"/>
      <c r="X65" s="26">
        <f t="shared" si="5"/>
        <v>973</v>
      </c>
      <c r="Y65" s="71"/>
      <c r="Z65" s="38">
        <f t="shared" si="6"/>
        <v>-973</v>
      </c>
      <c r="AA65" s="31"/>
      <c r="AB65" s="27"/>
    </row>
    <row r="66" spans="1:28">
      <c r="A66" s="23"/>
      <c r="B66" s="82" t="s">
        <v>175</v>
      </c>
      <c r="C66" s="25"/>
      <c r="D66" s="71">
        <v>23186</v>
      </c>
      <c r="E66" s="27"/>
      <c r="F66" s="27"/>
      <c r="G66" s="27"/>
      <c r="H66" s="29">
        <f>18+25</f>
        <v>43</v>
      </c>
      <c r="I66" s="29"/>
      <c r="J66" s="29"/>
      <c r="K66" s="29"/>
      <c r="L66" s="70">
        <f>6</f>
        <v>6</v>
      </c>
      <c r="M66" s="70">
        <f>12+50</f>
        <v>62</v>
      </c>
      <c r="N66" s="70"/>
      <c r="O66" s="29"/>
      <c r="P66" s="29"/>
      <c r="Q66" s="29"/>
      <c r="R66" s="29"/>
      <c r="S66" s="29"/>
      <c r="T66" s="29"/>
      <c r="U66" s="29"/>
      <c r="V66" s="29"/>
      <c r="W66" s="29"/>
      <c r="X66" s="26">
        <f t="shared" si="5"/>
        <v>23075</v>
      </c>
      <c r="Y66" s="71"/>
      <c r="Z66" s="38">
        <f t="shared" si="6"/>
        <v>-23075</v>
      </c>
      <c r="AA66" s="31"/>
      <c r="AB66" s="27"/>
    </row>
    <row r="67" spans="1:28">
      <c r="A67" s="23"/>
      <c r="B67" s="24" t="s">
        <v>176</v>
      </c>
      <c r="C67" s="25"/>
      <c r="D67" s="71">
        <v>415</v>
      </c>
      <c r="E67" s="27"/>
      <c r="F67" s="27"/>
      <c r="G67" s="27"/>
      <c r="H67" s="29">
        <f>12+6+10</f>
        <v>28</v>
      </c>
      <c r="I67" s="29"/>
      <c r="J67" s="29"/>
      <c r="K67" s="29"/>
      <c r="L67" s="70">
        <f>2+3+2</f>
        <v>7</v>
      </c>
      <c r="M67" s="70">
        <f>1+20</f>
        <v>21</v>
      </c>
      <c r="N67" s="70"/>
      <c r="O67" s="29"/>
      <c r="P67" s="29"/>
      <c r="Q67" s="29"/>
      <c r="R67" s="29"/>
      <c r="S67" s="29">
        <v>11</v>
      </c>
      <c r="T67" s="29">
        <v>1</v>
      </c>
      <c r="U67" s="29"/>
      <c r="V67" s="29"/>
      <c r="W67" s="29"/>
      <c r="X67" s="26">
        <f t="shared" si="5"/>
        <v>347</v>
      </c>
      <c r="Y67" s="71"/>
      <c r="Z67" s="38">
        <f t="shared" si="6"/>
        <v>-347</v>
      </c>
      <c r="AA67" s="31"/>
      <c r="AB67" s="27"/>
    </row>
    <row r="68" spans="1:28">
      <c r="A68" s="23"/>
      <c r="B68" s="24" t="s">
        <v>177</v>
      </c>
      <c r="C68" s="25"/>
      <c r="D68" s="71">
        <v>88</v>
      </c>
      <c r="E68" s="27">
        <f>100</f>
        <v>100</v>
      </c>
      <c r="F68" s="27"/>
      <c r="G68" s="27"/>
      <c r="H68" s="29">
        <f>43</f>
        <v>43</v>
      </c>
      <c r="I68" s="29"/>
      <c r="J68" s="29"/>
      <c r="K68" s="29"/>
      <c r="L68" s="70">
        <f>84</f>
        <v>84</v>
      </c>
      <c r="M68" s="70"/>
      <c r="N68" s="70"/>
      <c r="O68" s="29"/>
      <c r="P68" s="29"/>
      <c r="Q68" s="29"/>
      <c r="R68" s="29"/>
      <c r="S68" s="29"/>
      <c r="T68" s="29"/>
      <c r="U68" s="29"/>
      <c r="V68" s="29"/>
      <c r="W68" s="29"/>
      <c r="X68" s="26">
        <f t="shared" si="5"/>
        <v>61</v>
      </c>
      <c r="Y68" s="71"/>
      <c r="Z68" s="38">
        <f t="shared" si="6"/>
        <v>-61</v>
      </c>
      <c r="AA68" s="31"/>
      <c r="AB68" s="27"/>
    </row>
    <row r="69" spans="1:28" s="5" customFormat="1" ht="18.75" customHeight="1">
      <c r="A69" s="83"/>
      <c r="B69" s="84" t="s">
        <v>178</v>
      </c>
      <c r="C69" s="85"/>
      <c r="D69" s="86"/>
      <c r="E69" s="87"/>
      <c r="F69" s="87"/>
      <c r="G69" s="87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26">
        <f t="shared" si="5"/>
        <v>0</v>
      </c>
      <c r="Y69" s="86"/>
      <c r="Z69" s="89"/>
      <c r="AA69" s="90"/>
      <c r="AB69" s="87"/>
    </row>
    <row r="70" spans="1:28" ht="16.5">
      <c r="A70" s="23"/>
      <c r="B70" s="91" t="s">
        <v>179</v>
      </c>
      <c r="C70" s="25" t="s">
        <v>180</v>
      </c>
      <c r="D70" s="71">
        <v>243</v>
      </c>
      <c r="E70" s="27">
        <v>500</v>
      </c>
      <c r="F70" s="27"/>
      <c r="G70" s="27"/>
      <c r="H70" s="29">
        <f>5+110+24</f>
        <v>139</v>
      </c>
      <c r="I70" s="29"/>
      <c r="J70" s="29"/>
      <c r="K70" s="29"/>
      <c r="L70" s="29"/>
      <c r="M70" s="29">
        <f>9+150+18</f>
        <v>177</v>
      </c>
      <c r="N70" s="29"/>
      <c r="O70" s="29">
        <v>18</v>
      </c>
      <c r="P70" s="29"/>
      <c r="Q70" s="29"/>
      <c r="R70" s="29"/>
      <c r="S70" s="29"/>
      <c r="T70" s="29">
        <v>3</v>
      </c>
      <c r="U70" s="29"/>
      <c r="V70" s="29"/>
      <c r="W70" s="29"/>
      <c r="X70" s="26">
        <f t="shared" si="5"/>
        <v>406</v>
      </c>
      <c r="Y70" s="71"/>
      <c r="Z70" s="26">
        <f t="shared" ref="Z70:Z76" si="7">Y70-X70</f>
        <v>-406</v>
      </c>
      <c r="AA70" s="31"/>
      <c r="AB70" s="27"/>
    </row>
    <row r="71" spans="1:28" ht="16.5">
      <c r="A71" s="23"/>
      <c r="B71" s="91" t="s">
        <v>181</v>
      </c>
      <c r="C71" s="25" t="s">
        <v>182</v>
      </c>
      <c r="D71" s="71">
        <v>221</v>
      </c>
      <c r="E71" s="27"/>
      <c r="F71" s="27"/>
      <c r="G71" s="27"/>
      <c r="H71" s="29"/>
      <c r="I71" s="29"/>
      <c r="J71" s="29"/>
      <c r="K71" s="29"/>
      <c r="L71" s="29"/>
      <c r="M71" s="29">
        <f>6+6</f>
        <v>12</v>
      </c>
      <c r="N71" s="29"/>
      <c r="O71" s="29"/>
      <c r="P71" s="29"/>
      <c r="Q71" s="29"/>
      <c r="R71" s="29"/>
      <c r="S71" s="29"/>
      <c r="T71" s="29">
        <v>3</v>
      </c>
      <c r="U71" s="29"/>
      <c r="V71" s="29"/>
      <c r="W71" s="29"/>
      <c r="X71" s="26">
        <f t="shared" si="5"/>
        <v>206</v>
      </c>
      <c r="Y71" s="71"/>
      <c r="Z71" s="26">
        <f t="shared" si="7"/>
        <v>-206</v>
      </c>
      <c r="AA71" s="31"/>
      <c r="AB71" s="27"/>
    </row>
    <row r="72" spans="1:28" ht="16.5">
      <c r="A72" s="23"/>
      <c r="B72" s="91" t="s">
        <v>183</v>
      </c>
      <c r="C72" s="25" t="s">
        <v>184</v>
      </c>
      <c r="D72" s="71">
        <v>807</v>
      </c>
      <c r="E72" s="27"/>
      <c r="F72" s="27"/>
      <c r="G72" s="27"/>
      <c r="H72" s="29">
        <f>4</f>
        <v>4</v>
      </c>
      <c r="I72" s="29"/>
      <c r="J72" s="29"/>
      <c r="K72" s="29"/>
      <c r="L72" s="29">
        <f>10</f>
        <v>10</v>
      </c>
      <c r="M72" s="29">
        <f>7+10+24</f>
        <v>41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6">
        <f t="shared" si="5"/>
        <v>752</v>
      </c>
      <c r="Y72" s="71"/>
      <c r="Z72" s="26">
        <f t="shared" si="7"/>
        <v>-752</v>
      </c>
      <c r="AA72" s="31"/>
      <c r="AB72" s="27"/>
    </row>
    <row r="73" spans="1:28" ht="16.5">
      <c r="A73" s="23"/>
      <c r="B73" s="91" t="s">
        <v>185</v>
      </c>
      <c r="C73" s="25"/>
      <c r="D73" s="71">
        <v>62</v>
      </c>
      <c r="E73" s="27"/>
      <c r="F73" s="27"/>
      <c r="G73" s="27"/>
      <c r="H73" s="29">
        <v>5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6">
        <f t="shared" si="5"/>
        <v>57</v>
      </c>
      <c r="Y73" s="71"/>
      <c r="Z73" s="26">
        <f t="shared" si="7"/>
        <v>-57</v>
      </c>
      <c r="AA73" s="31"/>
      <c r="AB73" s="27"/>
    </row>
    <row r="74" spans="1:28" ht="16.5">
      <c r="A74" s="23"/>
      <c r="B74" s="91" t="s">
        <v>186</v>
      </c>
      <c r="C74" s="25"/>
      <c r="D74" s="71">
        <v>381</v>
      </c>
      <c r="E74" s="27"/>
      <c r="F74" s="27"/>
      <c r="G74" s="27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6">
        <f t="shared" si="5"/>
        <v>381</v>
      </c>
      <c r="Y74" s="71"/>
      <c r="Z74" s="26">
        <f t="shared" si="7"/>
        <v>-381</v>
      </c>
      <c r="AA74" s="31"/>
      <c r="AB74" s="27"/>
    </row>
    <row r="75" spans="1:28" ht="16.5">
      <c r="A75" s="23"/>
      <c r="B75" s="91" t="s">
        <v>187</v>
      </c>
      <c r="C75" s="25" t="s">
        <v>188</v>
      </c>
      <c r="D75" s="71">
        <v>143</v>
      </c>
      <c r="E75" s="27"/>
      <c r="F75" s="27"/>
      <c r="G75" s="27"/>
      <c r="H75" s="29">
        <f>92</f>
        <v>92</v>
      </c>
      <c r="I75" s="29"/>
      <c r="J75" s="29"/>
      <c r="K75" s="29"/>
      <c r="L75" s="29"/>
      <c r="M75" s="29">
        <f>1</f>
        <v>1</v>
      </c>
      <c r="N75" s="29"/>
      <c r="O75" s="69">
        <v>14</v>
      </c>
      <c r="P75" s="29"/>
      <c r="Q75" s="29"/>
      <c r="R75" s="29"/>
      <c r="S75" s="29"/>
      <c r="T75" s="29">
        <v>3</v>
      </c>
      <c r="U75" s="29"/>
      <c r="V75" s="29"/>
      <c r="W75" s="29"/>
      <c r="X75" s="26">
        <f t="shared" si="5"/>
        <v>33</v>
      </c>
      <c r="Y75" s="71"/>
      <c r="Z75" s="26">
        <f t="shared" si="7"/>
        <v>-33</v>
      </c>
      <c r="AA75" s="31"/>
      <c r="AB75" s="27"/>
    </row>
    <row r="76" spans="1:28" ht="16.5">
      <c r="A76" s="23"/>
      <c r="B76" s="91" t="s">
        <v>189</v>
      </c>
      <c r="C76" s="25" t="s">
        <v>190</v>
      </c>
      <c r="D76" s="71">
        <v>137</v>
      </c>
      <c r="E76" s="27"/>
      <c r="F76" s="27"/>
      <c r="G76" s="27"/>
      <c r="H76" s="29">
        <f>12+27</f>
        <v>39</v>
      </c>
      <c r="I76" s="29"/>
      <c r="J76" s="29"/>
      <c r="K76" s="29"/>
      <c r="L76" s="29">
        <v>4</v>
      </c>
      <c r="M76" s="29">
        <f>11</f>
        <v>11</v>
      </c>
      <c r="N76" s="29"/>
      <c r="O76" s="69">
        <v>35</v>
      </c>
      <c r="P76" s="29"/>
      <c r="Q76" s="29"/>
      <c r="R76" s="29"/>
      <c r="S76" s="29"/>
      <c r="T76" s="29"/>
      <c r="U76" s="29"/>
      <c r="V76" s="29"/>
      <c r="W76" s="29"/>
      <c r="X76" s="26">
        <f t="shared" si="5"/>
        <v>48</v>
      </c>
      <c r="Y76" s="71"/>
      <c r="Z76" s="26">
        <f t="shared" si="7"/>
        <v>-48</v>
      </c>
      <c r="AA76" s="31"/>
      <c r="AB76" s="27"/>
    </row>
    <row r="77" spans="1:28" s="6" customFormat="1" ht="20.25">
      <c r="A77" s="92"/>
      <c r="B77" s="93" t="s">
        <v>191</v>
      </c>
      <c r="C77" s="94"/>
      <c r="D77" s="95"/>
      <c r="E77" s="96"/>
      <c r="F77" s="96"/>
      <c r="G77" s="96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26">
        <f t="shared" si="5"/>
        <v>0</v>
      </c>
      <c r="Y77" s="95"/>
      <c r="Z77" s="98"/>
      <c r="AA77" s="99"/>
      <c r="AB77" s="96"/>
    </row>
    <row r="78" spans="1:28" ht="16.5">
      <c r="A78" s="23"/>
      <c r="B78" s="91" t="s">
        <v>192</v>
      </c>
      <c r="C78" s="25" t="s">
        <v>45</v>
      </c>
      <c r="D78" s="30">
        <v>996</v>
      </c>
      <c r="E78" s="27"/>
      <c r="F78" s="27"/>
      <c r="G78" s="27"/>
      <c r="H78" s="29">
        <f>45+71+24</f>
        <v>140</v>
      </c>
      <c r="I78" s="29"/>
      <c r="J78" s="29">
        <f>5+25+12</f>
        <v>42</v>
      </c>
      <c r="K78" s="29">
        <f>2</f>
        <v>2</v>
      </c>
      <c r="L78" s="69">
        <f>10+13</f>
        <v>23</v>
      </c>
      <c r="M78" s="70">
        <f>1+12</f>
        <v>13</v>
      </c>
      <c r="N78" s="70"/>
      <c r="O78" s="29">
        <v>12</v>
      </c>
      <c r="P78" s="29"/>
      <c r="Q78" s="29"/>
      <c r="R78" s="29"/>
      <c r="S78" s="29"/>
      <c r="T78" s="29">
        <v>3</v>
      </c>
      <c r="U78" s="29"/>
      <c r="V78" s="29"/>
      <c r="W78" s="29"/>
      <c r="X78" s="26">
        <f t="shared" si="5"/>
        <v>761</v>
      </c>
      <c r="Y78" s="30"/>
      <c r="Z78" s="26">
        <f t="shared" ref="Z78:Z90" si="8">Y78-X78</f>
        <v>-761</v>
      </c>
      <c r="AA78" s="31"/>
      <c r="AB78" s="27"/>
    </row>
    <row r="79" spans="1:28" ht="16.5">
      <c r="A79" s="23"/>
      <c r="B79" s="91" t="s">
        <v>193</v>
      </c>
      <c r="C79" s="25" t="s">
        <v>194</v>
      </c>
      <c r="D79" s="30">
        <v>356</v>
      </c>
      <c r="E79" s="27"/>
      <c r="F79" s="27"/>
      <c r="G79" s="27"/>
      <c r="H79" s="29">
        <f>6</f>
        <v>6</v>
      </c>
      <c r="I79" s="29"/>
      <c r="J79" s="29"/>
      <c r="K79" s="29"/>
      <c r="L79" s="29"/>
      <c r="M79" s="70"/>
      <c r="N79" s="70"/>
      <c r="O79" s="29"/>
      <c r="P79" s="29"/>
      <c r="Q79" s="29"/>
      <c r="R79" s="29"/>
      <c r="S79" s="29"/>
      <c r="T79" s="29"/>
      <c r="U79" s="29"/>
      <c r="V79" s="29"/>
      <c r="W79" s="29"/>
      <c r="X79" s="26">
        <f t="shared" si="5"/>
        <v>350</v>
      </c>
      <c r="Y79" s="30"/>
      <c r="Z79" s="26">
        <f t="shared" si="8"/>
        <v>-350</v>
      </c>
      <c r="AA79" s="31"/>
      <c r="AB79" s="27"/>
    </row>
    <row r="80" spans="1:28" ht="16.5">
      <c r="A80" s="23"/>
      <c r="B80" s="100" t="s">
        <v>195</v>
      </c>
      <c r="C80" s="25"/>
      <c r="D80" s="30">
        <v>730</v>
      </c>
      <c r="E80" s="27"/>
      <c r="F80" s="27"/>
      <c r="G80" s="27"/>
      <c r="H80" s="29">
        <v>20</v>
      </c>
      <c r="I80" s="29"/>
      <c r="J80" s="29"/>
      <c r="K80" s="29"/>
      <c r="L80" s="29"/>
      <c r="M80" s="70">
        <v>320</v>
      </c>
      <c r="N80" s="70"/>
      <c r="O80" s="29"/>
      <c r="P80" s="29"/>
      <c r="Q80" s="29"/>
      <c r="R80" s="29"/>
      <c r="S80" s="29"/>
      <c r="T80" s="29"/>
      <c r="U80" s="29"/>
      <c r="V80" s="29"/>
      <c r="W80" s="29">
        <v>350</v>
      </c>
      <c r="X80" s="26">
        <f t="shared" si="5"/>
        <v>740</v>
      </c>
      <c r="Y80" s="30">
        <v>720</v>
      </c>
      <c r="Z80" s="26">
        <f t="shared" si="8"/>
        <v>-20</v>
      </c>
      <c r="AA80" s="31"/>
      <c r="AB80" s="27"/>
    </row>
    <row r="81" spans="1:30" ht="16.5">
      <c r="A81" s="23"/>
      <c r="B81" s="91" t="s">
        <v>196</v>
      </c>
      <c r="C81" s="25"/>
      <c r="D81" s="30">
        <v>356</v>
      </c>
      <c r="E81" s="27">
        <v>500</v>
      </c>
      <c r="F81" s="27"/>
      <c r="G81" s="27"/>
      <c r="H81" s="29"/>
      <c r="I81" s="29"/>
      <c r="J81" s="29">
        <v>1</v>
      </c>
      <c r="K81" s="29"/>
      <c r="L81" s="29"/>
      <c r="M81" s="70">
        <f>8</f>
        <v>8</v>
      </c>
      <c r="N81" s="70"/>
      <c r="O81" s="29"/>
      <c r="P81" s="29"/>
      <c r="Q81" s="29"/>
      <c r="R81" s="29"/>
      <c r="S81" s="29"/>
      <c r="T81" s="29"/>
      <c r="U81" s="29"/>
      <c r="V81" s="29"/>
      <c r="W81" s="29">
        <v>-150</v>
      </c>
      <c r="X81" s="26">
        <f t="shared" si="5"/>
        <v>697</v>
      </c>
      <c r="Y81" s="30"/>
      <c r="Z81" s="26">
        <f t="shared" si="8"/>
        <v>-697</v>
      </c>
      <c r="AA81" s="31"/>
      <c r="AB81" s="27"/>
    </row>
    <row r="82" spans="1:30" ht="16.5">
      <c r="A82" s="23"/>
      <c r="B82" s="91" t="s">
        <v>197</v>
      </c>
      <c r="C82" s="25"/>
      <c r="D82" s="30">
        <v>1026</v>
      </c>
      <c r="E82" s="27"/>
      <c r="F82" s="27"/>
      <c r="G82" s="27"/>
      <c r="H82" s="29"/>
      <c r="I82" s="29"/>
      <c r="J82" s="29">
        <v>1</v>
      </c>
      <c r="K82" s="29"/>
      <c r="L82" s="29"/>
      <c r="M82" s="70">
        <f>4</f>
        <v>4</v>
      </c>
      <c r="N82" s="70"/>
      <c r="O82" s="29"/>
      <c r="P82" s="29"/>
      <c r="Q82" s="29"/>
      <c r="R82" s="29"/>
      <c r="S82" s="29"/>
      <c r="T82" s="29"/>
      <c r="U82" s="29"/>
      <c r="V82" s="29"/>
      <c r="W82" s="29">
        <v>-200</v>
      </c>
      <c r="X82" s="26">
        <f t="shared" si="5"/>
        <v>821</v>
      </c>
      <c r="Y82" s="30"/>
      <c r="Z82" s="26">
        <f t="shared" si="8"/>
        <v>-821</v>
      </c>
      <c r="AA82" s="31"/>
      <c r="AB82" s="27"/>
    </row>
    <row r="83" spans="1:30" ht="16.5">
      <c r="A83" s="23"/>
      <c r="B83" s="91" t="s">
        <v>198</v>
      </c>
      <c r="C83" s="25" t="s">
        <v>199</v>
      </c>
      <c r="D83" s="30">
        <v>194</v>
      </c>
      <c r="E83" s="27"/>
      <c r="F83" s="27"/>
      <c r="G83" s="27"/>
      <c r="H83" s="29">
        <f>6+103</f>
        <v>109</v>
      </c>
      <c r="I83" s="29"/>
      <c r="J83" s="29">
        <f>3</f>
        <v>3</v>
      </c>
      <c r="K83" s="29"/>
      <c r="L83" s="29"/>
      <c r="M83" s="70">
        <f>6</f>
        <v>6</v>
      </c>
      <c r="N83" s="70"/>
      <c r="O83" s="29"/>
      <c r="P83" s="29"/>
      <c r="Q83" s="29"/>
      <c r="R83" s="29"/>
      <c r="S83" s="29"/>
      <c r="T83" s="29"/>
      <c r="U83" s="29"/>
      <c r="V83" s="29"/>
      <c r="W83" s="29"/>
      <c r="X83" s="26">
        <f t="shared" si="5"/>
        <v>76</v>
      </c>
      <c r="Y83" s="30">
        <v>79</v>
      </c>
      <c r="Z83" s="26">
        <f t="shared" si="8"/>
        <v>3</v>
      </c>
      <c r="AA83" s="31"/>
      <c r="AB83" s="27"/>
    </row>
    <row r="84" spans="1:30" ht="16.5" hidden="1">
      <c r="A84" s="23"/>
      <c r="B84" s="91" t="s">
        <v>200</v>
      </c>
      <c r="C84" s="25" t="s">
        <v>201</v>
      </c>
      <c r="D84" s="30"/>
      <c r="E84" s="27"/>
      <c r="F84" s="27"/>
      <c r="G84" s="27"/>
      <c r="H84" s="29"/>
      <c r="I84" s="29"/>
      <c r="J84" s="29"/>
      <c r="K84" s="29"/>
      <c r="L84" s="29"/>
      <c r="M84" s="70"/>
      <c r="N84" s="70"/>
      <c r="O84" s="29"/>
      <c r="P84" s="29"/>
      <c r="Q84" s="29"/>
      <c r="R84" s="29"/>
      <c r="S84" s="29"/>
      <c r="T84" s="29"/>
      <c r="U84" s="29"/>
      <c r="V84" s="29"/>
      <c r="W84" s="29"/>
      <c r="X84" s="26">
        <f t="shared" si="5"/>
        <v>0</v>
      </c>
      <c r="Y84" s="30"/>
      <c r="Z84" s="26">
        <f t="shared" si="8"/>
        <v>0</v>
      </c>
      <c r="AA84" s="31"/>
      <c r="AB84" s="27"/>
    </row>
    <row r="85" spans="1:30" ht="16.5">
      <c r="A85" s="23"/>
      <c r="B85" s="91" t="s">
        <v>202</v>
      </c>
      <c r="C85" s="25" t="s">
        <v>203</v>
      </c>
      <c r="D85" s="30">
        <v>430</v>
      </c>
      <c r="E85" s="27"/>
      <c r="F85" s="27"/>
      <c r="G85" s="27"/>
      <c r="H85" s="29">
        <f>9</f>
        <v>9</v>
      </c>
      <c r="I85" s="29"/>
      <c r="J85" s="29">
        <v>5</v>
      </c>
      <c r="K85" s="29"/>
      <c r="L85" s="29">
        <f>3</f>
        <v>3</v>
      </c>
      <c r="M85" s="29">
        <f>9</f>
        <v>9</v>
      </c>
      <c r="N85" s="29"/>
      <c r="O85" s="29">
        <v>5</v>
      </c>
      <c r="P85" s="29"/>
      <c r="Q85" s="29"/>
      <c r="R85" s="29"/>
      <c r="S85" s="29"/>
      <c r="T85" s="29">
        <v>1</v>
      </c>
      <c r="U85" s="29"/>
      <c r="V85" s="29"/>
      <c r="W85" s="29"/>
      <c r="X85" s="26">
        <f t="shared" si="5"/>
        <v>398</v>
      </c>
      <c r="Y85" s="30"/>
      <c r="Z85" s="26">
        <f t="shared" si="8"/>
        <v>-398</v>
      </c>
      <c r="AA85" s="31"/>
      <c r="AB85" s="27"/>
    </row>
    <row r="86" spans="1:30" ht="16.5" hidden="1">
      <c r="A86" s="23"/>
      <c r="B86" s="91" t="s">
        <v>204</v>
      </c>
      <c r="C86" s="25" t="s">
        <v>205</v>
      </c>
      <c r="D86" s="71"/>
      <c r="E86" s="27"/>
      <c r="F86" s="27"/>
      <c r="G86" s="27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6">
        <f t="shared" si="5"/>
        <v>0</v>
      </c>
      <c r="Y86" s="71"/>
      <c r="Z86" s="26">
        <f t="shared" si="8"/>
        <v>0</v>
      </c>
      <c r="AA86" s="31"/>
      <c r="AB86" s="27"/>
    </row>
    <row r="87" spans="1:30" ht="16.5">
      <c r="A87" s="23"/>
      <c r="B87" s="91" t="s">
        <v>206</v>
      </c>
      <c r="C87" s="25" t="s">
        <v>207</v>
      </c>
      <c r="D87" s="30">
        <v>39</v>
      </c>
      <c r="E87" s="27"/>
      <c r="F87" s="27"/>
      <c r="G87" s="27"/>
      <c r="H87" s="29">
        <f>14</f>
        <v>14</v>
      </c>
      <c r="I87" s="29"/>
      <c r="J87" s="29"/>
      <c r="K87" s="29"/>
      <c r="L87" s="29">
        <f>1</f>
        <v>1</v>
      </c>
      <c r="M87" s="29">
        <f>5</f>
        <v>5</v>
      </c>
      <c r="N87" s="29"/>
      <c r="O87" s="29">
        <v>1</v>
      </c>
      <c r="P87" s="29"/>
      <c r="Q87" s="29"/>
      <c r="R87" s="29"/>
      <c r="S87" s="29"/>
      <c r="T87" s="29">
        <v>3</v>
      </c>
      <c r="U87" s="29"/>
      <c r="V87" s="29"/>
      <c r="W87" s="29"/>
      <c r="X87" s="26">
        <f t="shared" si="5"/>
        <v>15</v>
      </c>
      <c r="Y87" s="30"/>
      <c r="Z87" s="26">
        <f t="shared" si="8"/>
        <v>-15</v>
      </c>
      <c r="AA87" s="31"/>
      <c r="AB87" s="27"/>
    </row>
    <row r="88" spans="1:30" ht="16.5" hidden="1">
      <c r="A88" s="23"/>
      <c r="B88" s="91" t="s">
        <v>208</v>
      </c>
      <c r="C88" s="39" t="s">
        <v>42</v>
      </c>
      <c r="D88" s="30"/>
      <c r="E88" s="27"/>
      <c r="F88" s="27"/>
      <c r="G88" s="27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6">
        <f t="shared" si="5"/>
        <v>0</v>
      </c>
      <c r="Y88" s="30"/>
      <c r="Z88" s="26">
        <f t="shared" si="8"/>
        <v>0</v>
      </c>
      <c r="AA88" s="31"/>
      <c r="AB88" s="27"/>
    </row>
    <row r="89" spans="1:30" ht="16.5">
      <c r="A89" s="23"/>
      <c r="B89" s="91" t="s">
        <v>209</v>
      </c>
      <c r="C89" s="39" t="s">
        <v>48</v>
      </c>
      <c r="D89" s="30">
        <v>313</v>
      </c>
      <c r="E89" s="27"/>
      <c r="F89" s="27"/>
      <c r="G89" s="27"/>
      <c r="H89" s="29">
        <v>1</v>
      </c>
      <c r="I89" s="29"/>
      <c r="J89" s="29"/>
      <c r="K89" s="29"/>
      <c r="L89" s="29"/>
      <c r="M89" s="29"/>
      <c r="N89" s="29"/>
      <c r="O89" s="29">
        <v>3</v>
      </c>
      <c r="P89" s="29"/>
      <c r="Q89" s="29"/>
      <c r="R89" s="29"/>
      <c r="S89" s="29"/>
      <c r="T89" s="29"/>
      <c r="U89" s="29"/>
      <c r="V89" s="29"/>
      <c r="W89" s="29"/>
      <c r="X89" s="26">
        <f t="shared" si="5"/>
        <v>309</v>
      </c>
      <c r="Y89" s="30"/>
      <c r="Z89" s="26">
        <f t="shared" si="8"/>
        <v>-309</v>
      </c>
      <c r="AA89" s="31"/>
      <c r="AB89" s="27"/>
    </row>
    <row r="90" spans="1:30" ht="16.5">
      <c r="A90" s="23"/>
      <c r="B90" s="91" t="s">
        <v>210</v>
      </c>
      <c r="C90" s="39" t="s">
        <v>52</v>
      </c>
      <c r="D90" s="30">
        <v>67</v>
      </c>
      <c r="E90" s="27"/>
      <c r="F90" s="27"/>
      <c r="G90" s="27"/>
      <c r="H90" s="69">
        <v>4</v>
      </c>
      <c r="I90" s="29"/>
      <c r="J90" s="29"/>
      <c r="K90" s="29"/>
      <c r="L90" s="29"/>
      <c r="M90" s="29">
        <v>3</v>
      </c>
      <c r="N90" s="29"/>
      <c r="O90" s="29">
        <v>1</v>
      </c>
      <c r="P90" s="29"/>
      <c r="Q90" s="29"/>
      <c r="R90" s="29"/>
      <c r="S90" s="29"/>
      <c r="T90" s="29">
        <v>1</v>
      </c>
      <c r="U90" s="29"/>
      <c r="V90" s="29"/>
      <c r="W90" s="29"/>
      <c r="X90" s="26">
        <f t="shared" si="5"/>
        <v>58</v>
      </c>
      <c r="Y90" s="30">
        <v>57</v>
      </c>
      <c r="Z90" s="26">
        <f t="shared" si="8"/>
        <v>-1</v>
      </c>
      <c r="AA90" s="31"/>
      <c r="AB90" s="27"/>
    </row>
    <row r="91" spans="1:30" ht="16.5">
      <c r="A91" s="23"/>
      <c r="B91" s="101" t="s">
        <v>211</v>
      </c>
      <c r="C91" s="39"/>
      <c r="D91" s="30">
        <v>0</v>
      </c>
      <c r="E91" s="27"/>
      <c r="F91" s="27"/>
      <c r="G91" s="27"/>
      <c r="H91" s="7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6">
        <f t="shared" si="5"/>
        <v>0</v>
      </c>
      <c r="Y91" s="30"/>
      <c r="Z91" s="26"/>
      <c r="AA91" s="31"/>
      <c r="AB91" s="27"/>
    </row>
    <row r="92" spans="1:30" ht="16.5">
      <c r="A92" s="23"/>
      <c r="B92" s="102" t="s">
        <v>212</v>
      </c>
      <c r="C92" s="39"/>
      <c r="D92" s="30">
        <v>9</v>
      </c>
      <c r="E92" s="27"/>
      <c r="F92" s="27"/>
      <c r="G92" s="27"/>
      <c r="H92" s="29"/>
      <c r="I92" s="29"/>
      <c r="J92" s="29">
        <v>1</v>
      </c>
      <c r="K92" s="29"/>
      <c r="L92" s="29"/>
      <c r="M92" s="29"/>
      <c r="N92" s="29"/>
      <c r="O92" s="29">
        <f>1</f>
        <v>1</v>
      </c>
      <c r="P92" s="29"/>
      <c r="Q92" s="29"/>
      <c r="R92" s="29"/>
      <c r="S92" s="29"/>
      <c r="T92" s="29"/>
      <c r="U92" s="29"/>
      <c r="V92" s="29"/>
      <c r="W92" s="29"/>
      <c r="X92" s="26">
        <f t="shared" si="5"/>
        <v>7</v>
      </c>
      <c r="Y92" s="30"/>
      <c r="Z92" s="26">
        <f t="shared" ref="Z92:Z98" si="9">Y92-X92</f>
        <v>-7</v>
      </c>
      <c r="AA92" s="31"/>
      <c r="AB92" s="27"/>
    </row>
    <row r="93" spans="1:30" ht="16.5">
      <c r="A93" s="23"/>
      <c r="B93" s="102" t="s">
        <v>213</v>
      </c>
      <c r="C93" s="39"/>
      <c r="D93" s="30">
        <v>10</v>
      </c>
      <c r="E93" s="27"/>
      <c r="F93" s="27"/>
      <c r="G93" s="27"/>
      <c r="H93" s="29">
        <v>1</v>
      </c>
      <c r="I93" s="29"/>
      <c r="J93" s="29"/>
      <c r="K93" s="29">
        <v>2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6">
        <f t="shared" si="5"/>
        <v>7</v>
      </c>
      <c r="Y93" s="30"/>
      <c r="Z93" s="26">
        <f t="shared" si="9"/>
        <v>-7</v>
      </c>
      <c r="AA93" s="31"/>
      <c r="AB93" s="27"/>
    </row>
    <row r="94" spans="1:30" s="7" customFormat="1">
      <c r="A94" s="103"/>
      <c r="B94" s="56"/>
      <c r="C94" s="104"/>
      <c r="D94" s="105"/>
      <c r="E94" s="106"/>
      <c r="F94" s="106"/>
      <c r="G94" s="106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5"/>
      <c r="Z94" s="108"/>
      <c r="AA94" s="109"/>
      <c r="AB94" s="106"/>
    </row>
    <row r="95" spans="1:30">
      <c r="D95" s="11"/>
      <c r="U95" s="11"/>
      <c r="X95" s="26">
        <f>D95+E95+F95+G95-Q95-P95-N95-M95-L95-J95-O95-H95-I95-K95-S95-T95-U95-V95+W95</f>
        <v>0</v>
      </c>
      <c r="Z95" s="9"/>
      <c r="AA95" s="9"/>
    </row>
    <row r="96" spans="1:30" s="8" customFormat="1" ht="20.25">
      <c r="A96" s="110"/>
      <c r="B96" s="111" t="s">
        <v>214</v>
      </c>
      <c r="C96" s="112"/>
      <c r="D96" s="113"/>
      <c r="E96" s="114"/>
      <c r="F96" s="114"/>
      <c r="G96" s="114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5"/>
      <c r="AA96" s="116"/>
      <c r="AB96" s="115"/>
      <c r="AC96" s="117"/>
      <c r="AD96" s="114"/>
    </row>
    <row r="97" spans="1:30" ht="16.5">
      <c r="A97" s="23"/>
      <c r="B97" s="91" t="s">
        <v>215</v>
      </c>
      <c r="C97" s="25" t="s">
        <v>45</v>
      </c>
      <c r="D97" s="29">
        <v>1</v>
      </c>
      <c r="E97" s="27"/>
      <c r="F97" s="27"/>
      <c r="G97" s="27"/>
      <c r="H97" s="79">
        <v>1</v>
      </c>
      <c r="I97" s="29"/>
      <c r="J97" s="29"/>
      <c r="K97" s="29"/>
      <c r="L97" s="29"/>
      <c r="M97" s="70"/>
      <c r="N97" s="70"/>
      <c r="O97" s="29"/>
      <c r="P97" s="29"/>
      <c r="Q97" s="29"/>
      <c r="R97" s="29"/>
      <c r="S97" s="29"/>
      <c r="T97" s="29"/>
      <c r="U97" s="29"/>
      <c r="V97" s="29"/>
      <c r="W97" s="29"/>
      <c r="X97" s="26">
        <f t="shared" ref="X97:X103" si="10">D97+E97+F97+G97-Q97-P97-N97-M97-L97-J97-O97-H97-I97-K97-R97-S97-T97-U97-V97+W97</f>
        <v>0</v>
      </c>
      <c r="Y97" s="29"/>
      <c r="Z97" s="26">
        <f t="shared" si="9"/>
        <v>0</v>
      </c>
      <c r="AA97" s="30"/>
      <c r="AB97" s="27"/>
      <c r="AC97" s="31"/>
      <c r="AD97" s="27"/>
    </row>
    <row r="98" spans="1:30" ht="16.5">
      <c r="A98" s="23"/>
      <c r="B98" s="91" t="s">
        <v>216</v>
      </c>
      <c r="C98" s="25" t="s">
        <v>194</v>
      </c>
      <c r="D98" s="29">
        <v>54</v>
      </c>
      <c r="E98" s="27">
        <v>48</v>
      </c>
      <c r="F98" s="27"/>
      <c r="G98" s="27"/>
      <c r="H98" s="29">
        <v>25</v>
      </c>
      <c r="I98" s="29"/>
      <c r="J98" s="29"/>
      <c r="K98" s="29"/>
      <c r="L98" s="29"/>
      <c r="M98" s="70"/>
      <c r="N98" s="70"/>
      <c r="O98" s="29"/>
      <c r="P98" s="29">
        <v>6</v>
      </c>
      <c r="Q98" s="29">
        <v>3</v>
      </c>
      <c r="R98" s="29"/>
      <c r="S98" s="29"/>
      <c r="T98" s="29"/>
      <c r="U98" s="29"/>
      <c r="V98" s="29"/>
      <c r="W98" s="29"/>
      <c r="X98" s="26">
        <f t="shared" si="10"/>
        <v>68</v>
      </c>
      <c r="Y98" s="29"/>
      <c r="Z98" s="26">
        <f t="shared" si="9"/>
        <v>-68</v>
      </c>
      <c r="AA98" s="30"/>
      <c r="AB98" s="27"/>
      <c r="AC98" s="31"/>
      <c r="AD98" s="27"/>
    </row>
    <row r="99" spans="1:30">
      <c r="A99" s="103"/>
      <c r="B99" s="56"/>
      <c r="C99" s="104"/>
      <c r="D99" s="107"/>
      <c r="E99" s="106"/>
      <c r="F99" s="106"/>
      <c r="G99" s="106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18"/>
      <c r="AA99" s="105"/>
      <c r="AB99" s="108"/>
      <c r="AC99" s="109"/>
      <c r="AD99" s="106"/>
    </row>
    <row r="100" spans="1:30">
      <c r="D100" s="11"/>
      <c r="X100" s="26">
        <f t="shared" si="10"/>
        <v>0</v>
      </c>
    </row>
    <row r="101" spans="1:30" s="8" customFormat="1" ht="20.25">
      <c r="A101" s="110"/>
      <c r="B101" s="111" t="s">
        <v>217</v>
      </c>
      <c r="C101" s="112"/>
      <c r="D101" s="113"/>
      <c r="E101" s="114"/>
      <c r="F101" s="114"/>
      <c r="G101" s="114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26">
        <f t="shared" si="10"/>
        <v>0</v>
      </c>
      <c r="Y101" s="113"/>
      <c r="Z101" s="115"/>
      <c r="AA101" s="116"/>
      <c r="AB101" s="115"/>
      <c r="AC101" s="117"/>
      <c r="AD101" s="114"/>
    </row>
    <row r="102" spans="1:30" ht="16.5">
      <c r="A102" s="23"/>
      <c r="B102" s="91" t="s">
        <v>218</v>
      </c>
      <c r="C102" s="25" t="s">
        <v>45</v>
      </c>
      <c r="D102" s="29">
        <v>234</v>
      </c>
      <c r="E102" s="27"/>
      <c r="F102" s="27"/>
      <c r="G102" s="27"/>
      <c r="H102" s="29">
        <v>16</v>
      </c>
      <c r="I102" s="29"/>
      <c r="J102" s="29"/>
      <c r="K102" s="29"/>
      <c r="L102" s="29"/>
      <c r="M102" s="70">
        <f>72</f>
        <v>72</v>
      </c>
      <c r="N102" s="70"/>
      <c r="O102" s="29"/>
      <c r="P102" s="29"/>
      <c r="Q102" s="29"/>
      <c r="R102" s="29"/>
      <c r="S102" s="29"/>
      <c r="T102" s="29">
        <v>2</v>
      </c>
      <c r="U102" s="29"/>
      <c r="V102" s="29"/>
      <c r="W102" s="29"/>
      <c r="X102" s="26">
        <f t="shared" si="10"/>
        <v>144</v>
      </c>
      <c r="Y102" s="29"/>
      <c r="Z102" s="26">
        <f t="shared" ref="Z102:Z112" si="11">Y102-X102</f>
        <v>-144</v>
      </c>
      <c r="AA102" s="30"/>
      <c r="AB102" s="27"/>
      <c r="AC102" s="31"/>
      <c r="AD102" s="27"/>
    </row>
    <row r="103" spans="1:30" ht="16.5">
      <c r="A103" s="23"/>
      <c r="B103" s="91" t="s">
        <v>219</v>
      </c>
      <c r="C103" s="25" t="s">
        <v>194</v>
      </c>
      <c r="D103" s="29">
        <v>190</v>
      </c>
      <c r="E103" s="27"/>
      <c r="F103" s="27"/>
      <c r="G103" s="27"/>
      <c r="H103" s="29">
        <v>8</v>
      </c>
      <c r="I103" s="29"/>
      <c r="J103" s="29"/>
      <c r="K103" s="29"/>
      <c r="L103" s="29"/>
      <c r="M103" s="70"/>
      <c r="N103" s="70"/>
      <c r="O103" s="29">
        <f>1</f>
        <v>1</v>
      </c>
      <c r="P103" s="29"/>
      <c r="Q103" s="29"/>
      <c r="R103" s="29"/>
      <c r="S103" s="29"/>
      <c r="T103" s="29"/>
      <c r="U103" s="29"/>
      <c r="V103" s="29"/>
      <c r="W103" s="29"/>
      <c r="X103" s="26">
        <f t="shared" si="10"/>
        <v>181</v>
      </c>
      <c r="Y103" s="29"/>
      <c r="Z103" s="26">
        <f t="shared" si="11"/>
        <v>-181</v>
      </c>
      <c r="AA103" s="30"/>
      <c r="AB103" s="27"/>
      <c r="AC103" s="31"/>
      <c r="AD103" s="27"/>
    </row>
    <row r="104" spans="1:30">
      <c r="A104" s="103"/>
      <c r="B104" s="56"/>
      <c r="C104" s="104"/>
      <c r="D104" s="107"/>
      <c r="E104" s="106"/>
      <c r="F104" s="106"/>
      <c r="G104" s="106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18"/>
      <c r="AA104" s="105"/>
      <c r="AB104" s="108"/>
      <c r="AC104" s="109"/>
      <c r="AD104" s="106"/>
    </row>
    <row r="105" spans="1:30">
      <c r="D105" s="11"/>
      <c r="X105" s="26">
        <f t="shared" ref="X105:X113" si="12">D105+E105+F105+G105-Q105-P105-N105-M105-L105-J105-O105-H105-I105-K105-R105-S105-T105-U105-V105+W105</f>
        <v>0</v>
      </c>
    </row>
    <row r="106" spans="1:30" ht="20.25">
      <c r="A106" s="110"/>
      <c r="B106" s="111" t="s">
        <v>220</v>
      </c>
      <c r="C106" s="112"/>
      <c r="D106" s="113"/>
      <c r="E106" s="114"/>
      <c r="F106" s="114"/>
      <c r="G106" s="114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26">
        <f t="shared" si="12"/>
        <v>0</v>
      </c>
      <c r="Y106" s="113"/>
      <c r="Z106" s="115"/>
      <c r="AA106" s="116"/>
      <c r="AB106" s="115"/>
      <c r="AC106" s="117"/>
      <c r="AD106" s="114"/>
    </row>
    <row r="107" spans="1:30" ht="16.5">
      <c r="A107" s="23"/>
      <c r="B107" s="102" t="s">
        <v>221</v>
      </c>
      <c r="C107" s="25"/>
      <c r="D107" s="29">
        <v>40</v>
      </c>
      <c r="E107" s="27"/>
      <c r="F107" s="27"/>
      <c r="G107" s="27"/>
      <c r="H107" s="29"/>
      <c r="I107" s="29"/>
      <c r="J107" s="29"/>
      <c r="K107" s="29"/>
      <c r="L107" s="29">
        <v>2</v>
      </c>
      <c r="M107" s="70"/>
      <c r="N107" s="70"/>
      <c r="O107" s="29"/>
      <c r="P107" s="29"/>
      <c r="Q107" s="29"/>
      <c r="R107" s="29"/>
      <c r="S107" s="29"/>
      <c r="T107" s="29"/>
      <c r="U107" s="29"/>
      <c r="V107" s="29"/>
      <c r="W107" s="29"/>
      <c r="X107" s="26">
        <f t="shared" si="12"/>
        <v>38</v>
      </c>
      <c r="Y107" s="29"/>
      <c r="Z107" s="26">
        <f t="shared" si="11"/>
        <v>-38</v>
      </c>
      <c r="AA107" s="30"/>
      <c r="AB107" s="27"/>
      <c r="AC107" s="31"/>
      <c r="AD107" s="27"/>
    </row>
    <row r="108" spans="1:30" ht="16.5">
      <c r="A108" s="23"/>
      <c r="B108" s="102" t="s">
        <v>222</v>
      </c>
      <c r="C108" s="25"/>
      <c r="D108" s="29">
        <v>40</v>
      </c>
      <c r="E108" s="38"/>
      <c r="F108" s="27"/>
      <c r="G108" s="27"/>
      <c r="H108" s="29">
        <v>4</v>
      </c>
      <c r="I108" s="29"/>
      <c r="J108" s="29"/>
      <c r="K108" s="29"/>
      <c r="L108" s="29"/>
      <c r="M108" s="70"/>
      <c r="N108" s="70"/>
      <c r="O108" s="29"/>
      <c r="P108" s="29"/>
      <c r="Q108" s="29"/>
      <c r="R108" s="29"/>
      <c r="S108" s="29"/>
      <c r="T108" s="29"/>
      <c r="U108" s="29"/>
      <c r="V108" s="29"/>
      <c r="W108" s="29"/>
      <c r="X108" s="26">
        <f t="shared" si="12"/>
        <v>36</v>
      </c>
      <c r="Y108" s="29"/>
      <c r="Z108" s="26">
        <f t="shared" si="11"/>
        <v>-36</v>
      </c>
      <c r="AA108" s="30"/>
      <c r="AB108" s="27"/>
      <c r="AC108" s="31"/>
      <c r="AD108" s="27"/>
    </row>
    <row r="109" spans="1:30" ht="16.5">
      <c r="A109" s="23"/>
      <c r="B109" s="102"/>
      <c r="C109" s="25"/>
      <c r="D109" s="29"/>
      <c r="E109" s="27"/>
      <c r="F109" s="27"/>
      <c r="G109" s="27"/>
      <c r="H109" s="29"/>
      <c r="I109" s="29"/>
      <c r="J109" s="29"/>
      <c r="K109" s="29"/>
      <c r="L109" s="29"/>
      <c r="M109" s="70"/>
      <c r="N109" s="70"/>
      <c r="O109" s="29"/>
      <c r="P109" s="29"/>
      <c r="Q109" s="29"/>
      <c r="R109" s="29"/>
      <c r="S109" s="29"/>
      <c r="T109" s="29"/>
      <c r="U109" s="29"/>
      <c r="V109" s="29"/>
      <c r="W109" s="29"/>
      <c r="X109" s="26">
        <f t="shared" si="12"/>
        <v>0</v>
      </c>
      <c r="Y109" s="29"/>
      <c r="Z109" s="26">
        <f t="shared" si="11"/>
        <v>0</v>
      </c>
      <c r="AA109" s="30"/>
      <c r="AB109" s="27"/>
      <c r="AC109" s="31"/>
      <c r="AD109" s="27"/>
    </row>
    <row r="110" spans="1:30" ht="16.5">
      <c r="A110" s="23"/>
      <c r="B110" s="102"/>
      <c r="C110" s="25"/>
      <c r="D110" s="29"/>
      <c r="E110" s="27"/>
      <c r="F110" s="27"/>
      <c r="G110" s="27"/>
      <c r="H110" s="29"/>
      <c r="I110" s="29"/>
      <c r="J110" s="29"/>
      <c r="K110" s="29"/>
      <c r="L110" s="29"/>
      <c r="M110" s="70"/>
      <c r="N110" s="70"/>
      <c r="O110" s="29"/>
      <c r="P110" s="29"/>
      <c r="Q110" s="29"/>
      <c r="R110" s="29"/>
      <c r="S110" s="29"/>
      <c r="T110" s="29"/>
      <c r="U110" s="29"/>
      <c r="V110" s="29"/>
      <c r="W110" s="29"/>
      <c r="X110" s="26">
        <f t="shared" si="12"/>
        <v>0</v>
      </c>
      <c r="Y110" s="29"/>
      <c r="Z110" s="26">
        <f t="shared" si="11"/>
        <v>0</v>
      </c>
      <c r="AA110" s="30"/>
      <c r="AB110" s="27"/>
      <c r="AC110" s="31"/>
      <c r="AD110" s="27"/>
    </row>
    <row r="111" spans="1:30" ht="16.5">
      <c r="A111" s="23"/>
      <c r="B111" s="102"/>
      <c r="C111" s="25"/>
      <c r="D111" s="29"/>
      <c r="E111" s="27"/>
      <c r="F111" s="27"/>
      <c r="G111" s="27"/>
      <c r="H111" s="29"/>
      <c r="I111" s="29"/>
      <c r="J111" s="29"/>
      <c r="K111" s="29"/>
      <c r="L111" s="29"/>
      <c r="M111" s="70"/>
      <c r="N111" s="70"/>
      <c r="O111" s="29"/>
      <c r="P111" s="29"/>
      <c r="Q111" s="29"/>
      <c r="R111" s="29"/>
      <c r="S111" s="29"/>
      <c r="T111" s="29"/>
      <c r="U111" s="29"/>
      <c r="V111" s="29"/>
      <c r="W111" s="29"/>
      <c r="X111" s="26">
        <f t="shared" si="12"/>
        <v>0</v>
      </c>
      <c r="Y111" s="29"/>
      <c r="Z111" s="26">
        <f t="shared" si="11"/>
        <v>0</v>
      </c>
      <c r="AA111" s="30"/>
      <c r="AB111" s="27"/>
      <c r="AC111" s="31"/>
      <c r="AD111" s="27"/>
    </row>
    <row r="112" spans="1:30" ht="16.5">
      <c r="A112" s="23"/>
      <c r="B112" s="102"/>
      <c r="C112" s="25"/>
      <c r="D112" s="29"/>
      <c r="E112" s="27"/>
      <c r="F112" s="27"/>
      <c r="G112" s="27"/>
      <c r="H112" s="29"/>
      <c r="I112" s="29"/>
      <c r="J112" s="29"/>
      <c r="K112" s="29"/>
      <c r="L112" s="29"/>
      <c r="M112" s="70"/>
      <c r="N112" s="70"/>
      <c r="O112" s="29"/>
      <c r="P112" s="29"/>
      <c r="Q112" s="29"/>
      <c r="R112" s="29"/>
      <c r="S112" s="29"/>
      <c r="T112" s="29"/>
      <c r="U112" s="29"/>
      <c r="V112" s="29"/>
      <c r="W112" s="29"/>
      <c r="X112" s="26">
        <f t="shared" si="12"/>
        <v>0</v>
      </c>
      <c r="Y112" s="29"/>
      <c r="Z112" s="26">
        <f t="shared" si="11"/>
        <v>0</v>
      </c>
      <c r="AA112" s="30"/>
      <c r="AB112" s="27"/>
      <c r="AC112" s="31"/>
      <c r="AD112" s="27"/>
    </row>
    <row r="113" spans="1:30">
      <c r="A113" s="103"/>
      <c r="B113" s="56"/>
      <c r="C113" s="104"/>
      <c r="D113" s="118"/>
      <c r="E113" s="106"/>
      <c r="F113" s="106"/>
      <c r="G113" s="106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26">
        <f t="shared" si="12"/>
        <v>0</v>
      </c>
      <c r="Y113" s="107"/>
      <c r="Z113" s="118"/>
      <c r="AA113" s="105"/>
      <c r="AB113" s="108"/>
      <c r="AC113" s="109"/>
      <c r="AD113" s="106"/>
    </row>
    <row r="114" spans="1:30">
      <c r="D114" s="11"/>
      <c r="X114" s="26"/>
    </row>
    <row r="115" spans="1:30" ht="20.25">
      <c r="A115" s="110"/>
      <c r="B115" s="111" t="s">
        <v>220</v>
      </c>
      <c r="C115" s="112"/>
      <c r="D115" s="113"/>
      <c r="E115" s="114"/>
      <c r="F115" s="114"/>
      <c r="G115" s="114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26">
        <f t="shared" ref="X115:X122" si="13">D115+E115+F115+G115-Q115-P115-N115-M115-L115-J115-O115-H115-I115-K115-R115-S115-T115-U115-V115+W115</f>
        <v>0</v>
      </c>
      <c r="Y115" s="113"/>
      <c r="Z115" s="115"/>
      <c r="AA115" s="116"/>
      <c r="AB115" s="115"/>
      <c r="AC115" s="117"/>
      <c r="AD115" s="114"/>
    </row>
    <row r="116" spans="1:30" ht="16.5">
      <c r="A116" s="23"/>
      <c r="B116" s="102" t="s">
        <v>223</v>
      </c>
      <c r="C116" s="25" t="s">
        <v>45</v>
      </c>
      <c r="D116" s="29">
        <v>2</v>
      </c>
      <c r="E116" s="27"/>
      <c r="F116" s="27"/>
      <c r="G116" s="27"/>
      <c r="H116" s="29"/>
      <c r="I116" s="29"/>
      <c r="J116" s="29"/>
      <c r="K116" s="29"/>
      <c r="L116" s="29"/>
      <c r="M116" s="70"/>
      <c r="N116" s="70"/>
      <c r="O116" s="29"/>
      <c r="P116" s="29"/>
      <c r="Q116" s="29"/>
      <c r="R116" s="29"/>
      <c r="S116" s="29"/>
      <c r="T116" s="29"/>
      <c r="U116" s="29"/>
      <c r="V116" s="29"/>
      <c r="W116" s="29"/>
      <c r="X116" s="26">
        <f t="shared" si="13"/>
        <v>2</v>
      </c>
      <c r="Y116" s="29"/>
      <c r="Z116" s="26">
        <f t="shared" ref="Z116:Z121" si="14">Y116-X116</f>
        <v>-2</v>
      </c>
      <c r="AA116" s="30"/>
      <c r="AB116" s="27"/>
      <c r="AC116" s="31"/>
      <c r="AD116" s="27"/>
    </row>
    <row r="117" spans="1:30" ht="16.5">
      <c r="A117" s="23"/>
      <c r="B117" s="102" t="s">
        <v>224</v>
      </c>
      <c r="C117" s="25" t="s">
        <v>194</v>
      </c>
      <c r="D117" s="29">
        <v>0</v>
      </c>
      <c r="E117" s="38"/>
      <c r="F117" s="27"/>
      <c r="G117" s="27"/>
      <c r="H117" s="29"/>
      <c r="I117" s="29"/>
      <c r="J117" s="29"/>
      <c r="K117" s="29"/>
      <c r="L117" s="29"/>
      <c r="M117" s="70"/>
      <c r="N117" s="70"/>
      <c r="O117" s="29"/>
      <c r="P117" s="29"/>
      <c r="Q117" s="29"/>
      <c r="R117" s="29"/>
      <c r="S117" s="29"/>
      <c r="T117" s="29"/>
      <c r="U117" s="29"/>
      <c r="V117" s="29"/>
      <c r="W117" s="29"/>
      <c r="X117" s="26">
        <f t="shared" si="13"/>
        <v>0</v>
      </c>
      <c r="Y117" s="29"/>
      <c r="Z117" s="26">
        <f t="shared" si="14"/>
        <v>0</v>
      </c>
      <c r="AA117" s="30"/>
      <c r="AB117" s="27"/>
      <c r="AC117" s="31"/>
      <c r="AD117" s="27"/>
    </row>
    <row r="118" spans="1:30" ht="16.5">
      <c r="A118" s="23"/>
      <c r="B118" s="102" t="s">
        <v>225</v>
      </c>
      <c r="C118" s="25"/>
      <c r="D118" s="29">
        <v>0</v>
      </c>
      <c r="E118" s="27"/>
      <c r="F118" s="27"/>
      <c r="G118" s="27"/>
      <c r="H118" s="29"/>
      <c r="I118" s="29"/>
      <c r="J118" s="29"/>
      <c r="K118" s="29"/>
      <c r="L118" s="29"/>
      <c r="M118" s="70"/>
      <c r="N118" s="70"/>
      <c r="O118" s="29"/>
      <c r="P118" s="29"/>
      <c r="Q118" s="29"/>
      <c r="R118" s="29"/>
      <c r="S118" s="29"/>
      <c r="T118" s="29"/>
      <c r="U118" s="29"/>
      <c r="V118" s="29"/>
      <c r="W118" s="29"/>
      <c r="X118" s="26">
        <f t="shared" si="13"/>
        <v>0</v>
      </c>
      <c r="Y118" s="29"/>
      <c r="Z118" s="26">
        <f t="shared" si="14"/>
        <v>0</v>
      </c>
      <c r="AA118" s="30"/>
      <c r="AB118" s="27"/>
      <c r="AC118" s="31"/>
      <c r="AD118" s="27"/>
    </row>
    <row r="119" spans="1:30" ht="16.5">
      <c r="A119" s="23"/>
      <c r="B119" s="102" t="s">
        <v>226</v>
      </c>
      <c r="C119" s="25"/>
      <c r="D119" s="29">
        <v>2</v>
      </c>
      <c r="E119" s="27"/>
      <c r="F119" s="27"/>
      <c r="G119" s="27"/>
      <c r="H119" s="29"/>
      <c r="I119" s="29"/>
      <c r="J119" s="29"/>
      <c r="K119" s="29"/>
      <c r="L119" s="29"/>
      <c r="M119" s="70"/>
      <c r="N119" s="70"/>
      <c r="O119" s="29"/>
      <c r="P119" s="29"/>
      <c r="Q119" s="29"/>
      <c r="R119" s="29"/>
      <c r="S119" s="29"/>
      <c r="T119" s="29"/>
      <c r="U119" s="29"/>
      <c r="V119" s="29"/>
      <c r="W119" s="29"/>
      <c r="X119" s="26">
        <f t="shared" si="13"/>
        <v>2</v>
      </c>
      <c r="Y119" s="29"/>
      <c r="Z119" s="26">
        <f t="shared" si="14"/>
        <v>-2</v>
      </c>
      <c r="AA119" s="30"/>
      <c r="AB119" s="27"/>
      <c r="AC119" s="31"/>
      <c r="AD119" s="27"/>
    </row>
    <row r="120" spans="1:30" ht="16.5">
      <c r="A120" s="23"/>
      <c r="B120" s="102" t="s">
        <v>227</v>
      </c>
      <c r="C120" s="25"/>
      <c r="D120" s="29">
        <v>2</v>
      </c>
      <c r="E120" s="27"/>
      <c r="F120" s="27"/>
      <c r="G120" s="27"/>
      <c r="H120" s="29"/>
      <c r="I120" s="29"/>
      <c r="J120" s="29"/>
      <c r="K120" s="29"/>
      <c r="L120" s="29"/>
      <c r="M120" s="70"/>
      <c r="N120" s="70"/>
      <c r="O120" s="29"/>
      <c r="P120" s="29"/>
      <c r="Q120" s="29"/>
      <c r="R120" s="29"/>
      <c r="S120" s="29"/>
      <c r="T120" s="29"/>
      <c r="U120" s="29"/>
      <c r="V120" s="29"/>
      <c r="W120" s="29"/>
      <c r="X120" s="26">
        <f t="shared" si="13"/>
        <v>2</v>
      </c>
      <c r="Y120" s="29"/>
      <c r="Z120" s="26">
        <f t="shared" si="14"/>
        <v>-2</v>
      </c>
      <c r="AA120" s="30"/>
      <c r="AB120" s="27"/>
      <c r="AC120" s="31"/>
      <c r="AD120" s="27"/>
    </row>
    <row r="121" spans="1:30" ht="16.5">
      <c r="A121" s="23"/>
      <c r="B121" s="102" t="s">
        <v>228</v>
      </c>
      <c r="C121" s="25"/>
      <c r="D121" s="29">
        <v>2</v>
      </c>
      <c r="E121" s="27"/>
      <c r="F121" s="27"/>
      <c r="G121" s="27"/>
      <c r="H121" s="29"/>
      <c r="I121" s="29"/>
      <c r="J121" s="29"/>
      <c r="K121" s="29"/>
      <c r="L121" s="29"/>
      <c r="M121" s="70"/>
      <c r="N121" s="70"/>
      <c r="O121" s="29"/>
      <c r="P121" s="29"/>
      <c r="Q121" s="29"/>
      <c r="R121" s="29"/>
      <c r="S121" s="29"/>
      <c r="T121" s="29"/>
      <c r="U121" s="29"/>
      <c r="V121" s="29"/>
      <c r="W121" s="29"/>
      <c r="X121" s="26">
        <f t="shared" si="13"/>
        <v>2</v>
      </c>
      <c r="Y121" s="29"/>
      <c r="Z121" s="26">
        <f t="shared" si="14"/>
        <v>-2</v>
      </c>
      <c r="AA121" s="30"/>
      <c r="AB121" s="27"/>
      <c r="AC121" s="31"/>
      <c r="AD121" s="27"/>
    </row>
    <row r="122" spans="1:30">
      <c r="A122" s="103"/>
      <c r="B122" s="56"/>
      <c r="C122" s="104"/>
      <c r="D122" s="118"/>
      <c r="E122" s="106"/>
      <c r="F122" s="106"/>
      <c r="G122" s="106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26">
        <f t="shared" si="13"/>
        <v>0</v>
      </c>
      <c r="Y122" s="107"/>
      <c r="Z122" s="118"/>
      <c r="AA122" s="105"/>
      <c r="AB122" s="108"/>
      <c r="AC122" s="109"/>
      <c r="AD122" s="106"/>
    </row>
  </sheetData>
  <conditionalFormatting sqref="B70:B93">
    <cfRule type="cellIs" dxfId="14" priority="4" operator="lessThan">
      <formula>0</formula>
    </cfRule>
  </conditionalFormatting>
  <conditionalFormatting sqref="B96:B98">
    <cfRule type="cellIs" dxfId="13" priority="5" operator="lessThan">
      <formula>0</formula>
    </cfRule>
  </conditionalFormatting>
  <conditionalFormatting sqref="B101:B103">
    <cfRule type="cellIs" dxfId="12" priority="3" operator="lessThan">
      <formula>0</formula>
    </cfRule>
  </conditionalFormatting>
  <conditionalFormatting sqref="B106:B112">
    <cfRule type="cellIs" dxfId="11" priority="1" operator="lessThan">
      <formula>0</formula>
    </cfRule>
  </conditionalFormatting>
  <conditionalFormatting sqref="B115:B121">
    <cfRule type="cellIs" dxfId="10" priority="2" operator="lessThan">
      <formula>0</formula>
    </cfRule>
  </conditionalFormatting>
  <dataValidations count="2">
    <dataValidation type="textLength" showInputMessage="1" showErrorMessage="1" sqref="B8 B10:B43 B78:B93 B97:B98 B102:B103 B107:B112 B116:B121">
      <formula1>5</formula1>
      <formula2>100</formula2>
    </dataValidation>
    <dataValidation type="textLength" showInputMessage="1" showErrorMessage="1" sqref="C18 C79 C98 C103 C22:C42 C83:C87 C108:C112 C117:C121">
      <formula1>0</formula1>
      <formula2>20</formula2>
    </dataValidation>
  </dataValidations>
  <pageMargins left="0.7" right="0.7" top="0.75" bottom="0.75" header="0.3" footer="0.3"/>
  <pageSetup orientation="portrait" horizontalDpi="360" verticalDpi="360" r:id="rId1"/>
  <ignoredErrors>
    <ignoredError sqref="L65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2"/>
  <sheetViews>
    <sheetView zoomScale="115" zoomScaleNormal="115" workbookViewId="0">
      <pane xSplit="3" ySplit="1" topLeftCell="Q84" activePane="bottomRight" state="frozen"/>
      <selection pane="topRight"/>
      <selection pane="bottomLeft"/>
      <selection pane="bottomRight" activeCell="X52" sqref="X52"/>
    </sheetView>
  </sheetViews>
  <sheetFormatPr defaultColWidth="9" defaultRowHeight="15"/>
  <cols>
    <col min="1" max="1" width="12" style="9" customWidth="1"/>
    <col min="2" max="2" width="41" style="9" customWidth="1"/>
    <col min="3" max="3" width="15" style="9" hidden="1" customWidth="1"/>
    <col min="4" max="4" width="16.5703125" style="9" customWidth="1"/>
    <col min="5" max="5" width="10.85546875" style="10" customWidth="1"/>
    <col min="6" max="6" width="6.7109375" style="9" customWidth="1"/>
    <col min="7" max="7" width="6.7109375" style="9" hidden="1" customWidth="1"/>
    <col min="8" max="8" width="12.42578125" style="9" customWidth="1"/>
    <col min="9" max="9" width="11.7109375" style="9" hidden="1" customWidth="1"/>
    <col min="10" max="13" width="11.7109375" style="9" customWidth="1"/>
    <col min="14" max="14" width="11.7109375" style="9" hidden="1" customWidth="1"/>
    <col min="15" max="19" width="11.7109375" style="9" customWidth="1"/>
    <col min="20" max="21" width="10.85546875" style="9" customWidth="1"/>
    <col min="22" max="22" width="17.42578125" style="9" customWidth="1"/>
    <col min="23" max="23" width="8.85546875" style="11" customWidth="1"/>
    <col min="24" max="24" width="18.5703125" style="9" customWidth="1"/>
    <col min="25" max="25" width="18.85546875" style="11" customWidth="1"/>
    <col min="26" max="26" width="13.42578125" style="11" customWidth="1"/>
    <col min="27" max="27" width="47.85546875" style="11" customWidth="1"/>
    <col min="28" max="28" width="31.140625" style="9" hidden="1" customWidth="1"/>
    <col min="29" max="29" width="9" style="9" hidden="1" customWidth="1"/>
    <col min="30" max="30" width="9.7109375" style="9" hidden="1" customWidth="1"/>
    <col min="31" max="16384" width="9" style="9"/>
  </cols>
  <sheetData>
    <row r="1" spans="1:28" s="1" customFormat="1" ht="45" customHeight="1">
      <c r="A1" s="12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9" t="s">
        <v>23</v>
      </c>
      <c r="Y1" s="20" t="s">
        <v>229</v>
      </c>
      <c r="Z1" s="21" t="s">
        <v>25</v>
      </c>
      <c r="AA1" s="21" t="s">
        <v>26</v>
      </c>
      <c r="AB1" s="22"/>
    </row>
    <row r="2" spans="1:28">
      <c r="A2" s="23" t="s">
        <v>27</v>
      </c>
      <c r="B2" s="24" t="s">
        <v>28</v>
      </c>
      <c r="C2" s="25" t="s">
        <v>29</v>
      </c>
      <c r="D2" s="26">
        <v>91</v>
      </c>
      <c r="E2" s="27"/>
      <c r="F2" s="27"/>
      <c r="G2" s="27"/>
      <c r="H2" s="28">
        <f>21</f>
        <v>21</v>
      </c>
      <c r="I2" s="29"/>
      <c r="J2" s="29"/>
      <c r="K2" s="29"/>
      <c r="L2" s="29"/>
      <c r="M2" s="29">
        <f>26</f>
        <v>26</v>
      </c>
      <c r="N2" s="29"/>
      <c r="O2" s="29"/>
      <c r="P2" s="29"/>
      <c r="Q2" s="29"/>
      <c r="R2" s="29"/>
      <c r="S2" s="29"/>
      <c r="T2" s="29"/>
      <c r="U2" s="29"/>
      <c r="V2" s="29"/>
      <c r="W2" s="29">
        <v>100</v>
      </c>
      <c r="X2" s="26">
        <f>D2+E2+F2+G2-Q2-P2-N2-M2-L2-J2-O2-H2-I2-K2-R2-S2-T2-U2-V2+W2</f>
        <v>144</v>
      </c>
      <c r="Y2" s="30"/>
      <c r="Z2" s="26">
        <f>Y2-X2</f>
        <v>-144</v>
      </c>
      <c r="AA2" s="31"/>
      <c r="AB2" s="27"/>
    </row>
    <row r="3" spans="1:28">
      <c r="A3" s="23" t="s">
        <v>30</v>
      </c>
      <c r="B3" s="24" t="s">
        <v>31</v>
      </c>
      <c r="C3" s="25" t="s">
        <v>32</v>
      </c>
      <c r="D3" s="26">
        <v>3305</v>
      </c>
      <c r="E3" s="27"/>
      <c r="F3" s="27"/>
      <c r="G3" s="27"/>
      <c r="H3" s="29">
        <f>115+500</f>
        <v>615</v>
      </c>
      <c r="I3" s="29"/>
      <c r="J3" s="29"/>
      <c r="K3" s="29"/>
      <c r="L3" s="29"/>
      <c r="M3" s="29">
        <v>125</v>
      </c>
      <c r="N3" s="29"/>
      <c r="O3" s="29">
        <f>15</f>
        <v>15</v>
      </c>
      <c r="P3" s="29"/>
      <c r="Q3" s="29"/>
      <c r="R3" s="29">
        <v>5</v>
      </c>
      <c r="S3" s="29"/>
      <c r="T3" s="29"/>
      <c r="U3" s="29"/>
      <c r="V3" s="29"/>
      <c r="W3" s="29"/>
      <c r="X3" s="26">
        <f>D3+E3+F3+G3-Q3-P3-N3-M3-L3-J3-O3-H3-I3-K3-R3-S3-T3-U3-V3+W3</f>
        <v>2545</v>
      </c>
      <c r="Y3" s="30"/>
      <c r="Z3" s="26">
        <f>Y3-X3</f>
        <v>-2545</v>
      </c>
      <c r="AA3" s="31"/>
      <c r="AB3" s="27"/>
    </row>
    <row r="4" spans="1:28">
      <c r="A4" s="23" t="s">
        <v>33</v>
      </c>
      <c r="B4" s="24" t="s">
        <v>34</v>
      </c>
      <c r="C4" s="25" t="s">
        <v>35</v>
      </c>
      <c r="D4" s="26">
        <v>1120</v>
      </c>
      <c r="E4" s="27"/>
      <c r="F4" s="27"/>
      <c r="G4" s="27"/>
      <c r="H4" s="29">
        <v>110</v>
      </c>
      <c r="I4" s="29"/>
      <c r="J4" s="29"/>
      <c r="K4" s="29"/>
      <c r="L4" s="29"/>
      <c r="M4" s="29">
        <v>50</v>
      </c>
      <c r="N4" s="29"/>
      <c r="O4" s="29"/>
      <c r="P4" s="29"/>
      <c r="Q4" s="29"/>
      <c r="R4" s="29"/>
      <c r="S4" s="29"/>
      <c r="T4" s="29"/>
      <c r="U4" s="29"/>
      <c r="V4" s="29"/>
      <c r="W4" s="29">
        <v>-100</v>
      </c>
      <c r="X4" s="26">
        <f>D4+E4+F4+G4-Q4-P4-N4-M4-L4-J4-O4-H4-I4-K4-R4-S4-T4-U4-V4+W4</f>
        <v>860</v>
      </c>
      <c r="Y4" s="30"/>
      <c r="Z4" s="26">
        <f>Y4-X4</f>
        <v>-860</v>
      </c>
      <c r="AA4" s="31"/>
      <c r="AB4" s="27"/>
    </row>
    <row r="5" spans="1:28">
      <c r="A5" s="32"/>
      <c r="B5" s="33" t="s">
        <v>36</v>
      </c>
      <c r="C5" s="34"/>
      <c r="D5" s="35">
        <f>SUM(D9+D11)</f>
        <v>82</v>
      </c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>
        <f>SUM(X6:X11)</f>
        <v>875</v>
      </c>
      <c r="Y5" s="35"/>
      <c r="Z5" s="35">
        <f>SUM(Z6:Z11)</f>
        <v>-875</v>
      </c>
      <c r="AA5" s="36"/>
      <c r="AB5" s="37"/>
    </row>
    <row r="6" spans="1:28">
      <c r="A6" s="23"/>
      <c r="B6" s="24" t="s">
        <v>37</v>
      </c>
      <c r="C6" s="25" t="s">
        <v>38</v>
      </c>
      <c r="D6" s="26">
        <v>300</v>
      </c>
      <c r="E6" s="27"/>
      <c r="F6" s="27"/>
      <c r="G6" s="27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7"/>
      <c r="X6" s="26">
        <f t="shared" ref="X6:X11" si="0">D6+E6+F6+G6-Q6-P6-N6-M6-L6-J6-O6-H6-I6-K6-R6-S6-T6-U6-V6+W6</f>
        <v>300</v>
      </c>
      <c r="Y6" s="30"/>
      <c r="Z6" s="38">
        <f t="shared" ref="Z6:Z11" si="1">Y6-X6</f>
        <v>-300</v>
      </c>
      <c r="AA6" s="31"/>
      <c r="AB6" s="27"/>
    </row>
    <row r="7" spans="1:28">
      <c r="A7" s="23"/>
      <c r="B7" s="24" t="s">
        <v>39</v>
      </c>
      <c r="C7" s="25" t="s">
        <v>40</v>
      </c>
      <c r="D7" s="26">
        <v>297</v>
      </c>
      <c r="E7" s="27"/>
      <c r="F7" s="27"/>
      <c r="G7" s="27"/>
      <c r="H7" s="29">
        <f>12</f>
        <v>12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7"/>
      <c r="X7" s="26">
        <f t="shared" si="0"/>
        <v>285</v>
      </c>
      <c r="Y7" s="30"/>
      <c r="Z7" s="38">
        <f t="shared" si="1"/>
        <v>-285</v>
      </c>
      <c r="AA7" s="31"/>
      <c r="AB7" s="27"/>
    </row>
    <row r="8" spans="1:28">
      <c r="A8" s="23"/>
      <c r="B8" s="24" t="s">
        <v>41</v>
      </c>
      <c r="C8" s="39" t="s">
        <v>42</v>
      </c>
      <c r="D8" s="26">
        <v>292</v>
      </c>
      <c r="E8" s="27"/>
      <c r="F8" s="27"/>
      <c r="G8" s="27"/>
      <c r="H8" s="29">
        <f>4</f>
        <v>4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6">
        <f t="shared" si="0"/>
        <v>288</v>
      </c>
      <c r="Y8" s="30"/>
      <c r="Z8" s="26">
        <f t="shared" si="1"/>
        <v>-288</v>
      </c>
      <c r="AA8" s="31"/>
      <c r="AB8" s="27"/>
    </row>
    <row r="9" spans="1:28">
      <c r="A9" s="23" t="s">
        <v>43</v>
      </c>
      <c r="B9" s="24" t="s">
        <v>44</v>
      </c>
      <c r="C9" s="25" t="s">
        <v>45</v>
      </c>
      <c r="D9" s="26">
        <v>1</v>
      </c>
      <c r="E9" s="27"/>
      <c r="F9" s="27"/>
      <c r="G9" s="27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6">
        <f t="shared" si="0"/>
        <v>1</v>
      </c>
      <c r="Y9" s="30"/>
      <c r="Z9" s="26">
        <f t="shared" si="1"/>
        <v>-1</v>
      </c>
      <c r="AA9" s="31"/>
      <c r="AB9" s="27"/>
    </row>
    <row r="10" spans="1:28" hidden="1">
      <c r="A10" s="23" t="s">
        <v>46</v>
      </c>
      <c r="B10" s="24" t="s">
        <v>47</v>
      </c>
      <c r="C10" s="39" t="s">
        <v>48</v>
      </c>
      <c r="D10" s="26"/>
      <c r="E10" s="27"/>
      <c r="F10" s="27"/>
      <c r="G10" s="27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6">
        <f t="shared" si="0"/>
        <v>0</v>
      </c>
      <c r="Y10" s="30"/>
      <c r="Z10" s="26">
        <f t="shared" si="1"/>
        <v>0</v>
      </c>
      <c r="AA10" s="31" t="s">
        <v>49</v>
      </c>
      <c r="AB10" s="27"/>
    </row>
    <row r="11" spans="1:28">
      <c r="A11" s="23" t="s">
        <v>50</v>
      </c>
      <c r="B11" s="24" t="s">
        <v>51</v>
      </c>
      <c r="C11" s="39" t="s">
        <v>52</v>
      </c>
      <c r="D11" s="26">
        <v>81</v>
      </c>
      <c r="E11" s="27"/>
      <c r="F11" s="27"/>
      <c r="G11" s="27"/>
      <c r="H11" s="29">
        <v>80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6">
        <f t="shared" si="0"/>
        <v>1</v>
      </c>
      <c r="Y11" s="30"/>
      <c r="Z11" s="26">
        <f t="shared" si="1"/>
        <v>-1</v>
      </c>
      <c r="AA11" s="31"/>
      <c r="AB11" s="27"/>
    </row>
    <row r="12" spans="1:28">
      <c r="A12" s="40"/>
      <c r="B12" s="33" t="s">
        <v>53</v>
      </c>
      <c r="C12" s="41"/>
      <c r="D12" s="42">
        <v>19742</v>
      </c>
      <c r="E12" s="37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>
        <f>SUM(X13:X43)</f>
        <v>13961</v>
      </c>
      <c r="Y12" s="42"/>
      <c r="Z12" s="42">
        <f>SUM(Z13:Z43)</f>
        <v>-13961</v>
      </c>
      <c r="AA12" s="43"/>
      <c r="AB12" s="44"/>
    </row>
    <row r="13" spans="1:28">
      <c r="A13" s="23" t="s">
        <v>54</v>
      </c>
      <c r="B13" s="24" t="s">
        <v>55</v>
      </c>
      <c r="C13" s="39" t="s">
        <v>56</v>
      </c>
      <c r="D13" s="26">
        <v>9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6">
        <f t="shared" ref="X13:X45" si="2">D13+E13+F13+G13-Q13-P13-N13-M13-L13-J13-O13-H13-I13-K13-R13-S13-T13-U13-V13+W13</f>
        <v>9</v>
      </c>
      <c r="Y13" s="30"/>
      <c r="Z13" s="38">
        <f t="shared" ref="Z13:Z45" si="3">Y13-X13</f>
        <v>-9</v>
      </c>
      <c r="AA13" s="31"/>
      <c r="AB13" s="27"/>
    </row>
    <row r="14" spans="1:28">
      <c r="A14" s="23" t="s">
        <v>57</v>
      </c>
      <c r="B14" s="24" t="s">
        <v>58</v>
      </c>
      <c r="C14" s="39" t="s">
        <v>59</v>
      </c>
      <c r="D14" s="26">
        <v>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9"/>
      <c r="W14" s="29"/>
      <c r="X14" s="26">
        <f t="shared" si="2"/>
        <v>1</v>
      </c>
      <c r="Y14" s="30"/>
      <c r="Z14" s="26">
        <f t="shared" si="3"/>
        <v>-1</v>
      </c>
      <c r="AA14" s="31"/>
      <c r="AB14" s="27"/>
    </row>
    <row r="15" spans="1:28">
      <c r="A15" s="23" t="s">
        <v>60</v>
      </c>
      <c r="B15" s="24" t="s">
        <v>61</v>
      </c>
      <c r="C15" s="39" t="s">
        <v>62</v>
      </c>
      <c r="D15" s="26">
        <v>80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9"/>
      <c r="W15" s="29"/>
      <c r="X15" s="26">
        <f t="shared" si="2"/>
        <v>80</v>
      </c>
      <c r="Y15" s="30"/>
      <c r="Z15" s="26">
        <f t="shared" si="3"/>
        <v>-80</v>
      </c>
      <c r="AA15" s="31"/>
      <c r="AB15" s="27"/>
    </row>
    <row r="16" spans="1:28">
      <c r="A16" s="23" t="s">
        <v>63</v>
      </c>
      <c r="B16" s="24" t="s">
        <v>64</v>
      </c>
      <c r="C16" s="39" t="s">
        <v>65</v>
      </c>
      <c r="D16" s="26">
        <v>2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9"/>
      <c r="W16" s="29"/>
      <c r="X16" s="26">
        <f t="shared" si="2"/>
        <v>2</v>
      </c>
      <c r="Y16" s="30"/>
      <c r="Z16" s="26">
        <f t="shared" si="3"/>
        <v>-2</v>
      </c>
      <c r="AA16" s="31"/>
      <c r="AB16" s="27"/>
    </row>
    <row r="17" spans="1:28" hidden="1">
      <c r="A17" s="23" t="s">
        <v>66</v>
      </c>
      <c r="B17" s="24" t="s">
        <v>67</v>
      </c>
      <c r="C17" s="39" t="s">
        <v>68</v>
      </c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9"/>
      <c r="W17" s="29"/>
      <c r="X17" s="26">
        <f t="shared" si="2"/>
        <v>0</v>
      </c>
      <c r="Y17" s="30"/>
      <c r="Z17" s="26">
        <f t="shared" si="3"/>
        <v>0</v>
      </c>
      <c r="AA17" s="31"/>
      <c r="AB17" s="27"/>
    </row>
    <row r="18" spans="1:28">
      <c r="A18" s="23" t="s">
        <v>69</v>
      </c>
      <c r="B18" s="24" t="s">
        <v>70</v>
      </c>
      <c r="C18" s="25" t="s">
        <v>71</v>
      </c>
      <c r="D18" s="26">
        <v>5870</v>
      </c>
      <c r="E18" s="27"/>
      <c r="F18" s="27"/>
      <c r="G18" s="27"/>
      <c r="H18" s="27">
        <v>5</v>
      </c>
      <c r="I18" s="27"/>
      <c r="J18" s="27"/>
      <c r="K18" s="27"/>
      <c r="L18" s="27"/>
      <c r="M18" s="45">
        <f>5</f>
        <v>5</v>
      </c>
      <c r="N18" s="27"/>
      <c r="O18" s="27"/>
      <c r="P18" s="27"/>
      <c r="Q18" s="27"/>
      <c r="R18" s="27"/>
      <c r="S18" s="27"/>
      <c r="T18" s="27"/>
      <c r="U18" s="27"/>
      <c r="V18" s="29"/>
      <c r="W18" s="29"/>
      <c r="X18" s="26">
        <f t="shared" si="2"/>
        <v>5860</v>
      </c>
      <c r="Y18" s="30"/>
      <c r="Z18" s="26">
        <f t="shared" si="3"/>
        <v>-5860</v>
      </c>
      <c r="AA18" s="31"/>
      <c r="AB18" s="27"/>
    </row>
    <row r="19" spans="1:28" hidden="1">
      <c r="A19" s="23" t="s">
        <v>72</v>
      </c>
      <c r="B19" s="24" t="s">
        <v>73</v>
      </c>
      <c r="C19" s="39" t="s">
        <v>74</v>
      </c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9"/>
      <c r="W19" s="29"/>
      <c r="X19" s="26">
        <f t="shared" si="2"/>
        <v>0</v>
      </c>
      <c r="Y19" s="30"/>
      <c r="Z19" s="26">
        <f t="shared" si="3"/>
        <v>0</v>
      </c>
      <c r="AA19" s="31"/>
      <c r="AB19" s="27"/>
    </row>
    <row r="20" spans="1:28" hidden="1">
      <c r="A20" s="23" t="s">
        <v>75</v>
      </c>
      <c r="B20" s="24" t="s">
        <v>76</v>
      </c>
      <c r="C20" s="39" t="s">
        <v>77</v>
      </c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9"/>
      <c r="W20" s="29"/>
      <c r="X20" s="26">
        <f t="shared" si="2"/>
        <v>0</v>
      </c>
      <c r="Y20" s="30"/>
      <c r="Z20" s="26">
        <f t="shared" si="3"/>
        <v>0</v>
      </c>
      <c r="AA20" s="31"/>
      <c r="AB20" s="27"/>
    </row>
    <row r="21" spans="1:28" hidden="1">
      <c r="A21" s="23" t="s">
        <v>78</v>
      </c>
      <c r="B21" s="24" t="s">
        <v>79</v>
      </c>
      <c r="C21" s="39" t="s">
        <v>80</v>
      </c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9"/>
      <c r="W21" s="29"/>
      <c r="X21" s="26">
        <f t="shared" si="2"/>
        <v>0</v>
      </c>
      <c r="Y21" s="30"/>
      <c r="Z21" s="26">
        <f t="shared" si="3"/>
        <v>0</v>
      </c>
      <c r="AA21" s="31"/>
      <c r="AB21" s="27"/>
    </row>
    <row r="22" spans="1:28">
      <c r="A22" s="23" t="s">
        <v>81</v>
      </c>
      <c r="B22" s="24" t="s">
        <v>82</v>
      </c>
      <c r="C22" s="25" t="s">
        <v>83</v>
      </c>
      <c r="D22" s="26">
        <v>8</v>
      </c>
      <c r="E22" s="27"/>
      <c r="F22" s="27"/>
      <c r="G22" s="27"/>
      <c r="H22" s="27"/>
      <c r="I22" s="27"/>
      <c r="J22" s="27"/>
      <c r="K22" s="27"/>
      <c r="L22" s="27"/>
      <c r="M22" s="45"/>
      <c r="N22" s="27"/>
      <c r="O22" s="27"/>
      <c r="P22" s="27"/>
      <c r="Q22" s="27"/>
      <c r="R22" s="27"/>
      <c r="S22" s="27"/>
      <c r="T22" s="27"/>
      <c r="U22" s="27"/>
      <c r="V22" s="29"/>
      <c r="W22" s="29"/>
      <c r="X22" s="26">
        <f t="shared" si="2"/>
        <v>8</v>
      </c>
      <c r="Y22" s="30"/>
      <c r="Z22" s="26">
        <f t="shared" si="3"/>
        <v>-8</v>
      </c>
      <c r="AA22" s="31"/>
      <c r="AB22" s="27"/>
    </row>
    <row r="23" spans="1:28">
      <c r="A23" s="23" t="s">
        <v>84</v>
      </c>
      <c r="B23" s="24" t="s">
        <v>85</v>
      </c>
      <c r="C23" s="25" t="s">
        <v>86</v>
      </c>
      <c r="D23" s="26">
        <v>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9"/>
      <c r="W23" s="29"/>
      <c r="X23" s="26">
        <f t="shared" si="2"/>
        <v>0</v>
      </c>
      <c r="Y23" s="30"/>
      <c r="Z23" s="26">
        <f t="shared" si="3"/>
        <v>0</v>
      </c>
      <c r="AA23" s="31"/>
      <c r="AB23" s="27"/>
    </row>
    <row r="24" spans="1:28">
      <c r="A24" s="23" t="s">
        <v>87</v>
      </c>
      <c r="B24" s="24" t="s">
        <v>88</v>
      </c>
      <c r="C24" s="25" t="s">
        <v>89</v>
      </c>
      <c r="D24" s="26">
        <v>6485</v>
      </c>
      <c r="E24" s="27"/>
      <c r="F24" s="27"/>
      <c r="G24" s="27"/>
      <c r="H24" s="27"/>
      <c r="I24" s="27"/>
      <c r="J24" s="27"/>
      <c r="K24" s="27"/>
      <c r="L24" s="27"/>
      <c r="M24" s="27">
        <v>55</v>
      </c>
      <c r="N24" s="27"/>
      <c r="O24" s="27"/>
      <c r="P24" s="27"/>
      <c r="Q24" s="27"/>
      <c r="R24" s="27"/>
      <c r="S24" s="27"/>
      <c r="T24" s="27"/>
      <c r="U24" s="27"/>
      <c r="V24" s="29"/>
      <c r="W24" s="29"/>
      <c r="X24" s="26">
        <f t="shared" si="2"/>
        <v>6430</v>
      </c>
      <c r="Y24" s="30"/>
      <c r="Z24" s="26">
        <f t="shared" si="3"/>
        <v>-6430</v>
      </c>
      <c r="AA24" s="31"/>
      <c r="AB24" s="27"/>
    </row>
    <row r="25" spans="1:28">
      <c r="A25" s="23" t="s">
        <v>90</v>
      </c>
      <c r="B25" s="24" t="s">
        <v>91</v>
      </c>
      <c r="C25" s="25" t="s">
        <v>92</v>
      </c>
      <c r="D25" s="26">
        <v>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9"/>
      <c r="W25" s="29"/>
      <c r="X25" s="26">
        <f t="shared" si="2"/>
        <v>0</v>
      </c>
      <c r="Y25" s="30"/>
      <c r="Z25" s="26">
        <f t="shared" si="3"/>
        <v>0</v>
      </c>
      <c r="AA25" s="31"/>
      <c r="AB25" s="27"/>
    </row>
    <row r="26" spans="1:28" hidden="1">
      <c r="A26" s="23" t="s">
        <v>93</v>
      </c>
      <c r="B26" s="24" t="s">
        <v>94</v>
      </c>
      <c r="C26" s="25" t="s">
        <v>95</v>
      </c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9"/>
      <c r="W26" s="29"/>
      <c r="X26" s="26">
        <f t="shared" si="2"/>
        <v>0</v>
      </c>
      <c r="Y26" s="30"/>
      <c r="Z26" s="26">
        <f t="shared" si="3"/>
        <v>0</v>
      </c>
      <c r="AA26" s="31"/>
      <c r="AB26" s="27"/>
    </row>
    <row r="27" spans="1:28" hidden="1">
      <c r="A27" s="23" t="s">
        <v>96</v>
      </c>
      <c r="B27" s="24" t="s">
        <v>97</v>
      </c>
      <c r="C27" s="25" t="s">
        <v>98</v>
      </c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9"/>
      <c r="W27" s="29"/>
      <c r="X27" s="26">
        <f t="shared" si="2"/>
        <v>0</v>
      </c>
      <c r="Y27" s="30"/>
      <c r="Z27" s="26">
        <f t="shared" si="3"/>
        <v>0</v>
      </c>
      <c r="AA27" s="31"/>
      <c r="AB27" s="27"/>
    </row>
    <row r="28" spans="1:28">
      <c r="A28" s="23" t="s">
        <v>99</v>
      </c>
      <c r="B28" s="24" t="s">
        <v>100</v>
      </c>
      <c r="C28" s="25" t="s">
        <v>101</v>
      </c>
      <c r="D28" s="26">
        <v>1064</v>
      </c>
      <c r="E28" s="27"/>
      <c r="F28" s="27"/>
      <c r="G28" s="27"/>
      <c r="H28" s="27">
        <f>8</f>
        <v>8</v>
      </c>
      <c r="I28" s="27"/>
      <c r="J28" s="27"/>
      <c r="K28" s="27"/>
      <c r="L28" s="27"/>
      <c r="M28" s="27">
        <f>8</f>
        <v>8</v>
      </c>
      <c r="N28" s="27"/>
      <c r="O28" s="27"/>
      <c r="P28" s="27"/>
      <c r="Q28" s="27"/>
      <c r="R28" s="27"/>
      <c r="S28" s="27"/>
      <c r="T28" s="27"/>
      <c r="U28" s="27"/>
      <c r="V28" s="29"/>
      <c r="W28" s="29"/>
      <c r="X28" s="26">
        <f t="shared" si="2"/>
        <v>1048</v>
      </c>
      <c r="Y28" s="30"/>
      <c r="Z28" s="26">
        <f t="shared" si="3"/>
        <v>-1048</v>
      </c>
      <c r="AA28" s="119" t="s">
        <v>102</v>
      </c>
      <c r="AB28" s="27"/>
    </row>
    <row r="29" spans="1:28" hidden="1">
      <c r="A29" s="23" t="s">
        <v>103</v>
      </c>
      <c r="B29" s="24" t="s">
        <v>104</v>
      </c>
      <c r="C29" s="25" t="s">
        <v>105</v>
      </c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9"/>
      <c r="W29" s="29"/>
      <c r="X29" s="26">
        <f t="shared" si="2"/>
        <v>0</v>
      </c>
      <c r="Y29" s="30"/>
      <c r="Z29" s="26">
        <f t="shared" si="3"/>
        <v>0</v>
      </c>
      <c r="AA29" s="31"/>
      <c r="AB29" s="27"/>
    </row>
    <row r="30" spans="1:28">
      <c r="A30" s="23" t="s">
        <v>106</v>
      </c>
      <c r="B30" s="24" t="s">
        <v>107</v>
      </c>
      <c r="C30" s="25" t="s">
        <v>108</v>
      </c>
      <c r="D30" s="26">
        <v>1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9"/>
      <c r="W30" s="29"/>
      <c r="X30" s="26">
        <f t="shared" si="2"/>
        <v>1</v>
      </c>
      <c r="Y30" s="30"/>
      <c r="Z30" s="26">
        <f t="shared" si="3"/>
        <v>-1</v>
      </c>
      <c r="AA30" s="31"/>
      <c r="AB30" s="27"/>
    </row>
    <row r="31" spans="1:28" hidden="1">
      <c r="A31" s="23" t="s">
        <v>109</v>
      </c>
      <c r="B31" s="24" t="s">
        <v>110</v>
      </c>
      <c r="C31" s="25" t="s">
        <v>111</v>
      </c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9"/>
      <c r="W31" s="29"/>
      <c r="X31" s="26">
        <f t="shared" si="2"/>
        <v>0</v>
      </c>
      <c r="Y31" s="30"/>
      <c r="Z31" s="26">
        <f t="shared" si="3"/>
        <v>0</v>
      </c>
      <c r="AA31" s="31"/>
      <c r="AB31" s="27"/>
    </row>
    <row r="32" spans="1:28">
      <c r="A32" s="23" t="s">
        <v>112</v>
      </c>
      <c r="B32" s="24" t="s">
        <v>113</v>
      </c>
      <c r="C32" s="25" t="s">
        <v>114</v>
      </c>
      <c r="D32" s="26">
        <v>349</v>
      </c>
      <c r="E32" s="27"/>
      <c r="F32" s="27"/>
      <c r="G32" s="27"/>
      <c r="H32" s="27">
        <v>25</v>
      </c>
      <c r="I32" s="27"/>
      <c r="J32" s="27"/>
      <c r="K32" s="27"/>
      <c r="L32" s="27"/>
      <c r="M32" s="27">
        <f>15</f>
        <v>15</v>
      </c>
      <c r="N32" s="27"/>
      <c r="O32" s="27"/>
      <c r="P32" s="27"/>
      <c r="Q32" s="27"/>
      <c r="R32" s="27"/>
      <c r="S32" s="27"/>
      <c r="T32" s="27"/>
      <c r="U32" s="27"/>
      <c r="V32" s="29"/>
      <c r="W32" s="29"/>
      <c r="X32" s="26">
        <f t="shared" si="2"/>
        <v>309</v>
      </c>
      <c r="Y32" s="30"/>
      <c r="Z32" s="26">
        <f t="shared" si="3"/>
        <v>-309</v>
      </c>
      <c r="AA32" s="31"/>
      <c r="AB32" s="27"/>
    </row>
    <row r="33" spans="1:28" ht="30">
      <c r="A33" s="23" t="s">
        <v>115</v>
      </c>
      <c r="B33" s="24" t="s">
        <v>116</v>
      </c>
      <c r="C33" s="25" t="s">
        <v>117</v>
      </c>
      <c r="D33" s="26">
        <v>278</v>
      </c>
      <c r="E33" s="27"/>
      <c r="F33" s="27"/>
      <c r="G33" s="27"/>
      <c r="H33" s="27">
        <v>5</v>
      </c>
      <c r="I33" s="27"/>
      <c r="J33" s="27"/>
      <c r="K33" s="27"/>
      <c r="L33" s="27"/>
      <c r="M33" s="27">
        <v>25</v>
      </c>
      <c r="N33" s="27"/>
      <c r="O33" s="27">
        <f>35</f>
        <v>35</v>
      </c>
      <c r="P33" s="27"/>
      <c r="Q33" s="27"/>
      <c r="R33" s="27"/>
      <c r="S33" s="27"/>
      <c r="T33" s="27"/>
      <c r="U33" s="27"/>
      <c r="V33" s="29"/>
      <c r="W33" s="29"/>
      <c r="X33" s="26">
        <f t="shared" si="2"/>
        <v>213</v>
      </c>
      <c r="Y33" s="30"/>
      <c r="Z33" s="26">
        <f t="shared" si="3"/>
        <v>-213</v>
      </c>
      <c r="AA33" s="31"/>
      <c r="AB33" s="27"/>
    </row>
    <row r="34" spans="1:28" hidden="1">
      <c r="A34" s="39" t="s">
        <v>118</v>
      </c>
      <c r="B34" s="24" t="s">
        <v>119</v>
      </c>
      <c r="C34" s="25" t="s">
        <v>120</v>
      </c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9"/>
      <c r="W34" s="29"/>
      <c r="X34" s="26">
        <f t="shared" si="2"/>
        <v>0</v>
      </c>
      <c r="Y34" s="30"/>
      <c r="Z34" s="26">
        <f t="shared" si="3"/>
        <v>0</v>
      </c>
      <c r="AA34" s="31"/>
      <c r="AB34" s="27"/>
    </row>
    <row r="35" spans="1:28" hidden="1">
      <c r="A35" s="39" t="s">
        <v>121</v>
      </c>
      <c r="B35" s="24" t="s">
        <v>122</v>
      </c>
      <c r="C35" s="25" t="s">
        <v>123</v>
      </c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9"/>
      <c r="W35" s="29"/>
      <c r="X35" s="26">
        <f t="shared" si="2"/>
        <v>0</v>
      </c>
      <c r="Y35" s="30"/>
      <c r="Z35" s="26">
        <f t="shared" si="3"/>
        <v>0</v>
      </c>
      <c r="AA35" s="119" t="s">
        <v>124</v>
      </c>
      <c r="AB35" s="27"/>
    </row>
    <row r="36" spans="1:28" hidden="1">
      <c r="A36" s="39" t="s">
        <v>125</v>
      </c>
      <c r="B36" s="24" t="s">
        <v>126</v>
      </c>
      <c r="C36" s="25" t="s">
        <v>127</v>
      </c>
      <c r="D36" s="26"/>
      <c r="E36" s="27"/>
      <c r="F36" s="27"/>
      <c r="G36" s="27"/>
      <c r="H36" s="45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9"/>
      <c r="W36" s="29"/>
      <c r="X36" s="26">
        <f t="shared" si="2"/>
        <v>0</v>
      </c>
      <c r="Y36" s="30"/>
      <c r="Z36" s="26">
        <f t="shared" si="3"/>
        <v>0</v>
      </c>
      <c r="AA36" s="31"/>
      <c r="AB36" s="27"/>
    </row>
    <row r="37" spans="1:28" hidden="1">
      <c r="A37" s="39" t="s">
        <v>128</v>
      </c>
      <c r="B37" s="24" t="s">
        <v>129</v>
      </c>
      <c r="C37" s="25" t="s">
        <v>130</v>
      </c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9"/>
      <c r="W37" s="29"/>
      <c r="X37" s="26">
        <f t="shared" si="2"/>
        <v>0</v>
      </c>
      <c r="Y37" s="30"/>
      <c r="Z37" s="26">
        <f t="shared" si="3"/>
        <v>0</v>
      </c>
      <c r="AA37" s="31"/>
      <c r="AB37" s="27"/>
    </row>
    <row r="38" spans="1:28" hidden="1">
      <c r="A38" s="39" t="s">
        <v>131</v>
      </c>
      <c r="B38" s="24" t="s">
        <v>132</v>
      </c>
      <c r="C38" s="25" t="s">
        <v>133</v>
      </c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9"/>
      <c r="W38" s="29"/>
      <c r="X38" s="26">
        <f t="shared" si="2"/>
        <v>0</v>
      </c>
      <c r="Y38" s="30"/>
      <c r="Z38" s="26">
        <f t="shared" si="3"/>
        <v>0</v>
      </c>
      <c r="AA38" s="31"/>
      <c r="AB38" s="27"/>
    </row>
    <row r="39" spans="1:28" hidden="1">
      <c r="A39" s="39" t="s">
        <v>134</v>
      </c>
      <c r="B39" s="24" t="s">
        <v>135</v>
      </c>
      <c r="C39" s="25" t="s">
        <v>136</v>
      </c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9"/>
      <c r="W39" s="29"/>
      <c r="X39" s="26">
        <f t="shared" si="2"/>
        <v>0</v>
      </c>
      <c r="Y39" s="30"/>
      <c r="Z39" s="26">
        <f t="shared" si="3"/>
        <v>0</v>
      </c>
      <c r="AA39" s="31"/>
      <c r="AB39" s="27"/>
    </row>
    <row r="40" spans="1:28" hidden="1">
      <c r="A40" s="23" t="s">
        <v>137</v>
      </c>
      <c r="B40" s="24" t="s">
        <v>138</v>
      </c>
      <c r="C40" s="25" t="s">
        <v>139</v>
      </c>
      <c r="D40" s="26"/>
      <c r="E40" s="27"/>
      <c r="F40" s="27"/>
      <c r="G40" s="27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6">
        <f t="shared" si="2"/>
        <v>0</v>
      </c>
      <c r="Y40" s="30"/>
      <c r="Z40" s="26">
        <f t="shared" si="3"/>
        <v>0</v>
      </c>
      <c r="AA40" s="31"/>
      <c r="AB40" s="27"/>
    </row>
    <row r="41" spans="1:28" hidden="1">
      <c r="A41" s="23" t="s">
        <v>140</v>
      </c>
      <c r="B41" s="24" t="s">
        <v>141</v>
      </c>
      <c r="C41" s="25" t="s">
        <v>142</v>
      </c>
      <c r="D41" s="26"/>
      <c r="E41" s="27"/>
      <c r="F41" s="27"/>
      <c r="G41" s="27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6">
        <f t="shared" si="2"/>
        <v>0</v>
      </c>
      <c r="Y41" s="30"/>
      <c r="Z41" s="26">
        <f t="shared" si="3"/>
        <v>0</v>
      </c>
      <c r="AA41" s="31"/>
      <c r="AB41" s="27"/>
    </row>
    <row r="42" spans="1:28" hidden="1">
      <c r="A42" s="23" t="s">
        <v>143</v>
      </c>
      <c r="B42" s="24" t="s">
        <v>144</v>
      </c>
      <c r="C42" s="25" t="s">
        <v>145</v>
      </c>
      <c r="D42" s="26"/>
      <c r="E42" s="27"/>
      <c r="F42" s="27"/>
      <c r="G42" s="27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6">
        <f t="shared" si="2"/>
        <v>0</v>
      </c>
      <c r="Y42" s="30"/>
      <c r="Z42" s="26">
        <f t="shared" si="3"/>
        <v>0</v>
      </c>
      <c r="AA42" s="31"/>
      <c r="AB42" s="27"/>
    </row>
    <row r="43" spans="1:28" hidden="1">
      <c r="A43" s="23" t="s">
        <v>146</v>
      </c>
      <c r="B43" s="24" t="s">
        <v>147</v>
      </c>
      <c r="C43" s="39" t="s">
        <v>130</v>
      </c>
      <c r="D43" s="26"/>
      <c r="E43" s="27"/>
      <c r="F43" s="38"/>
      <c r="G43" s="38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6">
        <f t="shared" si="2"/>
        <v>0</v>
      </c>
      <c r="Y43" s="30"/>
      <c r="Z43" s="26">
        <f t="shared" si="3"/>
        <v>0</v>
      </c>
      <c r="AA43" s="119" t="s">
        <v>148</v>
      </c>
      <c r="AB43" s="27"/>
    </row>
    <row r="44" spans="1:28" hidden="1">
      <c r="A44" s="46" t="s">
        <v>149</v>
      </c>
      <c r="B44" s="47" t="s">
        <v>150</v>
      </c>
      <c r="C44" s="48" t="s">
        <v>151</v>
      </c>
      <c r="D44" s="26"/>
      <c r="E44" s="49"/>
      <c r="F44" s="50"/>
      <c r="G44" s="50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26">
        <f t="shared" si="2"/>
        <v>0</v>
      </c>
      <c r="Y44" s="52"/>
      <c r="Z44" s="50">
        <f t="shared" si="3"/>
        <v>0</v>
      </c>
      <c r="AA44" s="49"/>
      <c r="AB44" s="53"/>
    </row>
    <row r="45" spans="1:28" hidden="1">
      <c r="A45" s="46" t="s">
        <v>152</v>
      </c>
      <c r="B45" s="47" t="s">
        <v>153</v>
      </c>
      <c r="C45" s="48" t="s">
        <v>154</v>
      </c>
      <c r="D45" s="26"/>
      <c r="E45" s="54"/>
      <c r="F45" s="55"/>
      <c r="G45" s="55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26">
        <f t="shared" si="2"/>
        <v>0</v>
      </c>
      <c r="Y45" s="52"/>
      <c r="Z45" s="50">
        <f t="shared" si="3"/>
        <v>0</v>
      </c>
      <c r="AA45" s="49"/>
      <c r="AB45" s="53"/>
    </row>
    <row r="46" spans="1:28">
      <c r="B46" s="56" t="s">
        <v>155</v>
      </c>
      <c r="C46" s="57"/>
      <c r="D46" s="58">
        <v>27440</v>
      </c>
      <c r="E46" s="59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>
        <f>X2+X3+X4+X5+X12+X44+X45</f>
        <v>18385</v>
      </c>
      <c r="Y46" s="58"/>
      <c r="Z46" s="58">
        <f>Z2+Z3+Z4+Z5+Z12+Z44+Z45</f>
        <v>-18385</v>
      </c>
      <c r="AA46" s="58">
        <f>AA2+AA3+AA4+AA5+AA12+AA44+AA45</f>
        <v>0</v>
      </c>
      <c r="AB46" s="58"/>
    </row>
    <row r="47" spans="1:28">
      <c r="D47" s="60"/>
      <c r="X47" s="60"/>
      <c r="Y47" s="61"/>
      <c r="Z47" s="61"/>
    </row>
    <row r="48" spans="1:28" s="2" customFormat="1">
      <c r="D48" s="62"/>
      <c r="E48" s="63"/>
      <c r="W48" s="64"/>
      <c r="X48" s="62"/>
      <c r="Y48" s="65"/>
      <c r="Z48" s="65"/>
      <c r="AA48" s="64"/>
    </row>
    <row r="49" spans="1:28" s="2" customFormat="1">
      <c r="D49" s="62"/>
      <c r="E49" s="63"/>
      <c r="W49" s="64"/>
      <c r="X49" s="62"/>
      <c r="Y49" s="65"/>
      <c r="Z49" s="65"/>
      <c r="AA49" s="64"/>
    </row>
    <row r="50" spans="1:28" s="2" customFormat="1" ht="21.75" customHeight="1">
      <c r="D50" s="62"/>
      <c r="E50" s="63"/>
      <c r="W50" s="64"/>
      <c r="X50" s="62"/>
      <c r="Y50" s="65"/>
      <c r="Z50" s="65"/>
      <c r="AA50" s="64"/>
    </row>
    <row r="51" spans="1:28" s="3" customFormat="1" ht="21" customHeight="1">
      <c r="B51" s="66" t="s">
        <v>156</v>
      </c>
      <c r="E51" s="67"/>
      <c r="W51" s="68"/>
      <c r="Y51" s="68"/>
      <c r="Z51" s="68"/>
      <c r="AA51" s="68"/>
    </row>
    <row r="52" spans="1:28">
      <c r="A52" s="23"/>
      <c r="B52" s="24" t="s">
        <v>157</v>
      </c>
      <c r="C52" s="25" t="s">
        <v>29</v>
      </c>
      <c r="D52" s="30">
        <v>1608</v>
      </c>
      <c r="E52" s="27"/>
      <c r="F52" s="27"/>
      <c r="G52" s="27"/>
      <c r="H52" s="69">
        <f>32+6+117</f>
        <v>155</v>
      </c>
      <c r="I52" s="29"/>
      <c r="J52" s="29">
        <f>2+5</f>
        <v>7</v>
      </c>
      <c r="K52" s="29"/>
      <c r="L52" s="70">
        <f>1+5+18</f>
        <v>24</v>
      </c>
      <c r="M52" s="70">
        <f>114+12</f>
        <v>126</v>
      </c>
      <c r="N52" s="70"/>
      <c r="O52" s="29">
        <f>5</f>
        <v>5</v>
      </c>
      <c r="P52" s="29"/>
      <c r="Q52" s="29"/>
      <c r="R52" s="29"/>
      <c r="S52" s="29"/>
      <c r="T52" s="29">
        <v>3</v>
      </c>
      <c r="U52" s="29"/>
      <c r="V52" s="29"/>
      <c r="W52" s="29"/>
      <c r="X52" s="26">
        <f t="shared" ref="X52:X93" si="4">D52+E52+F52+G52-Q52-P52-N52-M52-L52-J52-O52-H52-I52-K52-R52-S52-T52-U52-V52+W52</f>
        <v>1288</v>
      </c>
      <c r="Y52" s="30"/>
      <c r="Z52" s="26">
        <f t="shared" ref="Z52:Z68" si="5">Y52-X52</f>
        <v>-1288</v>
      </c>
      <c r="AA52" s="31"/>
      <c r="AB52" s="27"/>
    </row>
    <row r="53" spans="1:28">
      <c r="A53" s="23"/>
      <c r="B53" s="24" t="s">
        <v>158</v>
      </c>
      <c r="C53" s="25"/>
      <c r="D53" s="71">
        <v>522</v>
      </c>
      <c r="E53" s="27"/>
      <c r="F53" s="27"/>
      <c r="G53" s="27"/>
      <c r="H53" s="29">
        <f>50+3+15</f>
        <v>68</v>
      </c>
      <c r="I53" s="29"/>
      <c r="J53" s="29">
        <f>1+4+1</f>
        <v>6</v>
      </c>
      <c r="K53" s="29"/>
      <c r="L53" s="70">
        <f>11+2+1</f>
        <v>14</v>
      </c>
      <c r="M53" s="70">
        <f>31+18</f>
        <v>49</v>
      </c>
      <c r="N53" s="70"/>
      <c r="O53" s="29">
        <f>4+1</f>
        <v>5</v>
      </c>
      <c r="P53" s="29"/>
      <c r="Q53" s="29"/>
      <c r="R53" s="29"/>
      <c r="S53" s="29"/>
      <c r="T53" s="29"/>
      <c r="U53" s="29"/>
      <c r="V53" s="29"/>
      <c r="W53" s="29"/>
      <c r="X53" s="26">
        <f t="shared" si="4"/>
        <v>380</v>
      </c>
      <c r="Y53" s="71"/>
      <c r="Z53" s="26">
        <f t="shared" si="5"/>
        <v>-380</v>
      </c>
      <c r="AA53" s="119" t="s">
        <v>230</v>
      </c>
      <c r="AB53" s="27"/>
    </row>
    <row r="54" spans="1:28">
      <c r="A54" s="23"/>
      <c r="B54" s="24" t="s">
        <v>159</v>
      </c>
      <c r="C54" s="25"/>
      <c r="D54" s="30">
        <v>1443</v>
      </c>
      <c r="E54" s="27"/>
      <c r="F54" s="27"/>
      <c r="G54" s="27"/>
      <c r="H54" s="29">
        <f>20</f>
        <v>20</v>
      </c>
      <c r="I54" s="29"/>
      <c r="J54" s="29"/>
      <c r="K54" s="29"/>
      <c r="L54" s="70">
        <v>5</v>
      </c>
      <c r="M54" s="70">
        <v>5</v>
      </c>
      <c r="N54" s="70"/>
      <c r="O54" s="29"/>
      <c r="P54" s="29"/>
      <c r="Q54" s="29"/>
      <c r="R54" s="29"/>
      <c r="S54" s="29">
        <v>50</v>
      </c>
      <c r="T54" s="29"/>
      <c r="U54" s="29"/>
      <c r="V54" s="29"/>
      <c r="W54" s="29"/>
      <c r="X54" s="26">
        <f t="shared" si="4"/>
        <v>1363</v>
      </c>
      <c r="Y54" s="30"/>
      <c r="Z54" s="26">
        <f t="shared" si="5"/>
        <v>-1363</v>
      </c>
      <c r="AA54" s="31"/>
      <c r="AB54" s="27"/>
    </row>
    <row r="55" spans="1:28">
      <c r="A55" s="23"/>
      <c r="B55" s="24" t="s">
        <v>160</v>
      </c>
      <c r="C55" s="25" t="s">
        <v>32</v>
      </c>
      <c r="D55" s="30">
        <v>1184</v>
      </c>
      <c r="E55" s="27"/>
      <c r="F55" s="27"/>
      <c r="G55" s="27"/>
      <c r="H55" s="29">
        <v>12</v>
      </c>
      <c r="I55" s="29"/>
      <c r="J55" s="29"/>
      <c r="K55" s="29"/>
      <c r="L55" s="70">
        <f>6</f>
        <v>6</v>
      </c>
      <c r="M55" s="70">
        <f>5+55+18</f>
        <v>78</v>
      </c>
      <c r="N55" s="70"/>
      <c r="O55" s="29">
        <f>6</f>
        <v>6</v>
      </c>
      <c r="P55" s="29"/>
      <c r="Q55" s="29"/>
      <c r="R55" s="29"/>
      <c r="S55" s="29"/>
      <c r="T55" s="29">
        <v>3</v>
      </c>
      <c r="U55" s="29">
        <v>1</v>
      </c>
      <c r="V55" s="29"/>
      <c r="W55" s="29"/>
      <c r="X55" s="26">
        <f t="shared" si="4"/>
        <v>1078</v>
      </c>
      <c r="Y55" s="30"/>
      <c r="Z55" s="26">
        <f t="shared" si="5"/>
        <v>-1078</v>
      </c>
      <c r="AA55" s="31"/>
      <c r="AB55" s="27"/>
    </row>
    <row r="56" spans="1:28" s="4" customFormat="1">
      <c r="A56" s="72"/>
      <c r="B56" s="33" t="s">
        <v>161</v>
      </c>
      <c r="C56" s="34" t="s">
        <v>35</v>
      </c>
      <c r="D56" s="73">
        <v>599</v>
      </c>
      <c r="E56" s="37"/>
      <c r="F56" s="37"/>
      <c r="G56" s="37"/>
      <c r="H56" s="36">
        <f>5</f>
        <v>5</v>
      </c>
      <c r="I56" s="36"/>
      <c r="J56" s="36"/>
      <c r="K56" s="36"/>
      <c r="L56" s="74"/>
      <c r="M56" s="74"/>
      <c r="N56" s="74"/>
      <c r="O56" s="36"/>
      <c r="P56" s="36"/>
      <c r="Q56" s="36"/>
      <c r="R56" s="36"/>
      <c r="S56" s="36"/>
      <c r="T56" s="36"/>
      <c r="U56" s="36"/>
      <c r="V56" s="36"/>
      <c r="W56" s="36"/>
      <c r="X56" s="26">
        <f t="shared" si="4"/>
        <v>594</v>
      </c>
      <c r="Y56" s="73"/>
      <c r="Z56" s="26">
        <f t="shared" si="5"/>
        <v>-594</v>
      </c>
      <c r="AA56" s="75"/>
      <c r="AB56" s="37"/>
    </row>
    <row r="57" spans="1:28" s="4" customFormat="1">
      <c r="A57" s="76"/>
      <c r="B57" s="33" t="s">
        <v>162</v>
      </c>
      <c r="C57" s="34"/>
      <c r="D57" s="77">
        <v>1473</v>
      </c>
      <c r="E57" s="37"/>
      <c r="F57" s="35"/>
      <c r="G57" s="35"/>
      <c r="H57" s="35"/>
      <c r="I57" s="35"/>
      <c r="J57" s="35"/>
      <c r="K57" s="35"/>
      <c r="L57" s="78"/>
      <c r="M57" s="78">
        <f>3</f>
        <v>3</v>
      </c>
      <c r="N57" s="78"/>
      <c r="O57" s="35"/>
      <c r="P57" s="35"/>
      <c r="Q57" s="35"/>
      <c r="R57" s="35"/>
      <c r="S57" s="35"/>
      <c r="T57" s="36"/>
      <c r="U57" s="35"/>
      <c r="V57" s="35"/>
      <c r="W57" s="36"/>
      <c r="X57" s="26">
        <f t="shared" si="4"/>
        <v>1470</v>
      </c>
      <c r="Y57" s="77"/>
      <c r="Z57" s="26">
        <f t="shared" si="5"/>
        <v>-1470</v>
      </c>
      <c r="AA57" s="36"/>
      <c r="AB57" s="37"/>
    </row>
    <row r="58" spans="1:28">
      <c r="A58" s="32"/>
      <c r="B58" s="24" t="s">
        <v>163</v>
      </c>
      <c r="C58" s="25"/>
      <c r="D58" s="26">
        <v>611</v>
      </c>
      <c r="E58" s="27"/>
      <c r="F58" s="79"/>
      <c r="G58" s="79"/>
      <c r="H58" s="29">
        <f>25+27+9+15+25</f>
        <v>101</v>
      </c>
      <c r="I58" s="29"/>
      <c r="J58" s="29"/>
      <c r="K58" s="29"/>
      <c r="L58" s="70">
        <f>15+2+12</f>
        <v>29</v>
      </c>
      <c r="M58" s="70">
        <f>72+75+20+42</f>
        <v>209</v>
      </c>
      <c r="N58" s="70"/>
      <c r="O58" s="29">
        <f>5</f>
        <v>5</v>
      </c>
      <c r="P58" s="29"/>
      <c r="Q58" s="29"/>
      <c r="R58" s="29"/>
      <c r="S58" s="29"/>
      <c r="T58" s="29">
        <v>3</v>
      </c>
      <c r="U58" s="29"/>
      <c r="V58" s="79"/>
      <c r="W58" s="29"/>
      <c r="X58" s="26">
        <f t="shared" si="4"/>
        <v>264</v>
      </c>
      <c r="Y58" s="26"/>
      <c r="Z58" s="38">
        <f t="shared" si="5"/>
        <v>-264</v>
      </c>
      <c r="AA58" s="29"/>
      <c r="AB58" s="27"/>
    </row>
    <row r="59" spans="1:28">
      <c r="A59" s="23"/>
      <c r="B59" s="24" t="s">
        <v>164</v>
      </c>
      <c r="C59" s="25"/>
      <c r="D59" s="71">
        <v>656</v>
      </c>
      <c r="E59" s="27"/>
      <c r="F59" s="27"/>
      <c r="G59" s="27"/>
      <c r="H59" s="29">
        <f>3+6+4</f>
        <v>13</v>
      </c>
      <c r="I59" s="29"/>
      <c r="J59" s="29"/>
      <c r="K59" s="29"/>
      <c r="L59" s="70">
        <f>1</f>
        <v>1</v>
      </c>
      <c r="M59" s="70">
        <f>18+8</f>
        <v>26</v>
      </c>
      <c r="N59" s="70"/>
      <c r="O59" s="29">
        <v>1</v>
      </c>
      <c r="P59" s="29"/>
      <c r="Q59" s="29"/>
      <c r="R59" s="29"/>
      <c r="S59" s="29"/>
      <c r="T59" s="29"/>
      <c r="U59" s="29"/>
      <c r="V59" s="29"/>
      <c r="W59" s="29"/>
      <c r="X59" s="26">
        <f t="shared" si="4"/>
        <v>615</v>
      </c>
      <c r="Y59" s="71"/>
      <c r="Z59" s="38">
        <f t="shared" si="5"/>
        <v>-615</v>
      </c>
      <c r="AA59" s="31"/>
      <c r="AB59" s="27"/>
    </row>
    <row r="60" spans="1:28">
      <c r="A60" s="23"/>
      <c r="B60" s="24" t="s">
        <v>165</v>
      </c>
      <c r="C60" s="25" t="s">
        <v>40</v>
      </c>
      <c r="D60" s="30">
        <v>69</v>
      </c>
      <c r="E60" s="27"/>
      <c r="F60" s="27"/>
      <c r="G60" s="27"/>
      <c r="H60" s="29">
        <f>1+8</f>
        <v>9</v>
      </c>
      <c r="I60" s="29"/>
      <c r="J60" s="29"/>
      <c r="K60" s="29"/>
      <c r="L60" s="70">
        <v>1</v>
      </c>
      <c r="M60" s="70">
        <f>3</f>
        <v>3</v>
      </c>
      <c r="N60" s="70"/>
      <c r="O60" s="29">
        <f>1</f>
        <v>1</v>
      </c>
      <c r="P60" s="29"/>
      <c r="Q60" s="29"/>
      <c r="R60" s="29"/>
      <c r="S60" s="29"/>
      <c r="T60" s="29">
        <v>1</v>
      </c>
      <c r="U60" s="29"/>
      <c r="V60" s="29"/>
      <c r="W60" s="27"/>
      <c r="X60" s="26">
        <f t="shared" si="4"/>
        <v>54</v>
      </c>
      <c r="Y60" s="30"/>
      <c r="Z60" s="38">
        <f t="shared" si="5"/>
        <v>-54</v>
      </c>
      <c r="AA60" s="31"/>
      <c r="AB60" s="27"/>
    </row>
    <row r="61" spans="1:28">
      <c r="A61" s="23"/>
      <c r="B61" s="24" t="s">
        <v>166</v>
      </c>
      <c r="C61" s="25" t="s">
        <v>167</v>
      </c>
      <c r="D61" s="30">
        <v>2</v>
      </c>
      <c r="E61" s="27"/>
      <c r="F61" s="27"/>
      <c r="G61" s="27"/>
      <c r="H61" s="29"/>
      <c r="I61" s="29"/>
      <c r="J61" s="29"/>
      <c r="K61" s="29"/>
      <c r="L61" s="70"/>
      <c r="M61" s="70"/>
      <c r="N61" s="70"/>
      <c r="O61" s="29"/>
      <c r="P61" s="29"/>
      <c r="Q61" s="29"/>
      <c r="R61" s="29"/>
      <c r="S61" s="29"/>
      <c r="T61" s="29"/>
      <c r="U61" s="29"/>
      <c r="V61" s="29"/>
      <c r="W61" s="29"/>
      <c r="X61" s="26">
        <f t="shared" si="4"/>
        <v>2</v>
      </c>
      <c r="Y61" s="30"/>
      <c r="Z61" s="26">
        <f t="shared" si="5"/>
        <v>-2</v>
      </c>
      <c r="AA61" s="31"/>
      <c r="AB61" s="27"/>
    </row>
    <row r="62" spans="1:28">
      <c r="A62" s="23"/>
      <c r="B62" s="24" t="s">
        <v>168</v>
      </c>
      <c r="C62" s="25" t="s">
        <v>169</v>
      </c>
      <c r="D62" s="30">
        <v>62</v>
      </c>
      <c r="E62" s="27"/>
      <c r="F62" s="27"/>
      <c r="G62" s="27"/>
      <c r="H62" s="29">
        <f>5+1</f>
        <v>6</v>
      </c>
      <c r="I62" s="29"/>
      <c r="J62" s="29"/>
      <c r="K62" s="29"/>
      <c r="L62" s="70"/>
      <c r="M62" s="70">
        <f>6+2</f>
        <v>8</v>
      </c>
      <c r="N62" s="70"/>
      <c r="O62" s="29"/>
      <c r="P62" s="29"/>
      <c r="Q62" s="29"/>
      <c r="R62" s="29"/>
      <c r="S62" s="29"/>
      <c r="T62" s="29"/>
      <c r="U62" s="29"/>
      <c r="V62" s="29"/>
      <c r="W62" s="29"/>
      <c r="X62" s="26">
        <f t="shared" si="4"/>
        <v>48</v>
      </c>
      <c r="Y62" s="30"/>
      <c r="Z62" s="26">
        <f t="shared" si="5"/>
        <v>-48</v>
      </c>
      <c r="AA62" s="31"/>
      <c r="AB62" s="27"/>
    </row>
    <row r="63" spans="1:28">
      <c r="A63" s="23"/>
      <c r="B63" s="80" t="s">
        <v>170</v>
      </c>
      <c r="C63" s="25" t="s">
        <v>38</v>
      </c>
      <c r="D63" s="30">
        <v>43</v>
      </c>
      <c r="E63" s="27">
        <v>200</v>
      </c>
      <c r="F63" s="27"/>
      <c r="G63" s="27"/>
      <c r="H63" s="29">
        <f>11+10+8</f>
        <v>29</v>
      </c>
      <c r="I63" s="29"/>
      <c r="J63" s="29"/>
      <c r="K63" s="29"/>
      <c r="L63" s="70">
        <f>4+4</f>
        <v>8</v>
      </c>
      <c r="M63" s="70">
        <f>14+18+8+4</f>
        <v>44</v>
      </c>
      <c r="N63" s="70"/>
      <c r="O63" s="69"/>
      <c r="P63" s="29"/>
      <c r="Q63" s="29"/>
      <c r="R63" s="29"/>
      <c r="S63" s="29">
        <v>50</v>
      </c>
      <c r="T63" s="29">
        <v>1</v>
      </c>
      <c r="U63" s="29"/>
      <c r="V63" s="29"/>
      <c r="W63" s="27"/>
      <c r="X63" s="26">
        <f t="shared" si="4"/>
        <v>111</v>
      </c>
      <c r="Y63" s="30"/>
      <c r="Z63" s="38">
        <f t="shared" si="5"/>
        <v>-111</v>
      </c>
      <c r="AA63" s="31"/>
      <c r="AB63" s="27"/>
    </row>
    <row r="64" spans="1:28">
      <c r="A64" s="23"/>
      <c r="B64" s="24" t="s">
        <v>171</v>
      </c>
      <c r="C64" s="25" t="s">
        <v>172</v>
      </c>
      <c r="D64" s="71">
        <v>37</v>
      </c>
      <c r="E64" s="27"/>
      <c r="F64" s="27"/>
      <c r="G64" s="27"/>
      <c r="H64" s="29">
        <f>1+5</f>
        <v>6</v>
      </c>
      <c r="I64" s="29"/>
      <c r="J64" s="29"/>
      <c r="K64" s="29"/>
      <c r="L64" s="70">
        <f>1</f>
        <v>1</v>
      </c>
      <c r="M64" s="81">
        <f>4+4</f>
        <v>8</v>
      </c>
      <c r="N64" s="70"/>
      <c r="O64" s="29"/>
      <c r="P64" s="29"/>
      <c r="Q64" s="29"/>
      <c r="R64" s="29"/>
      <c r="S64" s="29"/>
      <c r="T64" s="29">
        <v>1</v>
      </c>
      <c r="U64" s="29"/>
      <c r="V64" s="29"/>
      <c r="W64" s="79"/>
      <c r="X64" s="26">
        <f t="shared" si="4"/>
        <v>21</v>
      </c>
      <c r="Y64" s="71"/>
      <c r="Z64" s="38">
        <f t="shared" si="5"/>
        <v>-21</v>
      </c>
      <c r="AA64" s="31"/>
      <c r="AB64" s="27"/>
    </row>
    <row r="65" spans="1:28">
      <c r="A65" s="23"/>
      <c r="B65" s="24" t="s">
        <v>173</v>
      </c>
      <c r="C65" s="25" t="s">
        <v>174</v>
      </c>
      <c r="D65" s="71">
        <v>2819</v>
      </c>
      <c r="E65" s="27"/>
      <c r="F65" s="27"/>
      <c r="G65" s="27"/>
      <c r="H65" s="29">
        <f>4+5+1+11+1+8+6+88+2+4+250-2+1</f>
        <v>379</v>
      </c>
      <c r="I65" s="29"/>
      <c r="J65" s="29">
        <f>1</f>
        <v>1</v>
      </c>
      <c r="K65" s="29">
        <v>2</v>
      </c>
      <c r="L65" s="70">
        <f>1+5+374+4+100-2</f>
        <v>482</v>
      </c>
      <c r="M65" s="70">
        <f>6+4+40+6+1+14+4+7+11+75</f>
        <v>168</v>
      </c>
      <c r="N65" s="70"/>
      <c r="O65" s="29">
        <f>1+23</f>
        <v>24</v>
      </c>
      <c r="P65" s="29"/>
      <c r="Q65" s="29"/>
      <c r="R65" s="29"/>
      <c r="S65" s="29"/>
      <c r="T65" s="29">
        <v>3</v>
      </c>
      <c r="U65" s="29">
        <v>1</v>
      </c>
      <c r="V65" s="29"/>
      <c r="W65" s="29"/>
      <c r="X65" s="26">
        <f t="shared" si="4"/>
        <v>1759</v>
      </c>
      <c r="Y65" s="71"/>
      <c r="Z65" s="38">
        <f t="shared" si="5"/>
        <v>-1759</v>
      </c>
      <c r="AA65" s="31"/>
      <c r="AB65" s="27"/>
    </row>
    <row r="66" spans="1:28">
      <c r="A66" s="23"/>
      <c r="B66" s="82" t="s">
        <v>175</v>
      </c>
      <c r="C66" s="25"/>
      <c r="D66" s="71">
        <v>23186</v>
      </c>
      <c r="E66" s="27"/>
      <c r="F66" s="27"/>
      <c r="G66" s="27"/>
      <c r="H66" s="29">
        <f>18+5</f>
        <v>23</v>
      </c>
      <c r="I66" s="29"/>
      <c r="J66" s="29"/>
      <c r="K66" s="29"/>
      <c r="L66" s="70"/>
      <c r="M66" s="70"/>
      <c r="N66" s="70"/>
      <c r="O66" s="29"/>
      <c r="P66" s="29"/>
      <c r="Q66" s="29"/>
      <c r="R66" s="29"/>
      <c r="S66" s="29"/>
      <c r="T66" s="29"/>
      <c r="U66" s="29"/>
      <c r="V66" s="29"/>
      <c r="W66" s="29"/>
      <c r="X66" s="26">
        <f t="shared" si="4"/>
        <v>23163</v>
      </c>
      <c r="Y66" s="71"/>
      <c r="Z66" s="38">
        <f t="shared" si="5"/>
        <v>-23163</v>
      </c>
      <c r="AA66" s="31"/>
      <c r="AB66" s="27"/>
    </row>
    <row r="67" spans="1:28">
      <c r="A67" s="23"/>
      <c r="B67" s="24" t="s">
        <v>176</v>
      </c>
      <c r="C67" s="25"/>
      <c r="D67" s="71">
        <v>415</v>
      </c>
      <c r="E67" s="27"/>
      <c r="F67" s="27"/>
      <c r="G67" s="27"/>
      <c r="H67" s="29">
        <f>6+3+6-2</f>
        <v>13</v>
      </c>
      <c r="I67" s="29"/>
      <c r="J67" s="29"/>
      <c r="K67" s="29"/>
      <c r="L67" s="70">
        <f>3+1</f>
        <v>4</v>
      </c>
      <c r="M67" s="70">
        <f>11</f>
        <v>11</v>
      </c>
      <c r="N67" s="70"/>
      <c r="O67" s="29"/>
      <c r="P67" s="29"/>
      <c r="Q67" s="29"/>
      <c r="R67" s="29"/>
      <c r="S67" s="29">
        <v>11</v>
      </c>
      <c r="T67" s="29">
        <v>1</v>
      </c>
      <c r="U67" s="29"/>
      <c r="V67" s="29"/>
      <c r="W67" s="29"/>
      <c r="X67" s="26">
        <f t="shared" si="4"/>
        <v>375</v>
      </c>
      <c r="Y67" s="71"/>
      <c r="Z67" s="38">
        <f t="shared" si="5"/>
        <v>-375</v>
      </c>
      <c r="AA67" s="31"/>
      <c r="AB67" s="27"/>
    </row>
    <row r="68" spans="1:28">
      <c r="A68" s="23"/>
      <c r="B68" s="24" t="s">
        <v>177</v>
      </c>
      <c r="C68" s="25"/>
      <c r="D68" s="71">
        <v>88</v>
      </c>
      <c r="E68" s="27"/>
      <c r="F68" s="27"/>
      <c r="G68" s="27"/>
      <c r="H68" s="29">
        <v>14</v>
      </c>
      <c r="I68" s="29"/>
      <c r="J68" s="29"/>
      <c r="K68" s="29"/>
      <c r="L68" s="70">
        <v>41</v>
      </c>
      <c r="M68" s="70"/>
      <c r="N68" s="70"/>
      <c r="O68" s="29"/>
      <c r="P68" s="29"/>
      <c r="Q68" s="29"/>
      <c r="R68" s="29"/>
      <c r="S68" s="29"/>
      <c r="T68" s="29"/>
      <c r="U68" s="29"/>
      <c r="V68" s="29"/>
      <c r="W68" s="29"/>
      <c r="X68" s="26">
        <f t="shared" si="4"/>
        <v>33</v>
      </c>
      <c r="Y68" s="71"/>
      <c r="Z68" s="38">
        <f t="shared" si="5"/>
        <v>-33</v>
      </c>
      <c r="AA68" s="31"/>
      <c r="AB68" s="27"/>
    </row>
    <row r="69" spans="1:28" s="5" customFormat="1" ht="18.75" customHeight="1">
      <c r="A69" s="83"/>
      <c r="B69" s="84" t="s">
        <v>178</v>
      </c>
      <c r="C69" s="85"/>
      <c r="D69" s="86"/>
      <c r="E69" s="87"/>
      <c r="F69" s="87"/>
      <c r="G69" s="87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26">
        <f t="shared" si="4"/>
        <v>0</v>
      </c>
      <c r="Y69" s="86"/>
      <c r="Z69" s="89"/>
      <c r="AA69" s="90"/>
      <c r="AB69" s="87"/>
    </row>
    <row r="70" spans="1:28" ht="16.5">
      <c r="A70" s="23"/>
      <c r="B70" s="91" t="s">
        <v>179</v>
      </c>
      <c r="C70" s="25" t="s">
        <v>180</v>
      </c>
      <c r="D70" s="71">
        <v>243</v>
      </c>
      <c r="E70" s="27">
        <v>500</v>
      </c>
      <c r="F70" s="27"/>
      <c r="G70" s="27"/>
      <c r="H70" s="29">
        <f>110+12</f>
        <v>122</v>
      </c>
      <c r="I70" s="29"/>
      <c r="J70" s="29"/>
      <c r="K70" s="29"/>
      <c r="L70" s="29"/>
      <c r="M70" s="29">
        <f>3+150+12</f>
        <v>165</v>
      </c>
      <c r="N70" s="29"/>
      <c r="O70" s="29">
        <f>6</f>
        <v>6</v>
      </c>
      <c r="P70" s="29"/>
      <c r="Q70" s="29"/>
      <c r="R70" s="29"/>
      <c r="S70" s="29"/>
      <c r="T70" s="29">
        <v>3</v>
      </c>
      <c r="U70" s="29"/>
      <c r="V70" s="29"/>
      <c r="W70" s="29"/>
      <c r="X70" s="26">
        <f t="shared" si="4"/>
        <v>447</v>
      </c>
      <c r="Y70" s="71"/>
      <c r="Z70" s="26">
        <f t="shared" ref="Z70:Z76" si="6">Y70-X70</f>
        <v>-447</v>
      </c>
      <c r="AA70" s="31"/>
      <c r="AB70" s="27"/>
    </row>
    <row r="71" spans="1:28" ht="16.5">
      <c r="A71" s="23"/>
      <c r="B71" s="91" t="s">
        <v>181</v>
      </c>
      <c r="C71" s="25" t="s">
        <v>182</v>
      </c>
      <c r="D71" s="71">
        <v>221</v>
      </c>
      <c r="E71" s="27"/>
      <c r="F71" s="27"/>
      <c r="G71" s="27"/>
      <c r="H71" s="29"/>
      <c r="I71" s="29"/>
      <c r="J71" s="29"/>
      <c r="K71" s="29"/>
      <c r="L71" s="29"/>
      <c r="M71" s="29">
        <f>3</f>
        <v>3</v>
      </c>
      <c r="N71" s="29"/>
      <c r="O71" s="29"/>
      <c r="P71" s="29"/>
      <c r="Q71" s="29"/>
      <c r="R71" s="29"/>
      <c r="S71" s="29"/>
      <c r="T71" s="29">
        <v>3</v>
      </c>
      <c r="U71" s="29"/>
      <c r="V71" s="29"/>
      <c r="W71" s="29"/>
      <c r="X71" s="26">
        <f t="shared" si="4"/>
        <v>215</v>
      </c>
      <c r="Y71" s="71"/>
      <c r="Z71" s="26">
        <f t="shared" si="6"/>
        <v>-215</v>
      </c>
      <c r="AA71" s="31"/>
      <c r="AB71" s="27"/>
    </row>
    <row r="72" spans="1:28" ht="16.5">
      <c r="A72" s="23"/>
      <c r="B72" s="91" t="s">
        <v>183</v>
      </c>
      <c r="C72" s="25" t="s">
        <v>184</v>
      </c>
      <c r="D72" s="71">
        <v>807</v>
      </c>
      <c r="E72" s="27"/>
      <c r="F72" s="27"/>
      <c r="G72" s="27"/>
      <c r="H72" s="29">
        <f>20+5</f>
        <v>25</v>
      </c>
      <c r="I72" s="29"/>
      <c r="J72" s="29"/>
      <c r="K72" s="29"/>
      <c r="L72" s="29"/>
      <c r="M72" s="29">
        <v>5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6">
        <f t="shared" si="4"/>
        <v>777</v>
      </c>
      <c r="Y72" s="71"/>
      <c r="Z72" s="26">
        <f t="shared" si="6"/>
        <v>-777</v>
      </c>
      <c r="AA72" s="31"/>
      <c r="AB72" s="27"/>
    </row>
    <row r="73" spans="1:28" ht="16.5">
      <c r="A73" s="23"/>
      <c r="B73" s="91" t="s">
        <v>185</v>
      </c>
      <c r="C73" s="25"/>
      <c r="D73" s="71">
        <v>62</v>
      </c>
      <c r="E73" s="27"/>
      <c r="F73" s="27"/>
      <c r="G73" s="27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6">
        <f t="shared" si="4"/>
        <v>62</v>
      </c>
      <c r="Y73" s="71"/>
      <c r="Z73" s="26">
        <f t="shared" si="6"/>
        <v>-62</v>
      </c>
      <c r="AA73" s="31"/>
      <c r="AB73" s="27"/>
    </row>
    <row r="74" spans="1:28" ht="16.5">
      <c r="A74" s="23"/>
      <c r="B74" s="91" t="s">
        <v>186</v>
      </c>
      <c r="C74" s="25"/>
      <c r="D74" s="71">
        <v>381</v>
      </c>
      <c r="E74" s="27"/>
      <c r="F74" s="27"/>
      <c r="G74" s="27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6">
        <f t="shared" si="4"/>
        <v>381</v>
      </c>
      <c r="Y74" s="71"/>
      <c r="Z74" s="26">
        <f t="shared" si="6"/>
        <v>-381</v>
      </c>
      <c r="AA74" s="31"/>
      <c r="AB74" s="27"/>
    </row>
    <row r="75" spans="1:28" ht="16.5">
      <c r="A75" s="23"/>
      <c r="B75" s="91" t="s">
        <v>187</v>
      </c>
      <c r="C75" s="25" t="s">
        <v>188</v>
      </c>
      <c r="D75" s="71">
        <v>143</v>
      </c>
      <c r="E75" s="27"/>
      <c r="F75" s="27"/>
      <c r="G75" s="27"/>
      <c r="H75" s="29">
        <f>80</f>
        <v>80</v>
      </c>
      <c r="I75" s="29"/>
      <c r="J75" s="29"/>
      <c r="K75" s="29"/>
      <c r="L75" s="29"/>
      <c r="M75" s="29"/>
      <c r="N75" s="29"/>
      <c r="O75" s="69">
        <f>5</f>
        <v>5</v>
      </c>
      <c r="P75" s="29"/>
      <c r="Q75" s="29"/>
      <c r="R75" s="29"/>
      <c r="S75" s="29"/>
      <c r="T75" s="29">
        <v>3</v>
      </c>
      <c r="U75" s="29"/>
      <c r="V75" s="29"/>
      <c r="W75" s="29"/>
      <c r="X75" s="26">
        <f t="shared" si="4"/>
        <v>55</v>
      </c>
      <c r="Y75" s="71"/>
      <c r="Z75" s="26">
        <f t="shared" si="6"/>
        <v>-55</v>
      </c>
      <c r="AA75" s="31"/>
      <c r="AB75" s="27"/>
    </row>
    <row r="76" spans="1:28" ht="16.5">
      <c r="A76" s="23"/>
      <c r="B76" s="91" t="s">
        <v>189</v>
      </c>
      <c r="C76" s="25" t="s">
        <v>190</v>
      </c>
      <c r="D76" s="71">
        <v>137</v>
      </c>
      <c r="E76" s="27"/>
      <c r="F76" s="27"/>
      <c r="G76" s="27"/>
      <c r="H76" s="29">
        <f>4+21</f>
        <v>25</v>
      </c>
      <c r="I76" s="29"/>
      <c r="J76" s="29"/>
      <c r="K76" s="29"/>
      <c r="L76" s="29"/>
      <c r="M76" s="29">
        <v>8</v>
      </c>
      <c r="N76" s="29"/>
      <c r="O76" s="69">
        <v>13</v>
      </c>
      <c r="P76" s="29"/>
      <c r="Q76" s="29"/>
      <c r="R76" s="29"/>
      <c r="S76" s="29"/>
      <c r="T76" s="29"/>
      <c r="U76" s="29"/>
      <c r="V76" s="29"/>
      <c r="W76" s="29"/>
      <c r="X76" s="26">
        <f t="shared" si="4"/>
        <v>91</v>
      </c>
      <c r="Y76" s="71"/>
      <c r="Z76" s="26">
        <f t="shared" si="6"/>
        <v>-91</v>
      </c>
      <c r="AA76" s="31"/>
      <c r="AB76" s="27"/>
    </row>
    <row r="77" spans="1:28" s="6" customFormat="1" ht="20.25">
      <c r="A77" s="92"/>
      <c r="B77" s="93" t="s">
        <v>191</v>
      </c>
      <c r="C77" s="94"/>
      <c r="D77" s="95"/>
      <c r="E77" s="96"/>
      <c r="F77" s="96"/>
      <c r="G77" s="96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26">
        <f t="shared" si="4"/>
        <v>0</v>
      </c>
      <c r="Y77" s="95"/>
      <c r="Z77" s="98"/>
      <c r="AA77" s="99"/>
      <c r="AB77" s="96"/>
    </row>
    <row r="78" spans="1:28" ht="16.5">
      <c r="A78" s="23"/>
      <c r="B78" s="91" t="s">
        <v>192</v>
      </c>
      <c r="C78" s="25" t="s">
        <v>45</v>
      </c>
      <c r="D78" s="30">
        <v>996</v>
      </c>
      <c r="E78" s="27"/>
      <c r="F78" s="27"/>
      <c r="G78" s="27"/>
      <c r="H78" s="29">
        <f>20+28+18</f>
        <v>66</v>
      </c>
      <c r="I78" s="29"/>
      <c r="J78" s="29">
        <v>16</v>
      </c>
      <c r="K78" s="29"/>
      <c r="L78" s="29">
        <f>5+6</f>
        <v>11</v>
      </c>
      <c r="M78" s="70">
        <f>1+12</f>
        <v>13</v>
      </c>
      <c r="N78" s="70"/>
      <c r="O78" s="29"/>
      <c r="P78" s="29"/>
      <c r="Q78" s="29"/>
      <c r="R78" s="29"/>
      <c r="S78" s="29"/>
      <c r="T78" s="29">
        <v>3</v>
      </c>
      <c r="U78" s="29"/>
      <c r="V78" s="29"/>
      <c r="W78" s="29"/>
      <c r="X78" s="26">
        <f t="shared" si="4"/>
        <v>887</v>
      </c>
      <c r="Y78" s="30"/>
      <c r="Z78" s="26">
        <f t="shared" ref="Z78:Z90" si="7">Y78-X78</f>
        <v>-887</v>
      </c>
      <c r="AA78" s="31"/>
      <c r="AB78" s="27"/>
    </row>
    <row r="79" spans="1:28" ht="16.5">
      <c r="A79" s="23"/>
      <c r="B79" s="91" t="s">
        <v>193</v>
      </c>
      <c r="C79" s="25" t="s">
        <v>194</v>
      </c>
      <c r="D79" s="30">
        <v>356</v>
      </c>
      <c r="E79" s="27"/>
      <c r="F79" s="27"/>
      <c r="G79" s="27"/>
      <c r="H79" s="29"/>
      <c r="I79" s="29"/>
      <c r="J79" s="29"/>
      <c r="K79" s="29"/>
      <c r="L79" s="29"/>
      <c r="M79" s="70"/>
      <c r="N79" s="70"/>
      <c r="O79" s="29"/>
      <c r="P79" s="29"/>
      <c r="Q79" s="29"/>
      <c r="R79" s="29"/>
      <c r="S79" s="29"/>
      <c r="T79" s="29"/>
      <c r="U79" s="29"/>
      <c r="V79" s="29"/>
      <c r="W79" s="29"/>
      <c r="X79" s="26">
        <f t="shared" si="4"/>
        <v>356</v>
      </c>
      <c r="Y79" s="30"/>
      <c r="Z79" s="26">
        <f t="shared" si="7"/>
        <v>-356</v>
      </c>
      <c r="AA79" s="31"/>
      <c r="AB79" s="27"/>
    </row>
    <row r="80" spans="1:28" ht="16.5">
      <c r="A80" s="23"/>
      <c r="B80" s="100" t="s">
        <v>195</v>
      </c>
      <c r="C80" s="25"/>
      <c r="D80" s="30">
        <v>730</v>
      </c>
      <c r="E80" s="27"/>
      <c r="F80" s="27"/>
      <c r="G80" s="27"/>
      <c r="H80" s="29">
        <v>10</v>
      </c>
      <c r="I80" s="29"/>
      <c r="J80" s="29"/>
      <c r="K80" s="29"/>
      <c r="L80" s="29"/>
      <c r="M80" s="70">
        <v>305</v>
      </c>
      <c r="N80" s="70"/>
      <c r="O80" s="29"/>
      <c r="P80" s="29"/>
      <c r="Q80" s="29"/>
      <c r="R80" s="29"/>
      <c r="S80" s="29"/>
      <c r="T80" s="29"/>
      <c r="U80" s="29"/>
      <c r="V80" s="29"/>
      <c r="W80" s="29">
        <v>350</v>
      </c>
      <c r="X80" s="26">
        <f t="shared" si="4"/>
        <v>765</v>
      </c>
      <c r="Y80" s="30">
        <v>720</v>
      </c>
      <c r="Z80" s="26">
        <f t="shared" si="7"/>
        <v>-45</v>
      </c>
      <c r="AA80" s="31"/>
      <c r="AB80" s="27"/>
    </row>
    <row r="81" spans="1:30" ht="16.5">
      <c r="A81" s="23"/>
      <c r="B81" s="91" t="s">
        <v>196</v>
      </c>
      <c r="C81" s="25"/>
      <c r="D81" s="30">
        <v>356</v>
      </c>
      <c r="E81" s="27">
        <v>500</v>
      </c>
      <c r="F81" s="27"/>
      <c r="G81" s="27"/>
      <c r="H81" s="29"/>
      <c r="I81" s="29"/>
      <c r="J81" s="29"/>
      <c r="K81" s="29"/>
      <c r="L81" s="29"/>
      <c r="M81" s="70">
        <v>8</v>
      </c>
      <c r="N81" s="70"/>
      <c r="O81" s="29"/>
      <c r="P81" s="29"/>
      <c r="Q81" s="29"/>
      <c r="R81" s="29"/>
      <c r="S81" s="29"/>
      <c r="T81" s="29"/>
      <c r="U81" s="29"/>
      <c r="V81" s="29"/>
      <c r="W81" s="29">
        <v>-150</v>
      </c>
      <c r="X81" s="26">
        <f t="shared" si="4"/>
        <v>698</v>
      </c>
      <c r="Y81" s="30"/>
      <c r="Z81" s="26">
        <f t="shared" si="7"/>
        <v>-698</v>
      </c>
      <c r="AA81" s="31"/>
      <c r="AB81" s="27"/>
    </row>
    <row r="82" spans="1:30" ht="16.5">
      <c r="A82" s="23"/>
      <c r="B82" s="91" t="s">
        <v>197</v>
      </c>
      <c r="C82" s="25"/>
      <c r="D82" s="30">
        <v>1026</v>
      </c>
      <c r="E82" s="27"/>
      <c r="F82" s="27"/>
      <c r="G82" s="27"/>
      <c r="H82" s="29"/>
      <c r="I82" s="29"/>
      <c r="J82" s="29"/>
      <c r="K82" s="29"/>
      <c r="L82" s="29"/>
      <c r="M82" s="70">
        <f>4</f>
        <v>4</v>
      </c>
      <c r="N82" s="70"/>
      <c r="O82" s="29"/>
      <c r="P82" s="29"/>
      <c r="Q82" s="29"/>
      <c r="R82" s="29"/>
      <c r="S82" s="29"/>
      <c r="T82" s="29"/>
      <c r="U82" s="29"/>
      <c r="V82" s="29"/>
      <c r="W82" s="29">
        <v>-200</v>
      </c>
      <c r="X82" s="26">
        <f t="shared" si="4"/>
        <v>822</v>
      </c>
      <c r="Y82" s="30"/>
      <c r="Z82" s="26">
        <f t="shared" si="7"/>
        <v>-822</v>
      </c>
      <c r="AA82" s="31"/>
      <c r="AB82" s="27"/>
    </row>
    <row r="83" spans="1:30" ht="16.5">
      <c r="A83" s="23"/>
      <c r="B83" s="91" t="s">
        <v>198</v>
      </c>
      <c r="C83" s="25" t="s">
        <v>199</v>
      </c>
      <c r="D83" s="30">
        <v>194</v>
      </c>
      <c r="E83" s="27"/>
      <c r="F83" s="27"/>
      <c r="G83" s="27"/>
      <c r="H83" s="29">
        <f>6+103</f>
        <v>109</v>
      </c>
      <c r="I83" s="29"/>
      <c r="J83" s="29"/>
      <c r="K83" s="29"/>
      <c r="L83" s="29"/>
      <c r="M83" s="70"/>
      <c r="N83" s="70"/>
      <c r="O83" s="29"/>
      <c r="P83" s="29"/>
      <c r="Q83" s="29"/>
      <c r="R83" s="29"/>
      <c r="S83" s="29"/>
      <c r="T83" s="29"/>
      <c r="U83" s="29"/>
      <c r="V83" s="29"/>
      <c r="W83" s="29"/>
      <c r="X83" s="26">
        <f t="shared" si="4"/>
        <v>85</v>
      </c>
      <c r="Y83" s="30">
        <v>79</v>
      </c>
      <c r="Z83" s="26">
        <f t="shared" si="7"/>
        <v>-6</v>
      </c>
      <c r="AA83" s="31"/>
      <c r="AB83" s="27"/>
    </row>
    <row r="84" spans="1:30" ht="16.5" hidden="1">
      <c r="A84" s="23"/>
      <c r="B84" s="91" t="s">
        <v>200</v>
      </c>
      <c r="C84" s="25" t="s">
        <v>201</v>
      </c>
      <c r="D84" s="30"/>
      <c r="E84" s="27"/>
      <c r="F84" s="27"/>
      <c r="G84" s="27"/>
      <c r="H84" s="29"/>
      <c r="I84" s="29"/>
      <c r="J84" s="29"/>
      <c r="K84" s="29"/>
      <c r="L84" s="29"/>
      <c r="M84" s="70"/>
      <c r="N84" s="70"/>
      <c r="O84" s="29"/>
      <c r="P84" s="29"/>
      <c r="Q84" s="29"/>
      <c r="R84" s="29"/>
      <c r="S84" s="29"/>
      <c r="T84" s="29"/>
      <c r="U84" s="29"/>
      <c r="V84" s="29"/>
      <c r="W84" s="29"/>
      <c r="X84" s="26">
        <f t="shared" si="4"/>
        <v>0</v>
      </c>
      <c r="Y84" s="30"/>
      <c r="Z84" s="26">
        <f t="shared" si="7"/>
        <v>0</v>
      </c>
      <c r="AA84" s="31"/>
      <c r="AB84" s="27"/>
    </row>
    <row r="85" spans="1:30" ht="16.5">
      <c r="A85" s="23"/>
      <c r="B85" s="91" t="s">
        <v>202</v>
      </c>
      <c r="C85" s="25" t="s">
        <v>203</v>
      </c>
      <c r="D85" s="30">
        <v>430</v>
      </c>
      <c r="E85" s="27"/>
      <c r="F85" s="27"/>
      <c r="G85" s="27"/>
      <c r="H85" s="29">
        <f>9</f>
        <v>9</v>
      </c>
      <c r="I85" s="29"/>
      <c r="J85" s="29"/>
      <c r="K85" s="29"/>
      <c r="L85" s="29">
        <v>3</v>
      </c>
      <c r="M85" s="29">
        <f>6</f>
        <v>6</v>
      </c>
      <c r="N85" s="29"/>
      <c r="O85" s="29">
        <f>5+6</f>
        <v>11</v>
      </c>
      <c r="P85" s="29"/>
      <c r="Q85" s="29"/>
      <c r="R85" s="29"/>
      <c r="S85" s="29"/>
      <c r="T85" s="29">
        <v>1</v>
      </c>
      <c r="U85" s="29"/>
      <c r="V85" s="29"/>
      <c r="W85" s="29"/>
      <c r="X85" s="26">
        <f t="shared" si="4"/>
        <v>400</v>
      </c>
      <c r="Y85" s="30"/>
      <c r="Z85" s="26">
        <f t="shared" si="7"/>
        <v>-400</v>
      </c>
      <c r="AA85" s="31"/>
      <c r="AB85" s="27"/>
    </row>
    <row r="86" spans="1:30" ht="16.5" hidden="1">
      <c r="A86" s="23"/>
      <c r="B86" s="91" t="s">
        <v>204</v>
      </c>
      <c r="C86" s="25" t="s">
        <v>205</v>
      </c>
      <c r="D86" s="71"/>
      <c r="E86" s="27"/>
      <c r="F86" s="27"/>
      <c r="G86" s="27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6">
        <f t="shared" si="4"/>
        <v>0</v>
      </c>
      <c r="Y86" s="71"/>
      <c r="Z86" s="26">
        <f t="shared" si="7"/>
        <v>0</v>
      </c>
      <c r="AA86" s="31"/>
      <c r="AB86" s="27"/>
    </row>
    <row r="87" spans="1:30" ht="16.5">
      <c r="A87" s="23"/>
      <c r="B87" s="91" t="s">
        <v>206</v>
      </c>
      <c r="C87" s="25" t="s">
        <v>207</v>
      </c>
      <c r="D87" s="30">
        <v>39</v>
      </c>
      <c r="E87" s="27"/>
      <c r="F87" s="27"/>
      <c r="G87" s="27"/>
      <c r="H87" s="29">
        <f>5</f>
        <v>5</v>
      </c>
      <c r="I87" s="29"/>
      <c r="J87" s="29"/>
      <c r="K87" s="29"/>
      <c r="L87" s="29"/>
      <c r="M87" s="29">
        <v>4</v>
      </c>
      <c r="N87" s="29"/>
      <c r="O87" s="29"/>
      <c r="P87" s="29"/>
      <c r="Q87" s="29"/>
      <c r="R87" s="29"/>
      <c r="S87" s="29"/>
      <c r="T87" s="29">
        <v>3</v>
      </c>
      <c r="U87" s="29"/>
      <c r="V87" s="29"/>
      <c r="W87" s="29"/>
      <c r="X87" s="26">
        <f t="shared" si="4"/>
        <v>27</v>
      </c>
      <c r="Y87" s="30"/>
      <c r="Z87" s="26">
        <f t="shared" si="7"/>
        <v>-27</v>
      </c>
      <c r="AA87" s="31"/>
      <c r="AB87" s="27"/>
    </row>
    <row r="88" spans="1:30" ht="16.5" hidden="1">
      <c r="A88" s="23"/>
      <c r="B88" s="91" t="s">
        <v>208</v>
      </c>
      <c r="C88" s="39" t="s">
        <v>42</v>
      </c>
      <c r="D88" s="30"/>
      <c r="E88" s="27"/>
      <c r="F88" s="27"/>
      <c r="G88" s="27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6">
        <f t="shared" si="4"/>
        <v>0</v>
      </c>
      <c r="Y88" s="30"/>
      <c r="Z88" s="26">
        <f t="shared" si="7"/>
        <v>0</v>
      </c>
      <c r="AA88" s="31"/>
      <c r="AB88" s="27"/>
    </row>
    <row r="89" spans="1:30" ht="16.5">
      <c r="A89" s="23"/>
      <c r="B89" s="91" t="s">
        <v>209</v>
      </c>
      <c r="C89" s="39" t="s">
        <v>48</v>
      </c>
      <c r="D89" s="30">
        <v>313</v>
      </c>
      <c r="E89" s="27"/>
      <c r="F89" s="27"/>
      <c r="G89" s="27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6">
        <f t="shared" si="4"/>
        <v>313</v>
      </c>
      <c r="Y89" s="30"/>
      <c r="Z89" s="26">
        <f t="shared" si="7"/>
        <v>-313</v>
      </c>
      <c r="AA89" s="31"/>
      <c r="AB89" s="27"/>
    </row>
    <row r="90" spans="1:30" ht="16.5">
      <c r="A90" s="23"/>
      <c r="B90" s="91" t="s">
        <v>210</v>
      </c>
      <c r="C90" s="39" t="s">
        <v>52</v>
      </c>
      <c r="D90" s="30">
        <v>67</v>
      </c>
      <c r="E90" s="27"/>
      <c r="F90" s="27"/>
      <c r="G90" s="27"/>
      <c r="H90" s="69">
        <f>3</f>
        <v>3</v>
      </c>
      <c r="I90" s="29"/>
      <c r="J90" s="29"/>
      <c r="K90" s="29"/>
      <c r="L90" s="29"/>
      <c r="M90" s="29">
        <v>2</v>
      </c>
      <c r="N90" s="29"/>
      <c r="O90" s="29"/>
      <c r="P90" s="29"/>
      <c r="Q90" s="29"/>
      <c r="R90" s="29"/>
      <c r="S90" s="29"/>
      <c r="T90" s="29">
        <v>1</v>
      </c>
      <c r="U90" s="29"/>
      <c r="V90" s="29"/>
      <c r="W90" s="29"/>
      <c r="X90" s="26">
        <f t="shared" si="4"/>
        <v>61</v>
      </c>
      <c r="Y90" s="30">
        <v>57</v>
      </c>
      <c r="Z90" s="26">
        <f t="shared" si="7"/>
        <v>-4</v>
      </c>
      <c r="AA90" s="31"/>
      <c r="AB90" s="27"/>
    </row>
    <row r="91" spans="1:30" ht="16.5">
      <c r="A91" s="23"/>
      <c r="B91" s="101" t="s">
        <v>211</v>
      </c>
      <c r="C91" s="39"/>
      <c r="D91" s="30">
        <v>0</v>
      </c>
      <c r="E91" s="27"/>
      <c r="F91" s="27"/>
      <c r="G91" s="27"/>
      <c r="H91" s="7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6">
        <f t="shared" si="4"/>
        <v>0</v>
      </c>
      <c r="Y91" s="30"/>
      <c r="Z91" s="26"/>
      <c r="AA91" s="31"/>
      <c r="AB91" s="27"/>
    </row>
    <row r="92" spans="1:30" ht="16.5">
      <c r="A92" s="23"/>
      <c r="B92" s="102" t="s">
        <v>212</v>
      </c>
      <c r="C92" s="39"/>
      <c r="D92" s="30">
        <v>9</v>
      </c>
      <c r="E92" s="27"/>
      <c r="F92" s="27"/>
      <c r="G92" s="27"/>
      <c r="H92" s="29"/>
      <c r="I92" s="29"/>
      <c r="J92" s="29">
        <v>1</v>
      </c>
      <c r="K92" s="29"/>
      <c r="L92" s="29"/>
      <c r="M92" s="29"/>
      <c r="N92" s="29"/>
      <c r="O92" s="29">
        <f>1</f>
        <v>1</v>
      </c>
      <c r="P92" s="29"/>
      <c r="Q92" s="29"/>
      <c r="R92" s="29"/>
      <c r="S92" s="29"/>
      <c r="T92" s="29"/>
      <c r="U92" s="29"/>
      <c r="V92" s="29"/>
      <c r="W92" s="29"/>
      <c r="X92" s="26">
        <f t="shared" si="4"/>
        <v>7</v>
      </c>
      <c r="Y92" s="30"/>
      <c r="Z92" s="26">
        <f>Y92-X92</f>
        <v>-7</v>
      </c>
      <c r="AA92" s="31"/>
      <c r="AB92" s="27"/>
    </row>
    <row r="93" spans="1:30" ht="16.5">
      <c r="A93" s="23"/>
      <c r="B93" s="102" t="s">
        <v>213</v>
      </c>
      <c r="C93" s="39"/>
      <c r="D93" s="30">
        <v>10</v>
      </c>
      <c r="E93" s="27"/>
      <c r="F93" s="27"/>
      <c r="G93" s="27"/>
      <c r="H93" s="29">
        <v>1</v>
      </c>
      <c r="I93" s="29"/>
      <c r="J93" s="29"/>
      <c r="K93" s="29">
        <v>2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6">
        <f t="shared" si="4"/>
        <v>7</v>
      </c>
      <c r="Y93" s="30"/>
      <c r="Z93" s="26">
        <f>Y93-X93</f>
        <v>-7</v>
      </c>
      <c r="AA93" s="31"/>
      <c r="AB93" s="27"/>
    </row>
    <row r="94" spans="1:30" s="7" customFormat="1">
      <c r="A94" s="103"/>
      <c r="B94" s="56"/>
      <c r="C94" s="104"/>
      <c r="D94" s="105"/>
      <c r="E94" s="106"/>
      <c r="F94" s="106"/>
      <c r="G94" s="106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5"/>
      <c r="Z94" s="108"/>
      <c r="AA94" s="109"/>
      <c r="AB94" s="106"/>
    </row>
    <row r="95" spans="1:30">
      <c r="D95" s="11"/>
      <c r="U95" s="11"/>
      <c r="X95" s="26">
        <f>D95+E95+F95+G95-Q95-P95-N95-M95-L95-J95-O95-H95-I95-K95-S95-T95-U95-V95+W95</f>
        <v>0</v>
      </c>
      <c r="Z95" s="9"/>
      <c r="AA95" s="9"/>
    </row>
    <row r="96" spans="1:30" s="8" customFormat="1" ht="20.25">
      <c r="A96" s="110"/>
      <c r="B96" s="111" t="s">
        <v>214</v>
      </c>
      <c r="C96" s="112"/>
      <c r="D96" s="113"/>
      <c r="E96" s="114"/>
      <c r="F96" s="114"/>
      <c r="G96" s="114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5"/>
      <c r="AA96" s="116"/>
      <c r="AB96" s="115"/>
      <c r="AC96" s="117"/>
      <c r="AD96" s="114"/>
    </row>
    <row r="97" spans="1:30" ht="16.5">
      <c r="A97" s="23"/>
      <c r="B97" s="91" t="s">
        <v>215</v>
      </c>
      <c r="C97" s="25" t="s">
        <v>45</v>
      </c>
      <c r="D97" s="29">
        <v>1</v>
      </c>
      <c r="E97" s="27"/>
      <c r="F97" s="27"/>
      <c r="G97" s="27"/>
      <c r="H97" s="79"/>
      <c r="I97" s="29"/>
      <c r="J97" s="29"/>
      <c r="K97" s="29"/>
      <c r="L97" s="29"/>
      <c r="M97" s="70"/>
      <c r="N97" s="70"/>
      <c r="O97" s="29"/>
      <c r="P97" s="29"/>
      <c r="Q97" s="29"/>
      <c r="R97" s="29"/>
      <c r="S97" s="29"/>
      <c r="T97" s="29"/>
      <c r="U97" s="29"/>
      <c r="V97" s="29"/>
      <c r="W97" s="29"/>
      <c r="X97" s="26">
        <f>D97+E97+F97+G97-Q97-P97-N97-M97-L97-J97-O97-H97-I97-K97-R97-S97-T97-U97-V97+W97</f>
        <v>1</v>
      </c>
      <c r="Y97" s="29"/>
      <c r="Z97" s="26">
        <f>Y97-X97</f>
        <v>-1</v>
      </c>
      <c r="AA97" s="30"/>
      <c r="AB97" s="27"/>
      <c r="AC97" s="31"/>
      <c r="AD97" s="27"/>
    </row>
    <row r="98" spans="1:30" ht="16.5">
      <c r="A98" s="23"/>
      <c r="B98" s="91" t="s">
        <v>216</v>
      </c>
      <c r="C98" s="25" t="s">
        <v>194</v>
      </c>
      <c r="D98" s="29">
        <v>54</v>
      </c>
      <c r="E98" s="27">
        <v>48</v>
      </c>
      <c r="F98" s="27"/>
      <c r="G98" s="27"/>
      <c r="H98" s="29">
        <v>24</v>
      </c>
      <c r="I98" s="29"/>
      <c r="J98" s="29"/>
      <c r="K98" s="29"/>
      <c r="L98" s="29"/>
      <c r="M98" s="70"/>
      <c r="N98" s="70"/>
      <c r="O98" s="29"/>
      <c r="P98" s="29">
        <v>6</v>
      </c>
      <c r="Q98" s="29">
        <v>3</v>
      </c>
      <c r="R98" s="29"/>
      <c r="S98" s="29"/>
      <c r="T98" s="29"/>
      <c r="U98" s="29"/>
      <c r="V98" s="29"/>
      <c r="W98" s="29"/>
      <c r="X98" s="26">
        <f>D98+E98+F98+G98-Q98-P98-N98-M98-L98-J98-O98-H98-I98-K98-R98-S98-T98-U98-V98+W98</f>
        <v>69</v>
      </c>
      <c r="Y98" s="29"/>
      <c r="Z98" s="26">
        <f>Y98-X98</f>
        <v>-69</v>
      </c>
      <c r="AA98" s="30"/>
      <c r="AB98" s="27"/>
      <c r="AC98" s="31"/>
      <c r="AD98" s="27"/>
    </row>
    <row r="99" spans="1:30">
      <c r="A99" s="103"/>
      <c r="B99" s="56"/>
      <c r="C99" s="104"/>
      <c r="D99" s="107"/>
      <c r="E99" s="106"/>
      <c r="F99" s="106"/>
      <c r="G99" s="106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18"/>
      <c r="AA99" s="105"/>
      <c r="AB99" s="108"/>
      <c r="AC99" s="109"/>
      <c r="AD99" s="106"/>
    </row>
    <row r="100" spans="1:30">
      <c r="D100" s="11"/>
      <c r="X100" s="26">
        <f>D100+E100+F100+G100-Q100-P100-N100-M100-L100-J100-O100-H100-I100-K100-R100-S100-T100-U100-V100+W100</f>
        <v>0</v>
      </c>
    </row>
    <row r="101" spans="1:30" s="8" customFormat="1" ht="20.25">
      <c r="A101" s="110"/>
      <c r="B101" s="111" t="s">
        <v>217</v>
      </c>
      <c r="C101" s="112"/>
      <c r="D101" s="113"/>
      <c r="E101" s="114"/>
      <c r="F101" s="114"/>
      <c r="G101" s="114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26">
        <f t="shared" ref="X101:X113" si="8">D101+E101+F101+G101-Q101-P101-N101-M101-L101-J101-O101-H101-I101-K101-R101-S101-T101-U101-V101+W101</f>
        <v>0</v>
      </c>
      <c r="Y101" s="113"/>
      <c r="Z101" s="115"/>
      <c r="AA101" s="116"/>
      <c r="AB101" s="115"/>
      <c r="AC101" s="117"/>
      <c r="AD101" s="114"/>
    </row>
    <row r="102" spans="1:30" ht="16.5">
      <c r="A102" s="23"/>
      <c r="B102" s="91" t="s">
        <v>218</v>
      </c>
      <c r="C102" s="25" t="s">
        <v>45</v>
      </c>
      <c r="D102" s="29">
        <v>234</v>
      </c>
      <c r="E102" s="27"/>
      <c r="F102" s="27"/>
      <c r="G102" s="27"/>
      <c r="H102" s="29">
        <v>15</v>
      </c>
      <c r="I102" s="29"/>
      <c r="J102" s="29"/>
      <c r="K102" s="29"/>
      <c r="L102" s="29"/>
      <c r="M102" s="70">
        <v>60</v>
      </c>
      <c r="N102" s="70"/>
      <c r="O102" s="29"/>
      <c r="P102" s="29"/>
      <c r="Q102" s="29"/>
      <c r="R102" s="29"/>
      <c r="S102" s="29"/>
      <c r="T102" s="29">
        <v>2</v>
      </c>
      <c r="U102" s="29"/>
      <c r="V102" s="29"/>
      <c r="W102" s="29"/>
      <c r="X102" s="26">
        <f t="shared" si="8"/>
        <v>157</v>
      </c>
      <c r="Y102" s="29">
        <v>154</v>
      </c>
      <c r="Z102" s="26">
        <f t="shared" ref="Z102:Z112" si="9">Y102-X102</f>
        <v>-3</v>
      </c>
      <c r="AA102" s="30"/>
      <c r="AB102" s="27"/>
      <c r="AC102" s="31"/>
      <c r="AD102" s="27"/>
    </row>
    <row r="103" spans="1:30" ht="16.5">
      <c r="A103" s="23"/>
      <c r="B103" s="91" t="s">
        <v>219</v>
      </c>
      <c r="C103" s="25" t="s">
        <v>194</v>
      </c>
      <c r="D103" s="29">
        <v>190</v>
      </c>
      <c r="E103" s="27"/>
      <c r="F103" s="27"/>
      <c r="G103" s="27"/>
      <c r="H103" s="29">
        <v>4</v>
      </c>
      <c r="I103" s="29"/>
      <c r="J103" s="29"/>
      <c r="K103" s="29"/>
      <c r="L103" s="29"/>
      <c r="M103" s="70"/>
      <c r="N103" s="70"/>
      <c r="O103" s="29">
        <f>1</f>
        <v>1</v>
      </c>
      <c r="P103" s="29"/>
      <c r="Q103" s="29"/>
      <c r="R103" s="29"/>
      <c r="S103" s="29"/>
      <c r="T103" s="29"/>
      <c r="U103" s="29"/>
      <c r="V103" s="29"/>
      <c r="W103" s="29"/>
      <c r="X103" s="26">
        <f t="shared" si="8"/>
        <v>185</v>
      </c>
      <c r="Y103" s="29">
        <v>184</v>
      </c>
      <c r="Z103" s="26">
        <f t="shared" si="9"/>
        <v>-1</v>
      </c>
      <c r="AA103" s="30"/>
      <c r="AB103" s="27"/>
      <c r="AC103" s="31"/>
      <c r="AD103" s="27"/>
    </row>
    <row r="104" spans="1:30">
      <c r="A104" s="103"/>
      <c r="B104" s="56"/>
      <c r="C104" s="104"/>
      <c r="D104" s="107"/>
      <c r="E104" s="106"/>
      <c r="F104" s="106"/>
      <c r="G104" s="106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18"/>
      <c r="AA104" s="105"/>
      <c r="AB104" s="108"/>
      <c r="AC104" s="109"/>
      <c r="AD104" s="106"/>
    </row>
    <row r="105" spans="1:30">
      <c r="D105" s="11"/>
      <c r="X105" s="26">
        <f t="shared" si="8"/>
        <v>0</v>
      </c>
    </row>
    <row r="106" spans="1:30" ht="20.25">
      <c r="A106" s="110"/>
      <c r="B106" s="111" t="s">
        <v>220</v>
      </c>
      <c r="C106" s="112"/>
      <c r="D106" s="113"/>
      <c r="E106" s="114"/>
      <c r="F106" s="114"/>
      <c r="G106" s="114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26">
        <f t="shared" si="8"/>
        <v>0</v>
      </c>
      <c r="Y106" s="113"/>
      <c r="Z106" s="115"/>
      <c r="AA106" s="116"/>
      <c r="AB106" s="115"/>
      <c r="AC106" s="117"/>
      <c r="AD106" s="114"/>
    </row>
    <row r="107" spans="1:30" ht="16.5">
      <c r="A107" s="23"/>
      <c r="B107" s="102" t="s">
        <v>221</v>
      </c>
      <c r="C107" s="25"/>
      <c r="D107" s="29">
        <v>40</v>
      </c>
      <c r="E107" s="27"/>
      <c r="F107" s="27"/>
      <c r="G107" s="27"/>
      <c r="H107" s="29"/>
      <c r="I107" s="29"/>
      <c r="J107" s="29"/>
      <c r="K107" s="29"/>
      <c r="L107" s="29"/>
      <c r="M107" s="70"/>
      <c r="N107" s="70"/>
      <c r="O107" s="29"/>
      <c r="P107" s="29"/>
      <c r="Q107" s="29"/>
      <c r="R107" s="29"/>
      <c r="S107" s="29"/>
      <c r="T107" s="29"/>
      <c r="U107" s="29"/>
      <c r="V107" s="29"/>
      <c r="W107" s="29"/>
      <c r="X107" s="26">
        <f t="shared" si="8"/>
        <v>40</v>
      </c>
      <c r="Y107" s="29"/>
      <c r="Z107" s="26">
        <f t="shared" si="9"/>
        <v>-40</v>
      </c>
      <c r="AA107" s="30"/>
      <c r="AB107" s="27"/>
      <c r="AC107" s="31"/>
      <c r="AD107" s="27"/>
    </row>
    <row r="108" spans="1:30" ht="16.5">
      <c r="A108" s="23"/>
      <c r="B108" s="102" t="s">
        <v>222</v>
      </c>
      <c r="C108" s="25"/>
      <c r="D108" s="29">
        <v>40</v>
      </c>
      <c r="E108" s="38"/>
      <c r="F108" s="27"/>
      <c r="G108" s="27"/>
      <c r="H108" s="29"/>
      <c r="I108" s="29"/>
      <c r="J108" s="29"/>
      <c r="K108" s="29"/>
      <c r="L108" s="29"/>
      <c r="M108" s="70"/>
      <c r="N108" s="70"/>
      <c r="O108" s="29"/>
      <c r="P108" s="29"/>
      <c r="Q108" s="29"/>
      <c r="R108" s="29"/>
      <c r="S108" s="29"/>
      <c r="T108" s="29"/>
      <c r="U108" s="29"/>
      <c r="V108" s="29"/>
      <c r="W108" s="29"/>
      <c r="X108" s="26">
        <f t="shared" si="8"/>
        <v>40</v>
      </c>
      <c r="Y108" s="29"/>
      <c r="Z108" s="26">
        <f t="shared" si="9"/>
        <v>-40</v>
      </c>
      <c r="AA108" s="30"/>
      <c r="AB108" s="27"/>
      <c r="AC108" s="31"/>
      <c r="AD108" s="27"/>
    </row>
    <row r="109" spans="1:30" ht="16.5">
      <c r="A109" s="23"/>
      <c r="B109" s="102"/>
      <c r="C109" s="25"/>
      <c r="D109" s="29"/>
      <c r="E109" s="27"/>
      <c r="F109" s="27"/>
      <c r="G109" s="27"/>
      <c r="H109" s="29"/>
      <c r="I109" s="29"/>
      <c r="J109" s="29"/>
      <c r="K109" s="29"/>
      <c r="L109" s="29"/>
      <c r="M109" s="70"/>
      <c r="N109" s="70"/>
      <c r="O109" s="29"/>
      <c r="P109" s="29"/>
      <c r="Q109" s="29"/>
      <c r="R109" s="29"/>
      <c r="S109" s="29"/>
      <c r="T109" s="29"/>
      <c r="U109" s="29"/>
      <c r="V109" s="29"/>
      <c r="W109" s="29"/>
      <c r="X109" s="26">
        <f t="shared" si="8"/>
        <v>0</v>
      </c>
      <c r="Y109" s="29"/>
      <c r="Z109" s="26">
        <f t="shared" si="9"/>
        <v>0</v>
      </c>
      <c r="AA109" s="30"/>
      <c r="AB109" s="27"/>
      <c r="AC109" s="31"/>
      <c r="AD109" s="27"/>
    </row>
    <row r="110" spans="1:30" ht="16.5">
      <c r="A110" s="23"/>
      <c r="B110" s="102"/>
      <c r="C110" s="25"/>
      <c r="D110" s="29"/>
      <c r="E110" s="27"/>
      <c r="F110" s="27"/>
      <c r="G110" s="27"/>
      <c r="H110" s="29"/>
      <c r="I110" s="29"/>
      <c r="J110" s="29"/>
      <c r="K110" s="29"/>
      <c r="L110" s="29"/>
      <c r="M110" s="70"/>
      <c r="N110" s="70"/>
      <c r="O110" s="29"/>
      <c r="P110" s="29"/>
      <c r="Q110" s="29"/>
      <c r="R110" s="29"/>
      <c r="S110" s="29"/>
      <c r="T110" s="29"/>
      <c r="U110" s="29"/>
      <c r="V110" s="29"/>
      <c r="W110" s="29"/>
      <c r="X110" s="26">
        <f t="shared" si="8"/>
        <v>0</v>
      </c>
      <c r="Y110" s="29"/>
      <c r="Z110" s="26">
        <f t="shared" si="9"/>
        <v>0</v>
      </c>
      <c r="AA110" s="30"/>
      <c r="AB110" s="27"/>
      <c r="AC110" s="31"/>
      <c r="AD110" s="27"/>
    </row>
    <row r="111" spans="1:30" ht="16.5">
      <c r="A111" s="23"/>
      <c r="B111" s="102"/>
      <c r="C111" s="25"/>
      <c r="D111" s="29"/>
      <c r="E111" s="27"/>
      <c r="F111" s="27"/>
      <c r="G111" s="27"/>
      <c r="H111" s="29"/>
      <c r="I111" s="29"/>
      <c r="J111" s="29"/>
      <c r="K111" s="29"/>
      <c r="L111" s="29"/>
      <c r="M111" s="70"/>
      <c r="N111" s="70"/>
      <c r="O111" s="29"/>
      <c r="P111" s="29"/>
      <c r="Q111" s="29"/>
      <c r="R111" s="29"/>
      <c r="S111" s="29"/>
      <c r="T111" s="29"/>
      <c r="U111" s="29"/>
      <c r="V111" s="29"/>
      <c r="W111" s="29"/>
      <c r="X111" s="26">
        <f t="shared" si="8"/>
        <v>0</v>
      </c>
      <c r="Y111" s="29"/>
      <c r="Z111" s="26">
        <f t="shared" si="9"/>
        <v>0</v>
      </c>
      <c r="AA111" s="30"/>
      <c r="AB111" s="27"/>
      <c r="AC111" s="31"/>
      <c r="AD111" s="27"/>
    </row>
    <row r="112" spans="1:30" ht="16.5">
      <c r="A112" s="23"/>
      <c r="B112" s="102"/>
      <c r="C112" s="25"/>
      <c r="D112" s="29"/>
      <c r="E112" s="27"/>
      <c r="F112" s="27"/>
      <c r="G112" s="27"/>
      <c r="H112" s="29"/>
      <c r="I112" s="29"/>
      <c r="J112" s="29"/>
      <c r="K112" s="29"/>
      <c r="L112" s="29"/>
      <c r="M112" s="70"/>
      <c r="N112" s="70"/>
      <c r="O112" s="29"/>
      <c r="P112" s="29"/>
      <c r="Q112" s="29"/>
      <c r="R112" s="29"/>
      <c r="S112" s="29"/>
      <c r="T112" s="29"/>
      <c r="U112" s="29"/>
      <c r="V112" s="29"/>
      <c r="W112" s="29"/>
      <c r="X112" s="26">
        <f t="shared" si="8"/>
        <v>0</v>
      </c>
      <c r="Y112" s="29"/>
      <c r="Z112" s="26">
        <f t="shared" si="9"/>
        <v>0</v>
      </c>
      <c r="AA112" s="30"/>
      <c r="AB112" s="27"/>
      <c r="AC112" s="31"/>
      <c r="AD112" s="27"/>
    </row>
    <row r="113" spans="1:30">
      <c r="A113" s="103"/>
      <c r="B113" s="56"/>
      <c r="C113" s="104"/>
      <c r="D113" s="118"/>
      <c r="E113" s="106"/>
      <c r="F113" s="106"/>
      <c r="G113" s="106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26">
        <f t="shared" si="8"/>
        <v>0</v>
      </c>
      <c r="Y113" s="107"/>
      <c r="Z113" s="118"/>
      <c r="AA113" s="105"/>
      <c r="AB113" s="108"/>
      <c r="AC113" s="109"/>
      <c r="AD113" s="106"/>
    </row>
    <row r="114" spans="1:30">
      <c r="D114" s="11"/>
      <c r="X114" s="26"/>
    </row>
    <row r="115" spans="1:30" ht="20.25">
      <c r="A115" s="110"/>
      <c r="B115" s="111" t="s">
        <v>220</v>
      </c>
      <c r="C115" s="112"/>
      <c r="D115" s="113"/>
      <c r="E115" s="114"/>
      <c r="F115" s="114"/>
      <c r="G115" s="114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26">
        <f t="shared" ref="X115:X122" si="10">D115+E115+F115+G115-Q115-P115-N115-M115-L115-J115-O115-H115-I115-K115-R115-S115-T115-U115-V115+W115</f>
        <v>0</v>
      </c>
      <c r="Y115" s="113"/>
      <c r="Z115" s="115"/>
      <c r="AA115" s="116"/>
      <c r="AB115" s="115"/>
      <c r="AC115" s="117"/>
      <c r="AD115" s="114"/>
    </row>
    <row r="116" spans="1:30" ht="16.5">
      <c r="A116" s="23"/>
      <c r="B116" s="102" t="s">
        <v>223</v>
      </c>
      <c r="C116" s="25" t="s">
        <v>45</v>
      </c>
      <c r="D116" s="29">
        <v>2</v>
      </c>
      <c r="E116" s="27"/>
      <c r="F116" s="27"/>
      <c r="G116" s="27"/>
      <c r="H116" s="29"/>
      <c r="I116" s="29"/>
      <c r="J116" s="29"/>
      <c r="K116" s="29"/>
      <c r="L116" s="29"/>
      <c r="M116" s="70"/>
      <c r="N116" s="70"/>
      <c r="O116" s="29"/>
      <c r="P116" s="29"/>
      <c r="Q116" s="29"/>
      <c r="R116" s="29"/>
      <c r="S116" s="29"/>
      <c r="T116" s="29"/>
      <c r="U116" s="29"/>
      <c r="V116" s="29"/>
      <c r="W116" s="29"/>
      <c r="X116" s="26">
        <f t="shared" si="10"/>
        <v>2</v>
      </c>
      <c r="Y116" s="29"/>
      <c r="Z116" s="26">
        <f t="shared" ref="Z116:Z121" si="11">Y116-X116</f>
        <v>-2</v>
      </c>
      <c r="AA116" s="30"/>
      <c r="AB116" s="27"/>
      <c r="AC116" s="31"/>
      <c r="AD116" s="27"/>
    </row>
    <row r="117" spans="1:30" ht="16.5">
      <c r="A117" s="23"/>
      <c r="B117" s="102" t="s">
        <v>224</v>
      </c>
      <c r="C117" s="25" t="s">
        <v>194</v>
      </c>
      <c r="D117" s="29">
        <v>0</v>
      </c>
      <c r="E117" s="38"/>
      <c r="F117" s="27"/>
      <c r="G117" s="27"/>
      <c r="H117" s="29"/>
      <c r="I117" s="29"/>
      <c r="J117" s="29"/>
      <c r="K117" s="29"/>
      <c r="L117" s="29"/>
      <c r="M117" s="70"/>
      <c r="N117" s="70"/>
      <c r="O117" s="29"/>
      <c r="P117" s="29"/>
      <c r="Q117" s="29"/>
      <c r="R117" s="29"/>
      <c r="S117" s="29"/>
      <c r="T117" s="29"/>
      <c r="U117" s="29"/>
      <c r="V117" s="29"/>
      <c r="W117" s="29"/>
      <c r="X117" s="26">
        <f t="shared" si="10"/>
        <v>0</v>
      </c>
      <c r="Y117" s="29"/>
      <c r="Z117" s="26">
        <f t="shared" si="11"/>
        <v>0</v>
      </c>
      <c r="AA117" s="30"/>
      <c r="AB117" s="27"/>
      <c r="AC117" s="31"/>
      <c r="AD117" s="27"/>
    </row>
    <row r="118" spans="1:30" ht="16.5">
      <c r="A118" s="23"/>
      <c r="B118" s="102" t="s">
        <v>225</v>
      </c>
      <c r="C118" s="25"/>
      <c r="D118" s="29">
        <v>0</v>
      </c>
      <c r="E118" s="27"/>
      <c r="F118" s="27"/>
      <c r="G118" s="27"/>
      <c r="H118" s="29"/>
      <c r="I118" s="29"/>
      <c r="J118" s="29"/>
      <c r="K118" s="29"/>
      <c r="L118" s="29"/>
      <c r="M118" s="70"/>
      <c r="N118" s="70"/>
      <c r="O118" s="29"/>
      <c r="P118" s="29"/>
      <c r="Q118" s="29"/>
      <c r="R118" s="29"/>
      <c r="S118" s="29"/>
      <c r="T118" s="29"/>
      <c r="U118" s="29"/>
      <c r="V118" s="29"/>
      <c r="W118" s="29"/>
      <c r="X118" s="26">
        <f t="shared" si="10"/>
        <v>0</v>
      </c>
      <c r="Y118" s="29"/>
      <c r="Z118" s="26">
        <f t="shared" si="11"/>
        <v>0</v>
      </c>
      <c r="AA118" s="30"/>
      <c r="AB118" s="27"/>
      <c r="AC118" s="31"/>
      <c r="AD118" s="27"/>
    </row>
    <row r="119" spans="1:30" ht="16.5">
      <c r="A119" s="23"/>
      <c r="B119" s="102" t="s">
        <v>226</v>
      </c>
      <c r="C119" s="25"/>
      <c r="D119" s="29">
        <v>2</v>
      </c>
      <c r="E119" s="27"/>
      <c r="F119" s="27"/>
      <c r="G119" s="27"/>
      <c r="H119" s="29"/>
      <c r="I119" s="29"/>
      <c r="J119" s="29"/>
      <c r="K119" s="29"/>
      <c r="L119" s="29"/>
      <c r="M119" s="70"/>
      <c r="N119" s="70"/>
      <c r="O119" s="29"/>
      <c r="P119" s="29"/>
      <c r="Q119" s="29"/>
      <c r="R119" s="29"/>
      <c r="S119" s="29"/>
      <c r="T119" s="29"/>
      <c r="U119" s="29"/>
      <c r="V119" s="29"/>
      <c r="W119" s="29"/>
      <c r="X119" s="26">
        <f t="shared" si="10"/>
        <v>2</v>
      </c>
      <c r="Y119" s="29"/>
      <c r="Z119" s="26">
        <f t="shared" si="11"/>
        <v>-2</v>
      </c>
      <c r="AA119" s="30"/>
      <c r="AB119" s="27"/>
      <c r="AC119" s="31"/>
      <c r="AD119" s="27"/>
    </row>
    <row r="120" spans="1:30" ht="16.5">
      <c r="A120" s="23"/>
      <c r="B120" s="102" t="s">
        <v>227</v>
      </c>
      <c r="C120" s="25"/>
      <c r="D120" s="29">
        <v>2</v>
      </c>
      <c r="E120" s="27"/>
      <c r="F120" s="27"/>
      <c r="G120" s="27"/>
      <c r="H120" s="29"/>
      <c r="I120" s="29"/>
      <c r="J120" s="29"/>
      <c r="K120" s="29"/>
      <c r="L120" s="29"/>
      <c r="M120" s="70"/>
      <c r="N120" s="70"/>
      <c r="O120" s="29"/>
      <c r="P120" s="29"/>
      <c r="Q120" s="29"/>
      <c r="R120" s="29"/>
      <c r="S120" s="29"/>
      <c r="T120" s="29"/>
      <c r="U120" s="29"/>
      <c r="V120" s="29"/>
      <c r="W120" s="29"/>
      <c r="X120" s="26">
        <f t="shared" si="10"/>
        <v>2</v>
      </c>
      <c r="Y120" s="29"/>
      <c r="Z120" s="26">
        <f t="shared" si="11"/>
        <v>-2</v>
      </c>
      <c r="AA120" s="30"/>
      <c r="AB120" s="27"/>
      <c r="AC120" s="31"/>
      <c r="AD120" s="27"/>
    </row>
    <row r="121" spans="1:30" ht="16.5">
      <c r="A121" s="23"/>
      <c r="B121" s="102" t="s">
        <v>228</v>
      </c>
      <c r="C121" s="25"/>
      <c r="D121" s="29">
        <v>2</v>
      </c>
      <c r="E121" s="27"/>
      <c r="F121" s="27"/>
      <c r="G121" s="27"/>
      <c r="H121" s="29"/>
      <c r="I121" s="29"/>
      <c r="J121" s="29"/>
      <c r="K121" s="29"/>
      <c r="L121" s="29"/>
      <c r="M121" s="70"/>
      <c r="N121" s="70"/>
      <c r="O121" s="29"/>
      <c r="P121" s="29"/>
      <c r="Q121" s="29"/>
      <c r="R121" s="29"/>
      <c r="S121" s="29"/>
      <c r="T121" s="29"/>
      <c r="U121" s="29"/>
      <c r="V121" s="29"/>
      <c r="W121" s="29"/>
      <c r="X121" s="26">
        <f t="shared" si="10"/>
        <v>2</v>
      </c>
      <c r="Y121" s="29"/>
      <c r="Z121" s="26">
        <f t="shared" si="11"/>
        <v>-2</v>
      </c>
      <c r="AA121" s="30"/>
      <c r="AB121" s="27"/>
      <c r="AC121" s="31"/>
      <c r="AD121" s="27"/>
    </row>
    <row r="122" spans="1:30">
      <c r="A122" s="103"/>
      <c r="B122" s="56"/>
      <c r="C122" s="104"/>
      <c r="D122" s="118"/>
      <c r="E122" s="106"/>
      <c r="F122" s="106"/>
      <c r="G122" s="106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26">
        <f t="shared" si="10"/>
        <v>0</v>
      </c>
      <c r="Y122" s="107"/>
      <c r="Z122" s="118"/>
      <c r="AA122" s="105"/>
      <c r="AB122" s="108"/>
      <c r="AC122" s="109"/>
      <c r="AD122" s="106"/>
    </row>
  </sheetData>
  <conditionalFormatting sqref="B70:B93">
    <cfRule type="cellIs" dxfId="9" priority="4" operator="lessThan">
      <formula>0</formula>
    </cfRule>
  </conditionalFormatting>
  <conditionalFormatting sqref="B96:B98">
    <cfRule type="cellIs" dxfId="8" priority="5" operator="lessThan">
      <formula>0</formula>
    </cfRule>
  </conditionalFormatting>
  <conditionalFormatting sqref="B101:B103">
    <cfRule type="cellIs" dxfId="7" priority="3" operator="lessThan">
      <formula>0</formula>
    </cfRule>
  </conditionalFormatting>
  <conditionalFormatting sqref="B106:B112">
    <cfRule type="cellIs" dxfId="6" priority="1" operator="lessThan">
      <formula>0</formula>
    </cfRule>
  </conditionalFormatting>
  <conditionalFormatting sqref="B115:B121">
    <cfRule type="cellIs" dxfId="5" priority="2" operator="lessThan">
      <formula>0</formula>
    </cfRule>
  </conditionalFormatting>
  <dataValidations count="2">
    <dataValidation type="textLength" showInputMessage="1" showErrorMessage="1" sqref="B8 B10:B43 B78:B93 B97:B98 B102:B103 B107:B112 B116:B121">
      <formula1>5</formula1>
      <formula2>100</formula2>
    </dataValidation>
    <dataValidation type="textLength" showInputMessage="1" showErrorMessage="1" sqref="C18 C79 C98 C103 C22:C42 C83:C87 C108:C112 C117:C121">
      <formula1>0</formula1>
      <formula2>20</formula2>
    </dataValidation>
  </dataValidation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29.5.2026</vt:lpstr>
      <vt:lpstr>22.5.2026</vt:lpstr>
      <vt:lpstr>15.5.2026</vt:lpstr>
      <vt:lpstr>8.5.2026</vt:lpstr>
      <vt:lpstr>'15.5.2026'!Print_Area</vt:lpstr>
      <vt:lpstr>'22.5.2026'!Print_Area</vt:lpstr>
      <vt:lpstr>'29.5.2026'!Print_Area</vt:lpstr>
      <vt:lpstr>'8.5.2026'!Print_Area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2026-03-03T07:08:00Z</dcterms:created>
  <dcterms:modified xsi:type="dcterms:W3CDTF">2026-05-29T06:53:17Z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ADAA4C3F59324D2AB8249FEA2A1FE40D_13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