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PP MALL" sheetId="1" r:id="rId5"/>
    <sheet state="visible" name="HPP STAR" sheetId="2" r:id="rId6"/>
    <sheet state="hidden" name="HPP TOKPED" sheetId="3" r:id="rId7"/>
    <sheet state="hidden" name="HPP non STAR" sheetId="4" r:id="rId8"/>
    <sheet state="visible" name="SKUCODE" sheetId="5" r:id="rId9"/>
    <sheet state="visible" name="HARGA " sheetId="6" r:id="rId10"/>
    <sheet state="hidden" name="Sheet4" sheetId="7" r:id="rId11"/>
  </sheets>
  <definedNames/>
  <calcPr/>
</workbook>
</file>

<file path=xl/sharedStrings.xml><?xml version="1.0" encoding="utf-8"?>
<sst xmlns="http://schemas.openxmlformats.org/spreadsheetml/2006/main" count="2086" uniqueCount="736">
  <si>
    <t>Nama Produk
MALL</t>
  </si>
  <si>
    <t>HARGA NASIONAL</t>
  </si>
  <si>
    <t>HARGA NASIONAL
(PCS)</t>
  </si>
  <si>
    <t>ECOM (PCS)</t>
  </si>
  <si>
    <t>ECOM (PCS/PACK) / BOX</t>
  </si>
  <si>
    <t>ECOM CTN</t>
  </si>
  <si>
    <t>min (PCS)</t>
  </si>
  <si>
    <t>ADM MARKETPLACE
(INC. PPN)</t>
  </si>
  <si>
    <t>Biaya</t>
  </si>
  <si>
    <t>BIAYA OPS</t>
  </si>
  <si>
    <t>HPP</t>
  </si>
  <si>
    <t>MARGIN ECOM</t>
  </si>
  <si>
    <t>PROFIT</t>
  </si>
  <si>
    <t>HARGA JUAL
(PCS)</t>
  </si>
  <si>
    <t>Harga Jual
/pcs</t>
  </si>
  <si>
    <t>PACK
(PCS)</t>
  </si>
  <si>
    <t xml:space="preserve">MARGIN
</t>
  </si>
  <si>
    <t>HARGA JUAL
(PACK)</t>
  </si>
  <si>
    <t>HARGA JUAL SATUAN</t>
  </si>
  <si>
    <t>(PCS)</t>
  </si>
  <si>
    <t>MARGIN
2.5%</t>
  </si>
  <si>
    <t>HARGA JUAL SATUAN)</t>
  </si>
  <si>
    <t>CTN
(PCS)</t>
  </si>
  <si>
    <t>MARGIN CMS</t>
  </si>
  <si>
    <t>HARGA JUAL (BOX)</t>
  </si>
  <si>
    <t>(INC PPN)</t>
  </si>
  <si>
    <t>(EXC PPN)</t>
  </si>
  <si>
    <t>(INCL PPN)</t>
  </si>
  <si>
    <t>Per Pcs</t>
  </si>
  <si>
    <t>CROCKIE ORIGINAL</t>
  </si>
  <si>
    <t>CROCKIE MAGNET SUPER</t>
  </si>
  <si>
    <t>CROCKIE BARA TURBO</t>
  </si>
  <si>
    <t>CROCKIE SUPER JET</t>
  </si>
  <si>
    <t>CROCKIE IDEA</t>
  </si>
  <si>
    <t>CROCKIE FLEXIE</t>
  </si>
  <si>
    <t>CROCKIE FLEXIE WINDPROOF</t>
  </si>
  <si>
    <t>CROCKIE POWER JET</t>
  </si>
  <si>
    <t>CROCKIE GAS BUTANE</t>
  </si>
  <si>
    <t>CROCKIE MAGNET SUPER PLAIN WHITE</t>
  </si>
  <si>
    <t>CROCKIE MAGNET SUPER PLAIN BLACK</t>
  </si>
  <si>
    <t>CROCKIE MAGNET CUSTOM PRINT UV</t>
  </si>
  <si>
    <t>CROCKIE SERI FLAG</t>
  </si>
  <si>
    <t>CROCKIE SERIES</t>
  </si>
  <si>
    <t>CROCKIE JETFLIP</t>
  </si>
  <si>
    <t>CROCKIE JETFLIP + CUSTOM</t>
  </si>
  <si>
    <t>PAKET BUNDLING CROCKIE</t>
  </si>
  <si>
    <t>-</t>
  </si>
  <si>
    <t>C. BARA T. 5PCS + GAS B. 1PCS</t>
  </si>
  <si>
    <t>C. BARA T. 5PCS + GAS B. 2PCS</t>
  </si>
  <si>
    <t>C. SUPERJET 1PCS + GAS B. 1PCS</t>
  </si>
  <si>
    <t>C. SUPERJET 2PCS + GAS B. 2PCS</t>
  </si>
  <si>
    <t>C. SUPERJET 4PCS + GAS B. 1PCS</t>
  </si>
  <si>
    <t>C. SUPERJET 4PCS + GAS B. 2PCS</t>
  </si>
  <si>
    <t>POWERJET 1PCS + GAS B. 1PCS</t>
  </si>
  <si>
    <t>POWERJET 2PCS + GAS B. 2PCS</t>
  </si>
  <si>
    <t>IDEA 1PCS + GAS B 1PCS</t>
  </si>
  <si>
    <t>IDEA 2PCS + GAS 2PCS</t>
  </si>
  <si>
    <t>C. FLEXIE 1PCS + GAS B. 1PCS</t>
  </si>
  <si>
    <t>C. FLEXIE W. 1PCS + GAS B. 1PCS</t>
  </si>
  <si>
    <t>C. FLEXIE W. 2PCS + GAS B. 2PCS</t>
  </si>
  <si>
    <t>JETFLIP 1PCS + GAS B. 1PCS</t>
  </si>
  <si>
    <t>CASE ORIGINAL</t>
  </si>
  <si>
    <t>CROCKIE ORIGINAL + CASE</t>
  </si>
  <si>
    <t>CROCKIE ORIGINAL 5 + CASE</t>
  </si>
  <si>
    <t>CASE BARA</t>
  </si>
  <si>
    <t>CASE BARA CUSTOM</t>
  </si>
  <si>
    <t>CROCKIE BARA + CASE</t>
  </si>
  <si>
    <t>CROCKIE BARA + CASE CUSTOM</t>
  </si>
  <si>
    <t>CROCKIE BARA 5 + CASE</t>
  </si>
  <si>
    <t>CROCKIE BARA 5 + CASE CUSTOM</t>
  </si>
  <si>
    <t>PAKKET BUY MORE GET FREE ITEM</t>
  </si>
  <si>
    <t>C.ORI 5PCS FREE 1PCS</t>
  </si>
  <si>
    <t>C.M.SUPER 5PCS FREE 1PCS</t>
  </si>
  <si>
    <t>C.B.TURBO 5PCS FREE 1PCS</t>
  </si>
  <si>
    <t>C. SERI FLAG 5PCS FREE 1PCS</t>
  </si>
  <si>
    <t>C.ORI 2+M.SUPER 2+B.TURBO 1PCS FREE 1ORI</t>
  </si>
  <si>
    <t>C.ORI 2+M.SUPER 3 FREE 1PCS ORI</t>
  </si>
  <si>
    <t>C.M.SUPER 3+B.TURBO 2 FREE 1PCS B.TURBO</t>
  </si>
  <si>
    <t>C.IDEA 3+C.ORI 2 FREE 1PCS ORI</t>
  </si>
  <si>
    <t>C.IDEA 3+C.M.SUPER 2 FREE 1PCS M.SUPER</t>
  </si>
  <si>
    <t>C.IDEA 3+C.B.TURBO 2 FREE1PCS B.TURBO</t>
  </si>
  <si>
    <t>C.IDEA 4PCS FREE 1PCS G.BUTANE</t>
  </si>
  <si>
    <t>C.SUPERJET 4PCS FREE 1PCS G.BUTANE</t>
  </si>
  <si>
    <t>C.IDEA 5PCS FREE 1PCS G.BUTANE</t>
  </si>
  <si>
    <t>C.POWERJET 4PCS FREE 1PCS G.BUTANE</t>
  </si>
  <si>
    <t>C.FLEXIE 4PCS FREE 1PCS G.BUTANE</t>
  </si>
  <si>
    <t>C.FLEXIE W 4PCS FREE 1PCS G.BUTANE</t>
  </si>
  <si>
    <t>C.M.SUPER 1BOX FREE 5PCS</t>
  </si>
  <si>
    <t>C.B.TURBO 1BOX FREE 2PCS G.BUTANE</t>
  </si>
  <si>
    <t>C.M.S P.BLACK 1BOX FREE 5PCS</t>
  </si>
  <si>
    <t>C.M.S P.WHITE 1BOX FREE 5PCS</t>
  </si>
  <si>
    <t>KOTAK</t>
  </si>
  <si>
    <t>MIX</t>
  </si>
  <si>
    <t>CRICKET MINI PRINT UV</t>
  </si>
  <si>
    <t>CRICKET ELEKTRIK PRINT UV</t>
  </si>
  <si>
    <t>XHD39 TOSCA</t>
  </si>
  <si>
    <t>XHD88 5WARNA</t>
  </si>
  <si>
    <t>ICQ</t>
  </si>
  <si>
    <t>ICQ ORIE</t>
  </si>
  <si>
    <t>ICQ MAGNET</t>
  </si>
  <si>
    <t>ICQ BARA TURBO</t>
  </si>
  <si>
    <t>ICQ BARA CUSTOM</t>
  </si>
  <si>
    <t>ICQ MINIE</t>
  </si>
  <si>
    <t>ICQ CLASSIE</t>
  </si>
  <si>
    <t>ICQ ORIE 5 GRATIS 1</t>
  </si>
  <si>
    <t>ICQ MAGNET 5 GRATIS 1</t>
  </si>
  <si>
    <t>ICQ BARA TURBO 5 GRATIS 1</t>
  </si>
  <si>
    <t>CLASSIE 3 + MINIE 3</t>
  </si>
  <si>
    <t>MINIE 3 + ORIE 3</t>
  </si>
  <si>
    <t>MINIE 3 + MAGNET 3</t>
  </si>
  <si>
    <t>ICQ ORIE BOX FREE 5PCS</t>
  </si>
  <si>
    <t>ICQ MAGNET BOX FREE 5PCS</t>
  </si>
  <si>
    <t>ICQ BARA TURBO BOX FREE 5PCS</t>
  </si>
  <si>
    <t>ICQ MINIE BOX FREE 5PCS</t>
  </si>
  <si>
    <t>ICQ CLASSIE 3PCS FREE 1 pcs</t>
  </si>
  <si>
    <t>PAKET BUNDLING ICQ &amp; CROCKIE</t>
  </si>
  <si>
    <t>ICQ BARA 5PCS + C. GAS B. 1PCS</t>
  </si>
  <si>
    <t>HIMUJI</t>
  </si>
  <si>
    <t>HIMUJI GOMAX</t>
  </si>
  <si>
    <t>HIMUJI GOMAX PLAIN</t>
  </si>
  <si>
    <t>HIMUJI MAGSOFT</t>
  </si>
  <si>
    <t>HIMMUJI BARAJET SE</t>
  </si>
  <si>
    <t>HIMUJI DELUXE AROMA</t>
  </si>
  <si>
    <t>HIMUJI ICONIX</t>
  </si>
  <si>
    <t>HIMUJI ONIX SM</t>
  </si>
  <si>
    <t>HIMUJI ONIX XL</t>
  </si>
  <si>
    <t>HIMUJI SERI</t>
  </si>
  <si>
    <t>HIMUJI GOMAX PRINT UV</t>
  </si>
  <si>
    <t>PAKET BUY MORE GET FREE ITEM</t>
  </si>
  <si>
    <t>H.GOMAX 5PCS FREE 1PCS</t>
  </si>
  <si>
    <t>H.MAGSOFT 5PCS FREE 1PCS</t>
  </si>
  <si>
    <t>H.BARAJET SE 5PCS FREE 1PCS</t>
  </si>
  <si>
    <t>H.D.AROMA 5PCS FREE 1PCS</t>
  </si>
  <si>
    <t>H.ONIX XL 3PCS FREE 1PCS</t>
  </si>
  <si>
    <t>HIMUJI SL100</t>
  </si>
  <si>
    <t>HIMUJI SL100 FLEX</t>
  </si>
  <si>
    <t>PAKET BUNDLING HIMUJI &amp; CROCKIE</t>
  </si>
  <si>
    <t>H. GOMAX 5PCS free C. Gas B. 1PCS</t>
  </si>
  <si>
    <t>H. ICONIX SP 5PCS free C. GAS B. 1PCS</t>
  </si>
  <si>
    <t>H. ONIX SM 4PCS free C. GAS B. 1 PCS</t>
  </si>
  <si>
    <t>CABLE TIE</t>
  </si>
  <si>
    <t>CABLE TIE 2 X 100</t>
  </si>
  <si>
    <t>CABLE TIE 2,5 X 150</t>
  </si>
  <si>
    <t>CABLE TIE 3,6 X 200</t>
  </si>
  <si>
    <t>CABLE TIE 3,6 X 250</t>
  </si>
  <si>
    <t>CABLE TIE 3,6 X 300</t>
  </si>
  <si>
    <t>CABLE TIE 7,2 X 300</t>
  </si>
  <si>
    <t>HARGA BELI
(PCS)</t>
  </si>
  <si>
    <t>MARGIN</t>
  </si>
  <si>
    <t>LAOSHAN</t>
  </si>
  <si>
    <t>LAOSHAN ALKALINE</t>
  </si>
  <si>
    <t>OLDENLANDIA</t>
  </si>
  <si>
    <t>LAOSHAN 1PCS + OLDEN 1PCS</t>
  </si>
  <si>
    <t>LAOSHAN / OLDEN 1CTN</t>
  </si>
  <si>
    <t>BLACK HORSE</t>
  </si>
  <si>
    <t>Black Horse 888</t>
  </si>
  <si>
    <t>Black Horse 727</t>
  </si>
  <si>
    <t>Black Horse 888 1Box(12pcs)</t>
  </si>
  <si>
    <t>Black Horse 7271Box(12pcs)</t>
  </si>
  <si>
    <t>COLLY</t>
  </si>
  <si>
    <t>SAGA Mesin Cuci</t>
  </si>
  <si>
    <t>Nama Produk
STAR</t>
  </si>
  <si>
    <t>CROCKIE JETFLIP + PRINT UV</t>
  </si>
  <si>
    <t>LOSHAN / OLDENLANDIA 6</t>
  </si>
  <si>
    <t>LOSHAN / OLDENLANDIA 1CTN</t>
  </si>
  <si>
    <t>Nama Produk
non STAR (himuji)</t>
  </si>
  <si>
    <t>Nama Produk</t>
  </si>
  <si>
    <t>SKU INDUK</t>
  </si>
  <si>
    <t>VARIASI</t>
  </si>
  <si>
    <t>FULL SET</t>
  </si>
  <si>
    <t>SKU INDUK 4/5PCS LINKSTOCK</t>
  </si>
  <si>
    <t>CROOR_1S</t>
  </si>
  <si>
    <t>KOREK API CROCKIE ORIGINAL 5'S</t>
  </si>
  <si>
    <t>CROOR_5S</t>
  </si>
  <si>
    <t>t</t>
  </si>
  <si>
    <t>CROMAG_1S</t>
  </si>
  <si>
    <t>KOREK API CROCKIE - MAGNET SUPER 5'S</t>
  </si>
  <si>
    <t>CROMAG_5S</t>
  </si>
  <si>
    <t>CROBAR_1S</t>
  </si>
  <si>
    <t>KOREK API CROCKIE - BARA TURBO 5'S</t>
  </si>
  <si>
    <t>CROBAR_5S</t>
  </si>
  <si>
    <t>CROSUP_1S</t>
  </si>
  <si>
    <t>CROSUP_BLUE</t>
  </si>
  <si>
    <t>CROSUP_GREEN</t>
  </si>
  <si>
    <t>CROSUP_BLACK</t>
  </si>
  <si>
    <t>CROSUP_RED</t>
  </si>
  <si>
    <t>KOREK TORCH CROCKIE - SUPERJET 4'S</t>
  </si>
  <si>
    <t>CROSUP_4S</t>
  </si>
  <si>
    <t>CROIDEA_1S</t>
  </si>
  <si>
    <t>KOREK API DAPUR CROCKIE IDEA 5'S</t>
  </si>
  <si>
    <t>CROFLEX_1S</t>
  </si>
  <si>
    <t>CROFLEX_BLUE</t>
  </si>
  <si>
    <t>CROFLEX_GREEN</t>
  </si>
  <si>
    <t>CROFLEX_RED</t>
  </si>
  <si>
    <t>CROFLEX_PURPLE</t>
  </si>
  <si>
    <t>KOREK API DAPUR CROCKIE FLEXIE 4'S</t>
  </si>
  <si>
    <t>CROFLEX_4S</t>
  </si>
  <si>
    <t>CROFLEXIEW_1S</t>
  </si>
  <si>
    <t>KOREK API DAPUR CROCKIE - FLEXIE BARA 4'S</t>
  </si>
  <si>
    <t>CROFLEXIEW_4S</t>
  </si>
  <si>
    <t>CROJET_1S</t>
  </si>
  <si>
    <t>CROJET_BLUE</t>
  </si>
  <si>
    <t>CROJET_GREEN</t>
  </si>
  <si>
    <t>CROJET_RED</t>
  </si>
  <si>
    <t>CROJET_BLACK</t>
  </si>
  <si>
    <t>KOREK API TORCH CROCKIE - POWERJET 4'S</t>
  </si>
  <si>
    <t>CROJET_4S</t>
  </si>
  <si>
    <t>CROGAS_1S</t>
  </si>
  <si>
    <t>CROGAS_BLUE</t>
  </si>
  <si>
    <t>CROGAS_GREEN</t>
  </si>
  <si>
    <t>CROGAS_BLACK</t>
  </si>
  <si>
    <t>CROGAS_RED</t>
  </si>
  <si>
    <t>CROGAS_YELLOW</t>
  </si>
  <si>
    <t>GAS BUTANE CROCKIE - GAS REFILL 5'S</t>
  </si>
  <si>
    <t>CROGAS_5S</t>
  </si>
  <si>
    <t>CROMAG_WHITE_1S</t>
  </si>
  <si>
    <t>CROMAG_BLACK_1S</t>
  </si>
  <si>
    <t>CROCKIE MAGNET PLAIN BLACK PRINT UV</t>
  </si>
  <si>
    <t>CUV(black)</t>
  </si>
  <si>
    <t>CROCKIE MAGNET PLAIN WHITE PRINT UV</t>
  </si>
  <si>
    <t>CUV(white)</t>
  </si>
  <si>
    <t>CROCKIE BOX</t>
  </si>
  <si>
    <t>CROCKIE ORIGINAL 50 PCS</t>
  </si>
  <si>
    <t>CRO50S</t>
  </si>
  <si>
    <t>CROCKIE MAGNET SUPER 50 PCS</t>
  </si>
  <si>
    <t>CROMAG_BOX</t>
  </si>
  <si>
    <t>CROCKIE BARA TURBO 25 PCS</t>
  </si>
  <si>
    <t>CROB25S</t>
  </si>
  <si>
    <t>CROCKIE GAS BUTANE 25 PCS</t>
  </si>
  <si>
    <t>CROG25S</t>
  </si>
  <si>
    <t>CROCKIE IDEA 16PCS</t>
  </si>
  <si>
    <t>CROID16S</t>
  </si>
  <si>
    <t>CROCKIE BARA TURBO HITAM 25 PCS</t>
  </si>
  <si>
    <t>CBH(BOX)</t>
  </si>
  <si>
    <t>CROCKIE CTN</t>
  </si>
  <si>
    <t>CROCKIE ORIGINAL 500 PCS</t>
  </si>
  <si>
    <t>CC01</t>
  </si>
  <si>
    <t>CROCKIE MAGNET SUPER 500 PCS</t>
  </si>
  <si>
    <t>CC02</t>
  </si>
  <si>
    <t>CROCKIE MAGNET SUPER POLOS HITAM 500 PCS</t>
  </si>
  <si>
    <t>CC03</t>
  </si>
  <si>
    <t>CROCKIE MAGNET SUPER POLOS PUTIH 500 PCS</t>
  </si>
  <si>
    <t>CC04</t>
  </si>
  <si>
    <t>CROCKIE BARA TURBO 500 PCS</t>
  </si>
  <si>
    <t>CC05</t>
  </si>
  <si>
    <t>CROCKIE GAS BUTANE 300 PCS</t>
  </si>
  <si>
    <t>CC06</t>
  </si>
  <si>
    <t>JF1</t>
  </si>
  <si>
    <t>JFC</t>
  </si>
  <si>
    <t>CROBUN_BARA</t>
  </si>
  <si>
    <t>CROBUN_BARA1</t>
  </si>
  <si>
    <t>CROBUN_BARA2</t>
  </si>
  <si>
    <t>CROBUN_SUPERJET</t>
  </si>
  <si>
    <t>CROBUN_SUPERJETGAS1</t>
  </si>
  <si>
    <t>CROBUN_SUPERJETGAS2</t>
  </si>
  <si>
    <t>CROBUN_SUPERJETGAS3</t>
  </si>
  <si>
    <t>CROBUN_SUPERJETGAS4</t>
  </si>
  <si>
    <t>POWERJET 1PCS + GAS 1PCS</t>
  </si>
  <si>
    <t>PG1</t>
  </si>
  <si>
    <t>POWERJET 2PCS + GAS 2PCS</t>
  </si>
  <si>
    <t>PG2</t>
  </si>
  <si>
    <t>IDEA 1PCS + GAS 1PCS</t>
  </si>
  <si>
    <t>IG1</t>
  </si>
  <si>
    <t>IG2</t>
  </si>
  <si>
    <t>FLEXIE W 1PCS + GAS 1PCS</t>
  </si>
  <si>
    <t>FG1</t>
  </si>
  <si>
    <t>FLEXIE W 2PCS + GAS 2PCS</t>
  </si>
  <si>
    <t>FG2</t>
  </si>
  <si>
    <t>JETFLIP 1PCS + GAS 1PCS</t>
  </si>
  <si>
    <t>JG1</t>
  </si>
  <si>
    <t>CASE_1S</t>
  </si>
  <si>
    <t>CROCKIE ORI 5 + CASE</t>
  </si>
  <si>
    <t>CCSE1</t>
  </si>
  <si>
    <t>CASE BARA TURBO</t>
  </si>
  <si>
    <t>CASE_1B</t>
  </si>
  <si>
    <t>CCSB1</t>
  </si>
  <si>
    <t>CROPAK_ORI5</t>
  </si>
  <si>
    <t>CROPAK_SUPER5</t>
  </si>
  <si>
    <t>CROPAK_TURBO5</t>
  </si>
  <si>
    <t>CROMIX001</t>
  </si>
  <si>
    <t>ORI 2 + SUPER 2 + B.TURBO 1 FREE ORI 1</t>
  </si>
  <si>
    <t>C.ORI 2+M.SUPER 3 FREE 1PCS C.ORI</t>
  </si>
  <si>
    <t>CROMIX002</t>
  </si>
  <si>
    <t>ORI 3 + SUPER 2 FREE SUPER 1</t>
  </si>
  <si>
    <t>CROMIX003</t>
  </si>
  <si>
    <t>SUPER 3 + B.TURBO 2 FREE TURBO 1</t>
  </si>
  <si>
    <t>CROMIX_IDEA1</t>
  </si>
  <si>
    <t>IDEA 3 + ORI 2 FREE ORI 1</t>
  </si>
  <si>
    <t>CROMIX_IDEA2</t>
  </si>
  <si>
    <t>IDEA 3 + SUPER 2 FREE SUPER 1</t>
  </si>
  <si>
    <t>CROMIX_IDEA3</t>
  </si>
  <si>
    <t>IDEA 3 + B.TURBO 2 FREE B.TURBO 1</t>
  </si>
  <si>
    <t>CROMIX_IDEA4</t>
  </si>
  <si>
    <t>IDEA 5PCS FREE G.BUTANE 1PCS</t>
  </si>
  <si>
    <t>C.SUPERJET 2+C.FLEXIE 2 FREE 1PCS G.BUTANE</t>
  </si>
  <si>
    <t>CROMIX_SUPERJET1</t>
  </si>
  <si>
    <t>SUPERJET 2 + IDEA 2 FREE 1 G.BUTANE</t>
  </si>
  <si>
    <t>C.SUPERJET 2 +C.FLEXIE.W 2FREE 1PCS G.BUTANE</t>
  </si>
  <si>
    <t>CROMIX_SUPERJET2</t>
  </si>
  <si>
    <t>SUPERJET 2 + FLEXIE 2 FREE 1 G.BUTANE</t>
  </si>
  <si>
    <t>C.SUPERJET 2+C.IDEA 2 FREE 1PCS G.BUTANE</t>
  </si>
  <si>
    <t>CROMIX_SUPERJET3</t>
  </si>
  <si>
    <t>CROCSET_IDEA</t>
  </si>
  <si>
    <t>CROCBOX_SUPER</t>
  </si>
  <si>
    <t>MAGNET SUPER BOX FREE 5PCS</t>
  </si>
  <si>
    <t>CROCBOX_TURBO</t>
  </si>
  <si>
    <t>B.TURBO BOX FREE 2PCS G.BUTANE</t>
  </si>
  <si>
    <t>CROCSET_POWERJET</t>
  </si>
  <si>
    <t>POWERJET 4 FREE 1PCS G.BUTANE</t>
  </si>
  <si>
    <t>CROCSET_FLEXIE</t>
  </si>
  <si>
    <t>FLEXIE 4 FREE 1PCS G.BUTANE</t>
  </si>
  <si>
    <t>CROCSET_FLEXIEW</t>
  </si>
  <si>
    <t>FLEXIE_W 4 FREE 1PCS G.BUTANE</t>
  </si>
  <si>
    <t>CROCBOX_BLACK</t>
  </si>
  <si>
    <t>SUPER BLACK BOX FREE 5PCS</t>
  </si>
  <si>
    <t>CROCBOX_SUPERWHITE</t>
  </si>
  <si>
    <t>SUPER WHITE BOX FREE 5PCS</t>
  </si>
  <si>
    <t>CROCKIE SUPERJET 1 FREE GAS BUTANE 1</t>
  </si>
  <si>
    <t>CSUPER1</t>
  </si>
  <si>
    <t>CROCKIE SERI</t>
  </si>
  <si>
    <t>CROCKIE SERI FLAG AFRICA</t>
  </si>
  <si>
    <t>CF_AFRICAN</t>
  </si>
  <si>
    <t>CROCKIE SERI FLAG US</t>
  </si>
  <si>
    <t>CF_US</t>
  </si>
  <si>
    <t>CROCKIE SERI FLAG UK</t>
  </si>
  <si>
    <t>CF_UK</t>
  </si>
  <si>
    <t>CROCKIE SERI FLAG ASIAN</t>
  </si>
  <si>
    <t>CF_ASIAN</t>
  </si>
  <si>
    <t>CROCKIE SERI FLAG TIMUR TENGAH</t>
  </si>
  <si>
    <t>CF_TT</t>
  </si>
  <si>
    <t>CROCKIE SERI FLAG AFRICA BOX</t>
  </si>
  <si>
    <t>CF_A(BOX)</t>
  </si>
  <si>
    <t>CROCKIE SERI FLAG US BOX</t>
  </si>
  <si>
    <t>CF_US(BOX)</t>
  </si>
  <si>
    <t>CROCKIE SERI FLAG UK BOX</t>
  </si>
  <si>
    <t>CF_UK(BOX)</t>
  </si>
  <si>
    <t>CROCKIE SERI FLAG ASIAN BOX</t>
  </si>
  <si>
    <t>CF_ASIAN(BOX)</t>
  </si>
  <si>
    <t>CROCKIE SERI FLAG TIMUR TENGAH BOX</t>
  </si>
  <si>
    <t>CF_TT(BOX)</t>
  </si>
  <si>
    <t>CROCKIE SERI FLAG AFRICA BUY5GET1</t>
  </si>
  <si>
    <t>CF_1</t>
  </si>
  <si>
    <t>CROCKIE SERI FLAG US BUY5GET1</t>
  </si>
  <si>
    <t>CF_2</t>
  </si>
  <si>
    <t>CROCKIE SERI FLAG UK BUY5GET1</t>
  </si>
  <si>
    <t>CF_3</t>
  </si>
  <si>
    <t>CROCKIE SERI FLAG ASIAN BUY5GET1</t>
  </si>
  <si>
    <t>CF_4</t>
  </si>
  <si>
    <t>CROCKIE SERI FLAG TIMUR TENGAH BUY5GET1</t>
  </si>
  <si>
    <t>CF_5</t>
  </si>
  <si>
    <t>CROCKIE SERI POSITVE VIBES - 5PCS</t>
  </si>
  <si>
    <t>COS01</t>
  </si>
  <si>
    <t>CROCKIE SERI RIDE - 5PCS</t>
  </si>
  <si>
    <t>COS02</t>
  </si>
  <si>
    <t>CROCKIE SERI WESTERN FOOD - 5PCS</t>
  </si>
  <si>
    <t>COS03</t>
  </si>
  <si>
    <t>CROCKIE SERI THE BEAST - 5PCS</t>
  </si>
  <si>
    <t>COS04</t>
  </si>
  <si>
    <t>CROCKIE SERI GOLD LINE - 5PCS</t>
  </si>
  <si>
    <t>COS05</t>
  </si>
  <si>
    <t>CROCKIE SERI GOLD FORTUNE - 5PCS</t>
  </si>
  <si>
    <t>COS06</t>
  </si>
  <si>
    <t>CROCKIE SERI ASTRONAUT - 5PCS</t>
  </si>
  <si>
    <t>COS07</t>
  </si>
  <si>
    <t>CROCKIE SERI ANABUL - 5PCS</t>
  </si>
  <si>
    <t>COS08</t>
  </si>
  <si>
    <t>CROCKIE SERI SPINX - 5PCS</t>
  </si>
  <si>
    <t>COS09</t>
  </si>
  <si>
    <t>CROCKIE SERI ROCK N' ROLL - 5PCS</t>
  </si>
  <si>
    <t>COS10</t>
  </si>
  <si>
    <t>CROCKIE SERI POSITVE VIBES BOX - 50PCS</t>
  </si>
  <si>
    <t>COS01(BOX)</t>
  </si>
  <si>
    <t>CROCKIE SERI RIDE BOX - 50PCS</t>
  </si>
  <si>
    <t>COS02(BOX)</t>
  </si>
  <si>
    <t>CROCKIE SERI WESTERN FOOD BOX - 50PCS</t>
  </si>
  <si>
    <t>COS03(BOX)</t>
  </si>
  <si>
    <t>CROCKIE SERI THE BEAST BOX - 50PCS</t>
  </si>
  <si>
    <t>COS04(BOX)</t>
  </si>
  <si>
    <t>CROCKIE SERI GOLD LINE BOX - 50PCS</t>
  </si>
  <si>
    <t>COS05(BOX)</t>
  </si>
  <si>
    <t>CROCKIE SERI GOLD FORTUNE BOX - 50PCS</t>
  </si>
  <si>
    <t>COS06(BOX)</t>
  </si>
  <si>
    <t>CROCKIE SERI ASTRONAUT BOX - 50PCS</t>
  </si>
  <si>
    <t>COS07(BOX)</t>
  </si>
  <si>
    <t>CROCKIE SERI ANABUL BOX - 50PCS</t>
  </si>
  <si>
    <t>COS08(BOX)</t>
  </si>
  <si>
    <t>CROCKIE SERI SPINX BOX - 50PCS</t>
  </si>
  <si>
    <t>COS09(BOX)</t>
  </si>
  <si>
    <t>CROCKIE SERI ROCK N' ROLL BOX - 50PCS</t>
  </si>
  <si>
    <t>COS10(BOX)</t>
  </si>
  <si>
    <t>CROCKIE SERI MIX BOX - 50PCS</t>
  </si>
  <si>
    <t>COSMIX(BOX)</t>
  </si>
  <si>
    <t>FOC</t>
  </si>
  <si>
    <t>FREE CROCKIE MAGNET SUPER 2PCS</t>
  </si>
  <si>
    <t>FOC1</t>
  </si>
  <si>
    <t>FREE HIMUJI MAGSOFT 2PCS</t>
  </si>
  <si>
    <t>FOC2</t>
  </si>
  <si>
    <t>FREE CROCKIE T-SHIRT</t>
  </si>
  <si>
    <t>FOC3</t>
  </si>
  <si>
    <t>FREE CROCKIE FLAG SERIES 2PCS</t>
  </si>
  <si>
    <t>FOC4</t>
  </si>
  <si>
    <t>IC001</t>
  </si>
  <si>
    <t>IC001_5PS</t>
  </si>
  <si>
    <t>IC002</t>
  </si>
  <si>
    <t>IC002_5PS</t>
  </si>
  <si>
    <t>IC003</t>
  </si>
  <si>
    <t>IC003_5PS</t>
  </si>
  <si>
    <t>IC004</t>
  </si>
  <si>
    <t>IC004_5PS</t>
  </si>
  <si>
    <t>IC005</t>
  </si>
  <si>
    <t>IC005_4PS</t>
  </si>
  <si>
    <t>ICQ ORIE 1 BOX</t>
  </si>
  <si>
    <t>IC001(Box)</t>
  </si>
  <si>
    <t>ICQ MAGNET 1 BOX</t>
  </si>
  <si>
    <t>IC002(Box)</t>
  </si>
  <si>
    <t>ICQ BARA TURBO 1 BOX</t>
  </si>
  <si>
    <t>IC003(Box)</t>
  </si>
  <si>
    <t>ICQ CLASSIE 1 BOX</t>
  </si>
  <si>
    <t>IC004(Box)</t>
  </si>
  <si>
    <t>ICQ ORIE 1 BOX FREE 5PCS</t>
  </si>
  <si>
    <t>IC006</t>
  </si>
  <si>
    <t>ICQ MAGNET 1 BOX FREE 5PCS</t>
  </si>
  <si>
    <t>IC007</t>
  </si>
  <si>
    <t>ICQ BARA TURBO 1 BOX FREE 5PCS</t>
  </si>
  <si>
    <t>IC008</t>
  </si>
  <si>
    <t>ICQ CLASSIE 1 BOX FREE 5PCS</t>
  </si>
  <si>
    <t>IC009</t>
  </si>
  <si>
    <t>PAKET BUY 5 GET FREE ITEM</t>
  </si>
  <si>
    <t>ICQ ORIE 5PCS FREE 1PCS</t>
  </si>
  <si>
    <t>ICQPAK_ORIE5</t>
  </si>
  <si>
    <t>ICQ MAGNET 5PCS FREE 1PCS</t>
  </si>
  <si>
    <t>ICQPAK_MAGNET5</t>
  </si>
  <si>
    <t>ICQ B.TURBO 5PCS FREE 1PCS</t>
  </si>
  <si>
    <t>ICQPAK_TURBO5</t>
  </si>
  <si>
    <t>ICQ MAGNET 3+ICQ ORIE 2PCS FREE 1PCS ORIE</t>
  </si>
  <si>
    <t>ICQMIX001</t>
  </si>
  <si>
    <t>MAGNET 3 + ORIE 2 FREE ORIE 1</t>
  </si>
  <si>
    <t>ICQ B.TURBO 3+ICQ MAGNET 2 FREE 1PCS MAGNET</t>
  </si>
  <si>
    <t>ICQMIX002</t>
  </si>
  <si>
    <t>TURBO 3 + MAGNET 2 FREE MAGNET 1</t>
  </si>
  <si>
    <t>ICQ MINIE 3PCS+ICQ ORIE 2PCS FREE 1PCS ORIE</t>
  </si>
  <si>
    <t>ICQMIX_MINIE1</t>
  </si>
  <si>
    <t>MINIE 3 + ORIE 2 FREE ORIE 1</t>
  </si>
  <si>
    <t>ICQ MINIE 3PCS+ICQ MAGNET 2PCS FREE 1PCS MAG</t>
  </si>
  <si>
    <t>ICQMIX_MINIE2</t>
  </si>
  <si>
    <t>MINIE 3 + MAGNET 2 FREE MAGNET 1</t>
  </si>
  <si>
    <t>ICQ CLASSIE 3PCS+ICQ MINIE 2PCS FREE 1 MINIE</t>
  </si>
  <si>
    <t>ICQMIX_MINIE3</t>
  </si>
  <si>
    <t>MINIE 2 + CLASSIE 3 FREE MINIE 1</t>
  </si>
  <si>
    <t>ICQ MINIE 4PCS FREE 1PCS</t>
  </si>
  <si>
    <t>ICQSET_MINIE</t>
  </si>
  <si>
    <t>ICQ CLASSIE 4PCS FREE 1PCS B.TURBO</t>
  </si>
  <si>
    <t>ICQSET_CLASSIE</t>
  </si>
  <si>
    <t>ICQGAS1</t>
  </si>
  <si>
    <t>ICQCL4</t>
  </si>
  <si>
    <t>ICQ BARA CUSTOM PRINT UV HITAM</t>
  </si>
  <si>
    <t>ICUV(black)</t>
  </si>
  <si>
    <t>ICQ BARA CUSTOM PRINT UV PUTIH</t>
  </si>
  <si>
    <t>ICUV(white)</t>
  </si>
  <si>
    <t>HI001</t>
  </si>
  <si>
    <t>HI001_5PS</t>
  </si>
  <si>
    <t>HIMAG_1PCS</t>
  </si>
  <si>
    <t>HI002_5PS</t>
  </si>
  <si>
    <t>HI003</t>
  </si>
  <si>
    <t>HI003_5PS</t>
  </si>
  <si>
    <t>HIMUJI DELUXE GRANDE</t>
  </si>
  <si>
    <t>HI004</t>
  </si>
  <si>
    <t>HI004_5PS</t>
  </si>
  <si>
    <t>HI005</t>
  </si>
  <si>
    <t>HI005_5PS</t>
  </si>
  <si>
    <t>HIMUJI BARAJET ULTIMATE</t>
  </si>
  <si>
    <t>HI006</t>
  </si>
  <si>
    <t>HI006_5PS</t>
  </si>
  <si>
    <t>HI007</t>
  </si>
  <si>
    <t>HI007_5PS</t>
  </si>
  <si>
    <t>HIMUJI ICONIX SP</t>
  </si>
  <si>
    <t>HI008</t>
  </si>
  <si>
    <t>HI008_5PS</t>
  </si>
  <si>
    <t>HI009</t>
  </si>
  <si>
    <t>HI009_4PS</t>
  </si>
  <si>
    <t>HI010</t>
  </si>
  <si>
    <t>HI010_4PS</t>
  </si>
  <si>
    <t>HIMUJI GOMAX POLOS HITAM</t>
  </si>
  <si>
    <t>HI011</t>
  </si>
  <si>
    <t>HIMUJI GOMAX POLOS PUTIH</t>
  </si>
  <si>
    <t>HI012</t>
  </si>
  <si>
    <t>HIMUJI GOMAX PLAIN BLACK PRINT UV</t>
  </si>
  <si>
    <t>HUV(black)</t>
  </si>
  <si>
    <t>HIMUJI GOMAX PLAIN WHITE PRINT UV</t>
  </si>
  <si>
    <t>HUV(white)</t>
  </si>
  <si>
    <t>HIMUJI BOX</t>
  </si>
  <si>
    <t>HIMMUJI BARAJET SE BOX</t>
  </si>
  <si>
    <t>HI003(BOX)</t>
  </si>
  <si>
    <t>HI011(BOX)</t>
  </si>
  <si>
    <t>HI012(BOX)</t>
  </si>
  <si>
    <t>HIMUJI GOMAX BOX</t>
  </si>
  <si>
    <t>HI11</t>
  </si>
  <si>
    <t>HI007(BOX)</t>
  </si>
  <si>
    <t>HIMUJI POMPIPI</t>
  </si>
  <si>
    <t>PP1</t>
  </si>
  <si>
    <t>HIMAG(BOX)</t>
  </si>
  <si>
    <t>HIPAK_GOMAX5</t>
  </si>
  <si>
    <t>HIPAK_MAGSOFT5</t>
  </si>
  <si>
    <t>HIPAK_AROMA5</t>
  </si>
  <si>
    <t>H. BARAJET SE 5PCS FREE 1PCS</t>
  </si>
  <si>
    <t>HIPAK_BARA5</t>
  </si>
  <si>
    <t>GOMAX 3+MAGSOFT 2 FREE 1PCS MAGSOFT</t>
  </si>
  <si>
    <t>HIMIX001</t>
  </si>
  <si>
    <t>GOMAX 3 + MAGSOFT 3</t>
  </si>
  <si>
    <t>D.AROMA 3+GOMAX2 FREE 1PCS GOMAX</t>
  </si>
  <si>
    <t>HIMIX002</t>
  </si>
  <si>
    <t>GOMAX 3 + D.AROMA 3</t>
  </si>
  <si>
    <t>ICONIX 3+GOMAX 2 FREE 1PCS GOMAX</t>
  </si>
  <si>
    <t>HIMIX_ICONIX1</t>
  </si>
  <si>
    <t>ONIX SM 3 + MAGSOFT 2 FREE 1PCS MAGSOFT</t>
  </si>
  <si>
    <t>HIMIX_ONIXSM1</t>
  </si>
  <si>
    <t>H.GOMAX 10PCS FREE 2PCS</t>
  </si>
  <si>
    <t>HIPAK_GOMAX10</t>
  </si>
  <si>
    <t>GOMAX 10 FREE 2PCS</t>
  </si>
  <si>
    <t>H.MAGSOFT 10PCS FREE 2PCS</t>
  </si>
  <si>
    <t>HIPAK_MAGSOFT10</t>
  </si>
  <si>
    <t>MAGSOFT 10 FREE 2PCS</t>
  </si>
  <si>
    <t>H.D.AROMA 10PCS FREE 2PCS GOMAX</t>
  </si>
  <si>
    <t>HIPAK_AROMA10</t>
  </si>
  <si>
    <t>D.AROMA 10 FREE 2PCS</t>
  </si>
  <si>
    <t>H.ICONIX 5PCS FREE 1PCS GOMAX</t>
  </si>
  <si>
    <t>HISET_ICONIX5</t>
  </si>
  <si>
    <t>ICONIX 5 FREE GOMAX 1PCS</t>
  </si>
  <si>
    <t>H.ICONIX SP 5PCS FREE 1PCS ICONIX</t>
  </si>
  <si>
    <t>HISET_ICONIXSM5</t>
  </si>
  <si>
    <t>ICONIX SP 5 FREE ONIX 1PCS</t>
  </si>
  <si>
    <t>H.ONIX SM 4PCS FREE 2PCS MAGSOFT</t>
  </si>
  <si>
    <t>HISET_ONIXSM</t>
  </si>
  <si>
    <t>ONIX SM 4 FREE MAGSOFT 2PCS</t>
  </si>
  <si>
    <t>H.ONIX XL 5PCS FREE 2PCS MAGSOFT</t>
  </si>
  <si>
    <t>HISET_ONIXXL</t>
  </si>
  <si>
    <t>ONIX XL 5 FREE MAGSOFT 2PCS</t>
  </si>
  <si>
    <t>HI013</t>
  </si>
  <si>
    <t>HIMUJI GOMAX 5 GRATIS 1 GAS BUTANE</t>
  </si>
  <si>
    <t>HIG1</t>
  </si>
  <si>
    <t>HIMUJI SERI OWL - 5PCS</t>
  </si>
  <si>
    <t>HIS01</t>
  </si>
  <si>
    <t>HIMUJI SERI CAT - 5PCS</t>
  </si>
  <si>
    <t>HIS02</t>
  </si>
  <si>
    <t>HIMUJI SERI FRUITY - 5PCS</t>
  </si>
  <si>
    <t>HIS03</t>
  </si>
  <si>
    <t>HIMUJI SERI SKULL - 5PCS</t>
  </si>
  <si>
    <t>HIS04</t>
  </si>
  <si>
    <t>HIMUJI SERI #QOTD - 5PCS</t>
  </si>
  <si>
    <t>HIS05</t>
  </si>
  <si>
    <t>HIMUJI SERI SUMMER TIME - 5PCS</t>
  </si>
  <si>
    <t>HIS06</t>
  </si>
  <si>
    <t>HIMUJI BSERI BLACK N GOLD - 5PCS</t>
  </si>
  <si>
    <t>HIS07</t>
  </si>
  <si>
    <t>HIMUJI SERI SPORTY - 5PCS</t>
  </si>
  <si>
    <t>HIS08</t>
  </si>
  <si>
    <t>HIMUJI SERI JOYFUL - 5PCS</t>
  </si>
  <si>
    <t>HIS09</t>
  </si>
  <si>
    <t>HIMUJI SERI HEARTBREAK - 5PCS</t>
  </si>
  <si>
    <t>HIS10</t>
  </si>
  <si>
    <t>HIMUJI SERI OWL BOX - 50PCS</t>
  </si>
  <si>
    <t>HIS01(BOX)</t>
  </si>
  <si>
    <t>HIMUJI SERI CAT BOX - 5OPCS</t>
  </si>
  <si>
    <t>HIS02(BOX)</t>
  </si>
  <si>
    <t>HIMUJI SERI FRUITY BOX - 50PCS</t>
  </si>
  <si>
    <t>HIS03(BOX)</t>
  </si>
  <si>
    <t>HIMUJI SERI SKULL BOX - 50PCS</t>
  </si>
  <si>
    <t>HIS04(BOX)</t>
  </si>
  <si>
    <t>HIMUJI SERI #QOTD BOX - 50PCS</t>
  </si>
  <si>
    <t>HIS05(BOX)</t>
  </si>
  <si>
    <t>HIMUJI SERI SUMMER TIME BOX - 50PCS</t>
  </si>
  <si>
    <t>HIS06(BOX)</t>
  </si>
  <si>
    <t>HIMUJI BSERI BLACK N GOLD BOX - 50PCS</t>
  </si>
  <si>
    <t>HIS07(BOX)</t>
  </si>
  <si>
    <t>HIMUJI SERI SPORTY BOX - 50PCS</t>
  </si>
  <si>
    <t>HIS08(BOX)</t>
  </si>
  <si>
    <t>HIMUJI SERI JOYFUL BOX - 50PCS</t>
  </si>
  <si>
    <t>HIS09(BOX)</t>
  </si>
  <si>
    <t>HIMUJI SERI HEARTBREAK BOX - 50PCS</t>
  </si>
  <si>
    <t>HIS10(BOX)</t>
  </si>
  <si>
    <t>HIMUJI SERI MIX BOX - 50PCS</t>
  </si>
  <si>
    <t>HISMIX(BOX)</t>
  </si>
  <si>
    <t>HIMUJI CABLE TIES</t>
  </si>
  <si>
    <t>CABLE TIES 2,0 X 100</t>
  </si>
  <si>
    <t>2X100</t>
  </si>
  <si>
    <t>CABLE TIES 2,5 X 150</t>
  </si>
  <si>
    <t>2,5X100</t>
  </si>
  <si>
    <t>CABLE TIES 3,6 X 200</t>
  </si>
  <si>
    <t>3,6X200</t>
  </si>
  <si>
    <t>CABLE TIES 3,6 X 250</t>
  </si>
  <si>
    <t>3,6X250</t>
  </si>
  <si>
    <t>CABLE TIES 3,6 X 300</t>
  </si>
  <si>
    <t>3,6X300</t>
  </si>
  <si>
    <t>CABLE TIES 7,2 X 300</t>
  </si>
  <si>
    <t>7,2X300</t>
  </si>
  <si>
    <t>L1</t>
  </si>
  <si>
    <t>L2</t>
  </si>
  <si>
    <t>L3</t>
  </si>
  <si>
    <t>LAOSHAN 6PCS</t>
  </si>
  <si>
    <t>L4</t>
  </si>
  <si>
    <t>OLDEN 6PCS</t>
  </si>
  <si>
    <t>L5</t>
  </si>
  <si>
    <t>LAOSHAN 3PCS + OLDEN 3PCS</t>
  </si>
  <si>
    <t>L6</t>
  </si>
  <si>
    <t>LAOSHAN KARTON 24PCS</t>
  </si>
  <si>
    <t>L7</t>
  </si>
  <si>
    <t>OLDENLANDIA KARTON 24PCS</t>
  </si>
  <si>
    <t>L8</t>
  </si>
  <si>
    <t>LAOSHAN 12PCS + OLDEN 12PCS</t>
  </si>
  <si>
    <t>L9</t>
  </si>
  <si>
    <t>BLACK HORSE 888 BLACK</t>
  </si>
  <si>
    <t>BH8(BLACK)</t>
  </si>
  <si>
    <t>BLACK HORSE 888 RED</t>
  </si>
  <si>
    <t>BH8(RED)</t>
  </si>
  <si>
    <t>BLACK HORSE 727 BLACK</t>
  </si>
  <si>
    <t>BH7(BLACK)</t>
  </si>
  <si>
    <t>BLACK HORSE 727 RED</t>
  </si>
  <si>
    <t>BH7(RED)</t>
  </si>
  <si>
    <t>BLACK HORSE 888 1 Box 12 pcs</t>
  </si>
  <si>
    <t>BH8(BOX)</t>
  </si>
  <si>
    <t>BLACK HORSE 727 1 Box 12 pcs</t>
  </si>
  <si>
    <t>BH7(BOX)</t>
  </si>
  <si>
    <t>SAGA MESIN CUCI</t>
  </si>
  <si>
    <t>SWM-03-ORA</t>
  </si>
  <si>
    <t>CRICKET MINI PUTIH PRINT UV</t>
  </si>
  <si>
    <t>CMP1</t>
  </si>
  <si>
    <t xml:space="preserve">CRICKET HITAM PRINT UV </t>
  </si>
  <si>
    <t>CH1</t>
  </si>
  <si>
    <t xml:space="preserve">CRICKET PINK PRINT UV </t>
  </si>
  <si>
    <t>CPINK1</t>
  </si>
  <si>
    <t>XHD 39 KOREK TOSCA PRINT UV</t>
  </si>
  <si>
    <t>XHD39</t>
  </si>
  <si>
    <t>XHD 88 KOREK API REFFILLABLE PRINT UV</t>
  </si>
  <si>
    <t>XHD88</t>
  </si>
  <si>
    <t xml:space="preserve">  </t>
  </si>
  <si>
    <t>Nama Barang</t>
  </si>
  <si>
    <t>Harga u/ CROCKIE STORE (Shopee Mall /TTokped Mall)</t>
  </si>
  <si>
    <t>NO. BARANG</t>
  </si>
  <si>
    <t>Harga u/ non mall</t>
  </si>
  <si>
    <t>normal</t>
  </si>
  <si>
    <t>harga coret</t>
  </si>
  <si>
    <t>% Flash Sale</t>
  </si>
  <si>
    <t>flash sale</t>
  </si>
  <si>
    <t>max</t>
  </si>
  <si>
    <t xml:space="preserve">CROCKIE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</si>
  <si>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</si>
  <si>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</si>
  <si>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</si>
  <si>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</si>
  <si>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</si>
  <si>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</si>
  <si>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</si>
  <si>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</si>
  <si>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</si>
  <si>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</si>
  <si>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</si>
  <si>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CF</t>
  </si>
  <si>
    <t>CROCKIE SERI FLAG 5PCS</t>
  </si>
  <si>
    <t>A12</t>
  </si>
  <si>
    <t>CROCKIE SERIES 5PCS</t>
  </si>
  <si>
    <t>A13</t>
  </si>
  <si>
    <t>A16</t>
  </si>
  <si>
    <t>A19</t>
  </si>
  <si>
    <t>A20</t>
  </si>
  <si>
    <t>A14</t>
  </si>
  <si>
    <t>A15</t>
  </si>
  <si>
    <t>A18</t>
  </si>
  <si>
    <t>A17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</si>
  <si>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</si>
  <si>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</si>
  <si>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</si>
  <si>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</si>
  <si>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</si>
  <si>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</si>
  <si>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</si>
  <si>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</si>
  <si>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</si>
  <si>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</si>
  <si>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</si>
  <si>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</si>
  <si>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BOX</t>
  </si>
  <si>
    <t xml:space="preserve">CROCKIE SERI FLAG </t>
  </si>
  <si>
    <t>CROCKIE SUPERJET 4 PCS</t>
  </si>
  <si>
    <t>CROCKIE FLEXIE 4 PCS</t>
  </si>
  <si>
    <t>B1</t>
  </si>
  <si>
    <t>B2</t>
  </si>
  <si>
    <t>CROCKIE ORIGINAL 1CTN</t>
  </si>
  <si>
    <t>CROCKIE MAGNET SUPER 1CTN</t>
  </si>
  <si>
    <t>CROCKIE BARA TURBO 1CTN</t>
  </si>
  <si>
    <t>B5</t>
  </si>
  <si>
    <t>B6</t>
  </si>
  <si>
    <t>MIN. 10PCS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</si>
  <si>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</si>
  <si>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</si>
  <si>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</si>
  <si>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</si>
  <si>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</si>
  <si>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</si>
  <si>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</si>
  <si>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</si>
  <si>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</si>
  <si>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</si>
  <si>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ICQ BARA TURBO PUTIH</t>
  </si>
  <si>
    <t>B17</t>
  </si>
  <si>
    <t>B18</t>
  </si>
  <si>
    <t>C1</t>
  </si>
  <si>
    <t>C2</t>
  </si>
  <si>
    <t>C3</t>
  </si>
  <si>
    <t>C4</t>
  </si>
  <si>
    <t>C5</t>
  </si>
  <si>
    <t>C6</t>
  </si>
  <si>
    <t>ICQ BARA 3 PCS + ICQ MAGNET 3 PCS</t>
  </si>
  <si>
    <t>ICQ MAGNET 3 PCS + ICQ ORIE 3 PCS</t>
  </si>
  <si>
    <t>C7</t>
  </si>
  <si>
    <t>HIMUJI SERI 5PCS</t>
  </si>
  <si>
    <t>C8</t>
  </si>
  <si>
    <t>C9</t>
  </si>
  <si>
    <t>D1</t>
  </si>
  <si>
    <t>D2</t>
  </si>
  <si>
    <t>HIMUJI SERI MIX</t>
  </si>
  <si>
    <t>Expedisi Offline</t>
  </si>
  <si>
    <t>Shopee</t>
  </si>
  <si>
    <t>Barang</t>
  </si>
  <si>
    <t>KG</t>
  </si>
  <si>
    <t>Harga Barang</t>
  </si>
  <si>
    <t>Superjet 1ctn</t>
  </si>
  <si>
    <t>Gas Butane 100pcs</t>
  </si>
  <si>
    <t>Ongkir</t>
  </si>
  <si>
    <t>TOTAL di Bayar Pembeli</t>
  </si>
  <si>
    <t>Income</t>
  </si>
  <si>
    <t>benefit</t>
  </si>
  <si>
    <t xml:space="preserve">income lebih rendah </t>
  </si>
  <si>
    <t>income lebih tinggi</t>
  </si>
  <si>
    <t>tidak berpotensi gagal kirim</t>
  </si>
  <si>
    <t>risk</t>
  </si>
  <si>
    <t>berpotensi gagal kirim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</si>
</sst>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#,##0.0"/>
  </numFmts>
  <fonts count="28">
    <font>
      <sz val="10.0"/>
      <color rgb="FF000000"/>
      <name val="Arial"/>
      <scheme val="minor"/>
    </font>
    <font>
      <b/>
      <color rgb="FF000000"/>
      <name val="Segoe UI"/>
    </font>
    <font>
      <b/>
      <color rgb="FFFF0000"/>
      <name val="Arial"/>
    </font>
    <font/>
    <font>
      <b/>
      <color rgb="FFFF0000"/>
      <name val="Segoe UI"/>
    </font>
    <font>
      <b/>
      <color rgb="FF000000"/>
      <name val="Arial"/>
    </font>
    <font>
      <color rgb="FFFF0000"/>
      <name val="Segoe UI"/>
    </font>
    <font>
      <color rgb="FF000000"/>
      <name val="Arial"/>
    </font>
    <font>
      <color rgb="FF000000"/>
      <name val="Segoe UI"/>
    </font>
    <font>
      <color rgb="FFFF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color theme="1"/>
      <name val="Arial"/>
    </font>
    <font>
      <b/>
      <sz val="11.0"/>
      <color theme="1"/>
      <name val="Calibri"/>
    </font>
    <font>
      <sz val="11.0"/>
      <color theme="1"/>
      <name val="Segoe UI"/>
    </font>
    <font>
      <b/>
      <i/>
      <sz val="11.0"/>
      <color theme="1"/>
      <name val="Calibri"/>
    </font>
    <font>
      <sz val="11.0"/>
      <color theme="1"/>
      <name val="Arial"/>
    </font>
    <font>
      <i/>
      <sz val="11.0"/>
      <color theme="1"/>
      <name val="Calibri"/>
    </font>
    <font>
      <color theme="1"/>
      <name val="Segoe UI"/>
    </font>
    <font>
      <sz val="11.0"/>
      <color rgb="FF000000"/>
      <name val="Arial"/>
    </font>
    <font>
      <sz val="9.0"/>
      <color rgb="FF666666"/>
      <name val="Inherit"/>
    </font>
    <font>
      <color rgb="FF2673DD"/>
      <name val="Inherit"/>
    </font>
    <font>
      <sz val="11.0"/>
      <color rgb="FF333333"/>
      <name val="Roboto"/>
    </font>
  </fonts>
  <fills count="4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2EFDA"/>
        <bgColor rgb="FFE2EFDA"/>
      </patternFill>
    </fill>
    <fill>
      <patternFill patternType="solid">
        <fgColor rgb="FF666666"/>
        <bgColor rgb="FF666666"/>
      </patternFill>
    </fill>
    <fill>
      <patternFill patternType="solid">
        <fgColor rgb="FFDDEBF7"/>
        <bgColor rgb="FFDDEBF7"/>
      </patternFill>
    </fill>
    <fill>
      <patternFill patternType="solid">
        <fgColor rgb="FFED7D31"/>
        <bgColor rgb="FFED7D31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66"/>
        <bgColor rgb="FFFFFF66"/>
      </patternFill>
    </fill>
    <fill>
      <patternFill patternType="solid">
        <fgColor rgb="FFFFC000"/>
        <bgColor rgb="FFFFC000"/>
      </patternFill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2F75B5"/>
        <bgColor rgb="FF2F75B5"/>
      </patternFill>
    </fill>
    <fill>
      <patternFill patternType="solid">
        <fgColor rgb="FF92D050"/>
        <bgColor rgb="FF92D050"/>
      </patternFill>
    </fill>
    <fill>
      <patternFill patternType="solid">
        <fgColor rgb="FFBC8FDD"/>
        <bgColor rgb="FFBC8FDD"/>
      </patternFill>
    </fill>
    <fill>
      <patternFill patternType="solid">
        <fgColor rgb="FFB45F06"/>
        <bgColor rgb="FFB45F06"/>
      </patternFill>
    </fill>
    <fill>
      <patternFill patternType="solid">
        <fgColor rgb="FFFF0909"/>
        <bgColor rgb="FFFF0909"/>
      </patternFill>
    </fill>
    <fill>
      <patternFill patternType="solid">
        <fgColor rgb="FF6AA84F"/>
        <bgColor rgb="FF6AA84F"/>
      </patternFill>
    </fill>
    <fill>
      <patternFill patternType="solid">
        <fgColor rgb="FFC65911"/>
        <bgColor rgb="FFC65911"/>
      </patternFill>
    </fill>
    <fill>
      <patternFill patternType="solid">
        <fgColor rgb="FFFFE699"/>
        <bgColor rgb="FFFFE699"/>
      </patternFill>
    </fill>
    <fill>
      <patternFill patternType="solid">
        <fgColor rgb="FF305496"/>
        <bgColor rgb="FF305496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390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readingOrder="0"/>
    </xf>
    <xf borderId="1" fillId="3" fontId="2" numFmtId="3" xfId="0" applyAlignment="1" applyBorder="1" applyFill="1" applyFont="1" applyNumberFormat="1">
      <alignment horizontal="center" readingOrder="0" shrinkToFit="0" wrapText="1"/>
    </xf>
    <xf borderId="2" fillId="4" fontId="1" numFmtId="3" xfId="0" applyAlignment="1" applyBorder="1" applyFill="1" applyFont="1" applyNumberForma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3" fillId="5" fontId="1" numFmtId="0" xfId="0" applyAlignment="1" applyBorder="1" applyFill="1" applyFont="1">
      <alignment horizontal="center"/>
    </xf>
    <xf borderId="3" fillId="6" fontId="1" numFmtId="0" xfId="0" applyAlignment="1" applyBorder="1" applyFill="1" applyFont="1">
      <alignment horizontal="center" readingOrder="0"/>
    </xf>
    <xf borderId="5" fillId="7" fontId="1" numFmtId="0" xfId="0" applyAlignment="1" applyBorder="1" applyFill="1" applyFont="1">
      <alignment horizontal="center" readingOrder="0"/>
    </xf>
    <xf borderId="6" fillId="8" fontId="1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8" fontId="1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4" fontId="4" numFmtId="3" xfId="0" applyAlignment="1" applyBorder="1" applyFont="1" applyNumberFormat="1">
      <alignment horizontal="center" readingOrder="0" shrinkToFit="0" wrapText="1"/>
    </xf>
    <xf borderId="2" fillId="9" fontId="1" numFmtId="3" xfId="0" applyAlignment="1" applyBorder="1" applyFill="1" applyFont="1" applyNumberFormat="1">
      <alignment horizontal="center" readingOrder="0"/>
    </xf>
    <xf borderId="10" fillId="0" fontId="1" numFmtId="3" xfId="0" applyAlignment="1" applyBorder="1" applyFont="1" applyNumberFormat="1">
      <alignment horizontal="center" readingOrder="0"/>
    </xf>
    <xf borderId="10" fillId="4" fontId="1" numFmtId="3" xfId="0" applyAlignment="1" applyBorder="1" applyFont="1" applyNumberFormat="1">
      <alignment horizontal="center" readingOrder="0" shrinkToFit="0" wrapText="0"/>
    </xf>
    <xf borderId="1" fillId="0" fontId="1" numFmtId="3" xfId="0" applyAlignment="1" applyBorder="1" applyFont="1" applyNumberFormat="1">
      <alignment readingOrder="0" shrinkToFit="0" wrapText="1"/>
    </xf>
    <xf borderId="1" fillId="10" fontId="1" numFmtId="3" xfId="0" applyAlignment="1" applyBorder="1" applyFill="1" applyFont="1" applyNumberFormat="1">
      <alignment horizontal="center" readingOrder="0" shrinkToFit="0" vertical="center" wrapText="0"/>
    </xf>
    <xf borderId="1" fillId="11" fontId="1" numFmtId="3" xfId="0" applyAlignment="1" applyBorder="1" applyFill="1" applyFont="1" applyNumberFormat="1">
      <alignment horizontal="center" readingOrder="0"/>
    </xf>
    <xf borderId="1" fillId="5" fontId="1" numFmtId="0" xfId="0" applyAlignment="1" applyBorder="1" applyFont="1">
      <alignment horizontal="center"/>
    </xf>
    <xf borderId="1" fillId="6" fontId="4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6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 shrinkToFit="0" wrapText="0"/>
    </xf>
    <xf borderId="2" fillId="6" fontId="1" numFmtId="0" xfId="0" applyAlignment="1" applyBorder="1" applyFont="1">
      <alignment horizontal="center" readingOrder="0"/>
    </xf>
    <xf borderId="11" fillId="12" fontId="1" numFmtId="0" xfId="0" applyAlignment="1" applyBorder="1" applyFill="1" applyFont="1">
      <alignment horizontal="center" readingOrder="0" shrinkToFit="0" wrapText="1"/>
    </xf>
    <xf borderId="12" fillId="7" fontId="4" numFmtId="0" xfId="0" applyAlignment="1" applyBorder="1" applyFont="1">
      <alignment horizontal="center" readingOrder="0"/>
    </xf>
    <xf borderId="1" fillId="8" fontId="4" numFmtId="0" xfId="0" applyAlignment="1" applyBorder="1" applyFont="1">
      <alignment horizontal="center" readingOrder="0"/>
    </xf>
    <xf borderId="10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 shrinkToFit="0" wrapText="0"/>
    </xf>
    <xf borderId="2" fillId="8" fontId="1" numFmtId="0" xfId="0" applyAlignment="1" applyBorder="1" applyFont="1">
      <alignment horizontal="center" readingOrder="0"/>
    </xf>
    <xf borderId="11" fillId="6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13" fillId="0" fontId="3" numFmtId="0" xfId="0" applyBorder="1" applyFont="1"/>
    <xf borderId="13" fillId="3" fontId="6" numFmtId="3" xfId="0" applyAlignment="1" applyBorder="1" applyFont="1" applyNumberFormat="1">
      <alignment horizontal="center" readingOrder="0" shrinkToFit="0" wrapText="0"/>
    </xf>
    <xf borderId="13" fillId="0" fontId="7" numFmtId="164" xfId="0" applyAlignment="1" applyBorder="1" applyFont="1" applyNumberFormat="1">
      <alignment horizontal="center" readingOrder="0"/>
    </xf>
    <xf borderId="13" fillId="0" fontId="7" numFmtId="9" xfId="0" applyAlignment="1" applyBorder="1" applyFont="1" applyNumberFormat="1">
      <alignment horizontal="center" readingOrder="0"/>
    </xf>
    <xf borderId="13" fillId="0" fontId="7" numFmtId="3" xfId="0" applyAlignment="1" applyBorder="1" applyFont="1" applyNumberFormat="1">
      <alignment horizontal="center" readingOrder="0"/>
    </xf>
    <xf borderId="13" fillId="4" fontId="8" numFmtId="3" xfId="0" applyAlignment="1" applyBorder="1" applyFont="1" applyNumberFormat="1">
      <alignment horizontal="center" readingOrder="0" shrinkToFit="0" wrapText="0"/>
    </xf>
    <xf borderId="13" fillId="12" fontId="6" numFmtId="3" xfId="0" applyAlignment="1" applyBorder="1" applyFont="1" applyNumberFormat="1">
      <alignment horizontal="center" readingOrder="0"/>
    </xf>
    <xf borderId="13" fillId="5" fontId="1" numFmtId="0" xfId="0" applyAlignment="1" applyBorder="1" applyFont="1">
      <alignment horizontal="center"/>
    </xf>
    <xf borderId="13" fillId="0" fontId="8" numFmtId="0" xfId="0" applyAlignment="1" applyBorder="1" applyFont="1">
      <alignment horizontal="center"/>
    </xf>
    <xf borderId="13" fillId="6" fontId="8" numFmtId="0" xfId="0" applyAlignment="1" applyBorder="1" applyFont="1">
      <alignment horizontal="center" readingOrder="0"/>
    </xf>
    <xf borderId="13" fillId="6" fontId="8" numFmtId="0" xfId="0" applyAlignment="1" applyBorder="1" applyFont="1">
      <alignment horizontal="center" readingOrder="0" shrinkToFit="0" wrapText="0"/>
    </xf>
    <xf borderId="13" fillId="6" fontId="6" numFmtId="0" xfId="0" applyAlignment="1" applyBorder="1" applyFont="1">
      <alignment horizontal="center" readingOrder="0"/>
    </xf>
    <xf borderId="14" fillId="0" fontId="3" numFmtId="0" xfId="0" applyBorder="1" applyFont="1"/>
    <xf borderId="13" fillId="8" fontId="8" numFmtId="0" xfId="0" applyAlignment="1" applyBorder="1" applyFont="1">
      <alignment horizontal="center" readingOrder="0"/>
    </xf>
    <xf borderId="13" fillId="8" fontId="8" numFmtId="0" xfId="0" applyAlignment="1" applyBorder="1" applyFont="1">
      <alignment horizontal="center" readingOrder="0" shrinkToFit="0" wrapText="0"/>
    </xf>
    <xf borderId="13" fillId="8" fontId="6" numFmtId="0" xfId="0" applyAlignment="1" applyBorder="1" applyFont="1">
      <alignment horizontal="center" readingOrder="0"/>
    </xf>
    <xf borderId="13" fillId="0" fontId="8" numFmtId="9" xfId="0" applyAlignment="1" applyBorder="1" applyFont="1" applyNumberFormat="1">
      <alignment horizontal="center" readingOrder="0"/>
    </xf>
    <xf borderId="8" fillId="13" fontId="1" numFmtId="3" xfId="0" applyAlignment="1" applyBorder="1" applyFill="1" applyFont="1" applyNumberFormat="1">
      <alignment horizontal="left" readingOrder="0" shrinkToFit="0" wrapText="0"/>
    </xf>
    <xf borderId="8" fillId="13" fontId="6" numFmtId="3" xfId="0" applyAlignment="1" applyBorder="1" applyFont="1" applyNumberFormat="1">
      <alignment horizontal="center" shrinkToFit="0" wrapText="0"/>
    </xf>
    <xf borderId="8" fillId="13" fontId="9" numFmtId="4" xfId="0" applyAlignment="1" applyBorder="1" applyFont="1" applyNumberFormat="1">
      <alignment horizontal="center" readingOrder="0" shrinkToFit="0" wrapText="0"/>
    </xf>
    <xf borderId="8" fillId="13" fontId="4" numFmtId="3" xfId="0" applyAlignment="1" applyBorder="1" applyFont="1" applyNumberFormat="1">
      <alignment horizontal="center"/>
    </xf>
    <xf borderId="8" fillId="13" fontId="9" numFmtId="3" xfId="0" applyAlignment="1" applyBorder="1" applyFont="1" applyNumberFormat="1">
      <alignment horizontal="center" readingOrder="0" shrinkToFit="0" wrapText="0"/>
    </xf>
    <xf borderId="8" fillId="5" fontId="9" numFmtId="3" xfId="0" applyAlignment="1" applyBorder="1" applyFont="1" applyNumberFormat="1">
      <alignment horizontal="center" readingOrder="0" shrinkToFit="0" wrapText="0"/>
    </xf>
    <xf borderId="8" fillId="7" fontId="9" numFmtId="3" xfId="0" applyAlignment="1" applyBorder="1" applyFont="1" applyNumberFormat="1">
      <alignment horizontal="center" readingOrder="0" shrinkToFit="0" wrapText="0"/>
    </xf>
    <xf borderId="0" fillId="13" fontId="10" numFmtId="0" xfId="0" applyFont="1"/>
    <xf borderId="15" fillId="0" fontId="1" numFmtId="3" xfId="0" applyAlignment="1" applyBorder="1" applyFont="1" applyNumberFormat="1">
      <alignment readingOrder="0" shrinkToFit="0" wrapText="0"/>
    </xf>
    <xf borderId="15" fillId="3" fontId="9" numFmtId="3" xfId="0" applyAlignment="1" applyBorder="1" applyFont="1" applyNumberFormat="1">
      <alignment horizontal="right" readingOrder="0" shrinkToFit="0" wrapText="0"/>
    </xf>
    <xf borderId="0" fillId="0" fontId="10" numFmtId="3" xfId="0" applyFont="1" applyNumberFormat="1"/>
    <xf borderId="15" fillId="4" fontId="9" numFmtId="3" xfId="0" applyAlignment="1" applyBorder="1" applyFont="1" applyNumberFormat="1">
      <alignment horizontal="right" readingOrder="0" shrinkToFit="0" wrapText="0"/>
    </xf>
    <xf borderId="0" fillId="0" fontId="10" numFmtId="3" xfId="0" applyAlignment="1" applyFont="1" applyNumberFormat="1">
      <alignment readingOrder="0"/>
    </xf>
    <xf borderId="0" fillId="4" fontId="10" numFmtId="3" xfId="0" applyFont="1" applyNumberFormat="1"/>
    <xf borderId="0" fillId="0" fontId="10" numFmtId="10" xfId="0" applyFont="1" applyNumberFormat="1"/>
    <xf borderId="0" fillId="10" fontId="10" numFmtId="3" xfId="0" applyFont="1" applyNumberFormat="1"/>
    <xf borderId="0" fillId="12" fontId="11" numFmtId="3" xfId="0" applyAlignment="1" applyFont="1" applyNumberFormat="1">
      <alignment readingOrder="0"/>
    </xf>
    <xf borderId="0" fillId="11" fontId="10" numFmtId="3" xfId="0" applyFont="1" applyNumberFormat="1"/>
    <xf borderId="0" fillId="5" fontId="10" numFmtId="0" xfId="0" applyFont="1"/>
    <xf borderId="0" fillId="6" fontId="10" numFmtId="0" xfId="0" applyAlignment="1" applyFont="1">
      <alignment readingOrder="0"/>
    </xf>
    <xf borderId="0" fillId="7" fontId="10" numFmtId="0" xfId="0" applyFont="1"/>
    <xf borderId="16" fillId="0" fontId="1" numFmtId="3" xfId="0" applyAlignment="1" applyBorder="1" applyFont="1" applyNumberFormat="1">
      <alignment readingOrder="0" shrinkToFit="0" wrapText="0"/>
    </xf>
    <xf borderId="0" fillId="12" fontId="10" numFmtId="3" xfId="0" applyAlignment="1" applyFont="1" applyNumberFormat="1">
      <alignment readingOrder="0"/>
    </xf>
    <xf borderId="15" fillId="4" fontId="6" numFmtId="3" xfId="0" applyAlignment="1" applyBorder="1" applyFont="1" applyNumberFormat="1">
      <alignment horizontal="right" readingOrder="0" shrinkToFit="0" wrapText="0"/>
    </xf>
    <xf borderId="17" fillId="0" fontId="1" numFmtId="3" xfId="0" applyAlignment="1" applyBorder="1" applyFont="1" applyNumberFormat="1">
      <alignment readingOrder="0" shrinkToFit="0" wrapText="0"/>
    </xf>
    <xf borderId="8" fillId="3" fontId="6" numFmtId="3" xfId="0" applyAlignment="1" applyBorder="1" applyFont="1" applyNumberFormat="1">
      <alignment horizontal="right" readingOrder="0" shrinkToFit="0" wrapText="0"/>
    </xf>
    <xf borderId="15" fillId="3" fontId="6" numFmtId="3" xfId="0" applyAlignment="1" applyBorder="1" applyFont="1" applyNumberFormat="1">
      <alignment horizontal="right" readingOrder="0" shrinkToFit="0" wrapText="0"/>
    </xf>
    <xf borderId="16" fillId="0" fontId="5" numFmtId="3" xfId="0" applyAlignment="1" applyBorder="1" applyFont="1" applyNumberFormat="1">
      <alignment readingOrder="0" shrinkToFit="0" wrapText="0"/>
    </xf>
    <xf borderId="16" fillId="14" fontId="8" numFmtId="3" xfId="0" applyAlignment="1" applyBorder="1" applyFill="1" applyFont="1" applyNumberFormat="1">
      <alignment readingOrder="0" shrinkToFit="0" wrapText="0"/>
    </xf>
    <xf borderId="15" fillId="14" fontId="6" numFmtId="3" xfId="0" applyAlignment="1" applyBorder="1" applyFont="1" applyNumberFormat="1">
      <alignment shrinkToFit="0" wrapText="0"/>
    </xf>
    <xf borderId="15" fillId="5" fontId="6" numFmtId="3" xfId="0" applyAlignment="1" applyBorder="1" applyFont="1" applyNumberFormat="1">
      <alignment shrinkToFit="0" wrapText="0"/>
    </xf>
    <xf borderId="16" fillId="14" fontId="6" numFmtId="3" xfId="0" applyAlignment="1" applyBorder="1" applyFont="1" applyNumberFormat="1">
      <alignment shrinkToFit="0" wrapText="0"/>
    </xf>
    <xf borderId="15" fillId="14" fontId="8" numFmtId="0" xfId="0" applyAlignment="1" applyBorder="1" applyFont="1">
      <alignment shrinkToFit="0" wrapText="0"/>
    </xf>
    <xf borderId="15" fillId="14" fontId="8" numFmtId="0" xfId="0" applyAlignment="1" applyBorder="1" applyFont="1">
      <alignment horizontal="right" readingOrder="0" shrinkToFit="0" wrapText="0"/>
    </xf>
    <xf borderId="15" fillId="14" fontId="8" numFmtId="0" xfId="0" applyAlignment="1" applyBorder="1" applyFont="1">
      <alignment readingOrder="0" shrinkToFit="0" wrapText="0"/>
    </xf>
    <xf borderId="16" fillId="14" fontId="6" numFmtId="0" xfId="0" applyAlignment="1" applyBorder="1" applyFont="1">
      <alignment shrinkToFit="0" wrapText="0"/>
    </xf>
    <xf borderId="18" fillId="14" fontId="6" numFmtId="0" xfId="0" applyAlignment="1" applyBorder="1" applyFont="1">
      <alignment shrinkToFit="0" wrapText="0"/>
    </xf>
    <xf borderId="18" fillId="7" fontId="6" numFmtId="0" xfId="0" applyAlignment="1" applyBorder="1" applyFont="1">
      <alignment shrinkToFit="0" wrapText="0"/>
    </xf>
    <xf borderId="15" fillId="14" fontId="6" numFmtId="0" xfId="0" applyAlignment="1" applyBorder="1" applyFont="1">
      <alignment shrinkToFit="0" wrapText="0"/>
    </xf>
    <xf borderId="17" fillId="15" fontId="1" numFmtId="3" xfId="0" applyAlignment="1" applyBorder="1" applyFill="1" applyFont="1" applyNumberFormat="1">
      <alignment readingOrder="0" shrinkToFit="0" wrapText="0"/>
    </xf>
    <xf borderId="8" fillId="4" fontId="6" numFmtId="3" xfId="0" applyAlignment="1" applyBorder="1" applyFont="1" applyNumberFormat="1">
      <alignment horizontal="right" readingOrder="0" shrinkToFit="0" wrapText="0"/>
    </xf>
    <xf borderId="17" fillId="15" fontId="8" numFmtId="3" xfId="0" applyAlignment="1" applyBorder="1" applyFont="1" applyNumberFormat="1">
      <alignment readingOrder="0" shrinkToFit="0" wrapText="0"/>
    </xf>
    <xf borderId="17" fillId="0" fontId="8" numFmtId="3" xfId="0" applyAlignment="1" applyBorder="1" applyFont="1" applyNumberFormat="1">
      <alignment readingOrder="0" shrinkToFit="0" wrapText="0"/>
    </xf>
    <xf borderId="17" fillId="16" fontId="8" numFmtId="3" xfId="0" applyAlignment="1" applyBorder="1" applyFill="1" applyFont="1" applyNumberFormat="1">
      <alignment readingOrder="0" shrinkToFit="0" wrapText="0"/>
    </xf>
    <xf borderId="8" fillId="16" fontId="6" numFmtId="3" xfId="0" applyAlignment="1" applyBorder="1" applyFont="1" applyNumberFormat="1">
      <alignment shrinkToFit="0" wrapText="0"/>
    </xf>
    <xf borderId="8" fillId="5" fontId="6" numFmtId="3" xfId="0" applyAlignment="1" applyBorder="1" applyFont="1" applyNumberFormat="1">
      <alignment shrinkToFit="0" wrapText="0"/>
    </xf>
    <xf borderId="0" fillId="16" fontId="10" numFmtId="0" xfId="0" applyFont="1"/>
    <xf borderId="17" fillId="15" fontId="8" numFmtId="0" xfId="0" applyAlignment="1" applyBorder="1" applyFont="1">
      <alignment readingOrder="0" shrinkToFit="0" wrapText="0"/>
    </xf>
    <xf borderId="17" fillId="0" fontId="8" numFmtId="0" xfId="0" applyAlignment="1" applyBorder="1" applyFont="1">
      <alignment readingOrder="0" shrinkToFit="0" wrapText="0"/>
    </xf>
    <xf borderId="17" fillId="0" fontId="8" numFmtId="0" xfId="0" applyAlignment="1" applyBorder="1" applyFont="1">
      <alignment shrinkToFit="0" wrapText="0"/>
    </xf>
    <xf borderId="17" fillId="0" fontId="1" numFmtId="0" xfId="0" applyAlignment="1" applyBorder="1" applyFont="1">
      <alignment readingOrder="0" shrinkToFit="0" wrapText="0"/>
    </xf>
    <xf borderId="15" fillId="4" fontId="9" numFmtId="0" xfId="0" applyAlignment="1" applyBorder="1" applyFont="1">
      <alignment horizontal="right" readingOrder="0" shrinkToFit="0" wrapText="0"/>
    </xf>
    <xf borderId="0" fillId="0" fontId="10" numFmtId="0" xfId="0" applyFont="1"/>
    <xf borderId="15" fillId="4" fontId="6" numFmtId="0" xfId="0" applyAlignment="1" applyBorder="1" applyFont="1">
      <alignment horizontal="right" readingOrder="0" shrinkToFit="0" wrapText="0"/>
    </xf>
    <xf borderId="0" fillId="0" fontId="7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6" fontId="10" numFmtId="0" xfId="0" applyFont="1"/>
    <xf borderId="0" fillId="4" fontId="9" numFmtId="0" xfId="0" applyAlignment="1" applyFont="1">
      <alignment horizontal="right" readingOrder="0" shrinkToFit="0" wrapText="0"/>
    </xf>
    <xf borderId="0" fillId="17" fontId="12" numFmtId="0" xfId="0" applyAlignment="1" applyFill="1" applyFont="1">
      <alignment readingOrder="0" shrinkToFit="0" wrapText="0"/>
    </xf>
    <xf borderId="0" fillId="17" fontId="10" numFmtId="0" xfId="0" applyAlignment="1" applyFont="1">
      <alignment readingOrder="0"/>
    </xf>
    <xf borderId="0" fillId="17" fontId="9" numFmtId="3" xfId="0" applyAlignment="1" applyFont="1" applyNumberFormat="1">
      <alignment horizontal="right" readingOrder="0" shrinkToFit="0" wrapText="0"/>
    </xf>
    <xf borderId="0" fillId="17" fontId="10" numFmtId="3" xfId="0" applyFont="1" applyNumberFormat="1"/>
    <xf borderId="0" fillId="17" fontId="9" numFmtId="0" xfId="0" applyAlignment="1" applyFont="1">
      <alignment horizontal="right" readingOrder="0" shrinkToFit="0" wrapText="0"/>
    </xf>
    <xf borderId="0" fillId="17" fontId="10" numFmtId="3" xfId="0" applyAlignment="1" applyFont="1" applyNumberFormat="1">
      <alignment readingOrder="0"/>
    </xf>
    <xf borderId="0" fillId="17" fontId="10" numFmtId="10" xfId="0" applyFont="1" applyNumberFormat="1"/>
    <xf borderId="0" fillId="17" fontId="10" numFmtId="0" xfId="0" applyFont="1"/>
    <xf borderId="17" fillId="0" fontId="7" numFmtId="0" xfId="0" applyAlignment="1" applyBorder="1" applyFont="1">
      <alignment readingOrder="0" shrinkToFit="0" wrapText="0"/>
    </xf>
    <xf borderId="0" fillId="0" fontId="10" numFmtId="1" xfId="0" applyFont="1" applyNumberFormat="1"/>
    <xf borderId="8" fillId="4" fontId="6" numFmtId="0" xfId="0" applyAlignment="1" applyBorder="1" applyFont="1">
      <alignment horizontal="right" readingOrder="0" shrinkToFit="0" wrapText="0"/>
    </xf>
    <xf borderId="0" fillId="4" fontId="10" numFmtId="0" xfId="0" applyFont="1"/>
    <xf borderId="0" fillId="10" fontId="10" numFmtId="0" xfId="0" applyFont="1"/>
    <xf borderId="0" fillId="12" fontId="10" numFmtId="0" xfId="0" applyFont="1"/>
    <xf borderId="0" fillId="11" fontId="10" numFmtId="0" xfId="0" applyFont="1"/>
    <xf borderId="0" fillId="3" fontId="9" numFmtId="3" xfId="0" applyAlignment="1" applyFont="1" applyNumberFormat="1">
      <alignment horizontal="right" readingOrder="0" shrinkToFit="0" wrapText="0"/>
    </xf>
    <xf borderId="17" fillId="18" fontId="1" numFmtId="0" xfId="0" applyAlignment="1" applyBorder="1" applyFill="1" applyFont="1">
      <alignment readingOrder="0" shrinkToFit="0" wrapText="0"/>
    </xf>
    <xf borderId="0" fillId="18" fontId="10" numFmtId="0" xfId="0" applyFont="1"/>
    <xf borderId="8" fillId="0" fontId="1" numFmtId="0" xfId="0" applyAlignment="1" applyBorder="1" applyFont="1">
      <alignment readingOrder="0" shrinkToFit="0" wrapText="0"/>
    </xf>
    <xf borderId="8" fillId="3" fontId="9" numFmtId="3" xfId="0" applyAlignment="1" applyBorder="1" applyFont="1" applyNumberFormat="1">
      <alignment horizontal="right" readingOrder="0" shrinkToFit="0" wrapText="0"/>
    </xf>
    <xf borderId="8" fillId="4" fontId="9" numFmtId="0" xfId="0" applyAlignment="1" applyBorder="1" applyFont="1">
      <alignment horizontal="right" readingOrder="0" shrinkToFit="0" wrapText="0"/>
    </xf>
    <xf borderId="17" fillId="0" fontId="1" numFmtId="0" xfId="0" applyAlignment="1" applyBorder="1" applyFont="1">
      <alignment shrinkToFit="0" wrapText="0"/>
    </xf>
    <xf borderId="8" fillId="16" fontId="6" numFmtId="0" xfId="0" applyAlignment="1" applyBorder="1" applyFont="1">
      <alignment shrinkToFit="0" wrapText="0"/>
    </xf>
    <xf borderId="8" fillId="5" fontId="6" numFmtId="0" xfId="0" applyAlignment="1" applyBorder="1" applyFont="1">
      <alignment shrinkToFit="0" wrapText="0"/>
    </xf>
    <xf borderId="8" fillId="0" fontId="9" numFmtId="0" xfId="0" applyAlignment="1" applyBorder="1" applyFont="1">
      <alignment horizontal="right" readingOrder="0" shrinkToFit="0" wrapText="0"/>
    </xf>
    <xf borderId="16" fillId="14" fontId="1" numFmtId="0" xfId="0" applyAlignment="1" applyBorder="1" applyFont="1">
      <alignment readingOrder="0" shrinkToFit="0" wrapText="0"/>
    </xf>
    <xf borderId="15" fillId="5" fontId="6" numFmtId="0" xfId="0" applyAlignment="1" applyBorder="1" applyFont="1">
      <alignment shrinkToFit="0" wrapText="0"/>
    </xf>
    <xf borderId="0" fillId="14" fontId="10" numFmtId="0" xfId="0" applyFont="1"/>
    <xf borderId="8" fillId="0" fontId="6" numFmtId="0" xfId="0" applyAlignment="1" applyBorder="1" applyFont="1">
      <alignment horizontal="right" readingOrder="0" shrinkToFit="0" wrapText="0"/>
    </xf>
    <xf borderId="17" fillId="19" fontId="1" numFmtId="0" xfId="0" applyAlignment="1" applyBorder="1" applyFill="1" applyFont="1">
      <alignment readingOrder="0" shrinkToFit="0" wrapText="0"/>
    </xf>
    <xf borderId="8" fillId="19" fontId="6" numFmtId="0" xfId="0" applyAlignment="1" applyBorder="1" applyFont="1">
      <alignment shrinkToFit="0" wrapText="0"/>
    </xf>
    <xf borderId="0" fillId="19" fontId="10" numFmtId="0" xfId="0" applyFont="1"/>
    <xf borderId="17" fillId="9" fontId="8" numFmtId="0" xfId="0" applyAlignment="1" applyBorder="1" applyFont="1">
      <alignment readingOrder="0" shrinkToFit="0" wrapText="0"/>
    </xf>
    <xf borderId="8" fillId="9" fontId="6" numFmtId="0" xfId="0" applyAlignment="1" applyBorder="1" applyFont="1">
      <alignment shrinkToFit="0" wrapText="0"/>
    </xf>
    <xf borderId="0" fillId="9" fontId="10" numFmtId="0" xfId="0" applyFont="1"/>
    <xf borderId="19" fillId="0" fontId="1" numFmtId="0" xfId="0" applyAlignment="1" applyBorder="1" applyFont="1">
      <alignment readingOrder="0" shrinkToFit="0" wrapText="0"/>
    </xf>
    <xf borderId="16" fillId="14" fontId="8" numFmtId="0" xfId="0" applyAlignment="1" applyBorder="1" applyFont="1">
      <alignment readingOrder="0" shrinkToFit="0" wrapText="0"/>
    </xf>
    <xf borderId="8" fillId="4" fontId="6" numFmtId="0" xfId="0" applyAlignment="1" applyBorder="1" applyFont="1">
      <alignment shrinkToFit="0" wrapText="0"/>
    </xf>
    <xf borderId="0" fillId="12" fontId="10" numFmtId="3" xfId="0" applyFont="1" applyNumberFormat="1"/>
    <xf borderId="8" fillId="0" fontId="8" numFmtId="0" xfId="0" applyAlignment="1" applyBorder="1" applyFont="1">
      <alignment readingOrder="0" shrinkToFit="0" wrapText="0"/>
    </xf>
    <xf borderId="17" fillId="14" fontId="8" numFmtId="0" xfId="0" applyAlignment="1" applyBorder="1" applyFont="1">
      <alignment readingOrder="0" shrinkToFit="0" wrapText="0"/>
    </xf>
    <xf borderId="15" fillId="14" fontId="9" numFmtId="3" xfId="0" applyAlignment="1" applyBorder="1" applyFont="1" applyNumberFormat="1">
      <alignment horizontal="right" readingOrder="0" shrinkToFit="0" wrapText="0"/>
    </xf>
    <xf borderId="0" fillId="14" fontId="10" numFmtId="1" xfId="0" applyFont="1" applyNumberFormat="1"/>
    <xf borderId="8" fillId="14" fontId="6" numFmtId="0" xfId="0" applyAlignment="1" applyBorder="1" applyFont="1">
      <alignment shrinkToFit="0" wrapText="0"/>
    </xf>
    <xf borderId="1" fillId="3" fontId="4" numFmtId="3" xfId="0" applyAlignment="1" applyBorder="1" applyFont="1" applyNumberFormat="1">
      <alignment horizontal="center" readingOrder="0"/>
    </xf>
    <xf borderId="11" fillId="12" fontId="1" numFmtId="0" xfId="0" applyAlignment="1" applyBorder="1" applyFont="1">
      <alignment horizontal="center" readingOrder="0"/>
    </xf>
    <xf borderId="11" fillId="6" fontId="1" numFmtId="0" xfId="0" applyAlignment="1" applyBorder="1" applyFont="1">
      <alignment horizontal="center" readingOrder="0"/>
    </xf>
    <xf borderId="17" fillId="20" fontId="8" numFmtId="0" xfId="0" applyAlignment="1" applyBorder="1" applyFill="1" applyFont="1">
      <alignment readingOrder="0" shrinkToFit="0" wrapText="0"/>
    </xf>
    <xf borderId="0" fillId="20" fontId="10" numFmtId="0" xfId="0" applyFont="1"/>
    <xf borderId="15" fillId="20" fontId="9" numFmtId="3" xfId="0" applyAlignment="1" applyBorder="1" applyFont="1" applyNumberFormat="1">
      <alignment horizontal="right" readingOrder="0" shrinkToFit="0" wrapText="0"/>
    </xf>
    <xf borderId="0" fillId="20" fontId="10" numFmtId="3" xfId="0" applyFont="1" applyNumberFormat="1"/>
    <xf borderId="8" fillId="20" fontId="6" numFmtId="0" xfId="0" applyAlignment="1" applyBorder="1" applyFont="1">
      <alignment shrinkToFit="0" wrapText="0"/>
    </xf>
    <xf borderId="0" fillId="20" fontId="10" numFmtId="3" xfId="0" applyAlignment="1" applyFont="1" applyNumberFormat="1">
      <alignment readingOrder="0"/>
    </xf>
    <xf borderId="0" fillId="20" fontId="10" numFmtId="10" xfId="0" applyFont="1" applyNumberFormat="1"/>
    <xf borderId="17" fillId="21" fontId="8" numFmtId="0" xfId="0" applyAlignment="1" applyBorder="1" applyFill="1" applyFont="1">
      <alignment readingOrder="0" shrinkToFit="0" wrapText="0"/>
    </xf>
    <xf borderId="0" fillId="21" fontId="10" numFmtId="0" xfId="0" applyFont="1"/>
    <xf borderId="15" fillId="21" fontId="9" numFmtId="165" xfId="0" applyAlignment="1" applyBorder="1" applyFont="1" applyNumberFormat="1">
      <alignment horizontal="right" readingOrder="0" shrinkToFit="0" wrapText="0"/>
    </xf>
    <xf borderId="0" fillId="21" fontId="10" numFmtId="1" xfId="0" applyFont="1" applyNumberFormat="1"/>
    <xf borderId="8" fillId="21" fontId="6" numFmtId="0" xfId="0" applyAlignment="1" applyBorder="1" applyFont="1">
      <alignment shrinkToFit="0" wrapText="0"/>
    </xf>
    <xf borderId="17" fillId="22" fontId="8" numFmtId="0" xfId="0" applyAlignment="1" applyBorder="1" applyFill="1" applyFont="1">
      <alignment readingOrder="0" shrinkToFit="0" wrapText="0"/>
    </xf>
    <xf borderId="0" fillId="22" fontId="10" numFmtId="0" xfId="0" applyFont="1"/>
    <xf borderId="15" fillId="22" fontId="9" numFmtId="3" xfId="0" applyAlignment="1" applyBorder="1" applyFont="1" applyNumberFormat="1">
      <alignment horizontal="right" readingOrder="0" shrinkToFit="0" wrapText="0"/>
    </xf>
    <xf borderId="0" fillId="22" fontId="10" numFmtId="1" xfId="0" applyFont="1" applyNumberFormat="1"/>
    <xf borderId="8" fillId="22" fontId="6" numFmtId="0" xfId="0" applyAlignment="1" applyBorder="1" applyFont="1">
      <alignment horizontal="right" readingOrder="0"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1" fillId="23" fontId="5" numFmtId="3" xfId="0" applyAlignment="1" applyBorder="1" applyFill="1" applyFont="1" applyNumberFormat="1">
      <alignment horizontal="center" readingOrder="0"/>
    </xf>
    <xf borderId="13" fillId="0" fontId="7" numFmtId="0" xfId="0" applyAlignment="1" applyBorder="1" applyFont="1">
      <alignment horizontal="center" readingOrder="0"/>
    </xf>
    <xf borderId="17" fillId="24" fontId="1" numFmtId="0" xfId="0" applyAlignment="1" applyBorder="1" applyFill="1" applyFont="1">
      <alignment readingOrder="0" shrinkToFit="0" wrapText="0"/>
    </xf>
    <xf borderId="8" fillId="24" fontId="6" numFmtId="0" xfId="0" applyAlignment="1" applyBorder="1" applyFont="1">
      <alignment shrinkToFit="0" wrapText="0"/>
    </xf>
    <xf borderId="0" fillId="24" fontId="10" numFmtId="0" xfId="0" applyFont="1"/>
    <xf borderId="13" fillId="0" fontId="7" numFmtId="10" xfId="0" applyAlignment="1" applyBorder="1" applyFont="1" applyNumberFormat="1">
      <alignment horizontal="center" readingOrder="0"/>
    </xf>
    <xf borderId="8" fillId="13" fontId="9" numFmtId="165" xfId="0" applyAlignment="1" applyBorder="1" applyFont="1" applyNumberFormat="1">
      <alignment horizontal="center" readingOrder="0" shrinkToFit="0" wrapText="0"/>
    </xf>
    <xf borderId="1" fillId="25" fontId="5" numFmtId="3" xfId="0" applyAlignment="1" applyBorder="1" applyFill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wrapText="0"/>
    </xf>
    <xf borderId="11" fillId="0" fontId="1" numFmtId="0" xfId="0" applyAlignment="1" applyBorder="1" applyFont="1">
      <alignment horizontal="center" readingOrder="0"/>
    </xf>
    <xf borderId="20" fillId="0" fontId="3" numFmtId="0" xfId="0" applyBorder="1" applyFont="1"/>
    <xf borderId="21" fillId="0" fontId="3" numFmtId="0" xfId="0" applyBorder="1" applyFont="1"/>
    <xf borderId="0" fillId="0" fontId="13" numFmtId="0" xfId="0" applyAlignment="1" applyFont="1">
      <alignment shrinkToFit="0" vertical="bottom" wrapText="0"/>
    </xf>
    <xf borderId="22" fillId="0" fontId="3" numFmtId="0" xfId="0" applyBorder="1" applyFont="1"/>
    <xf borderId="23" fillId="0" fontId="3" numFmtId="0" xfId="0" applyBorder="1" applyFont="1"/>
    <xf borderId="14" fillId="0" fontId="1" numFmtId="0" xfId="0" applyAlignment="1" applyBorder="1" applyFont="1">
      <alignment horizontal="center" readingOrder="0"/>
    </xf>
    <xf borderId="24" fillId="0" fontId="1" numFmtId="0" xfId="0" applyAlignment="1" applyBorder="1" applyFont="1">
      <alignment horizontal="center" readingOrder="0"/>
    </xf>
    <xf borderId="25" fillId="0" fontId="1" numFmtId="0" xfId="0" applyAlignment="1" applyBorder="1" applyFont="1">
      <alignment horizontal="center" readingOrder="0"/>
    </xf>
    <xf borderId="15" fillId="0" fontId="8" numFmtId="0" xfId="0" applyAlignment="1" applyBorder="1" applyFont="1">
      <alignment readingOrder="0" shrinkToFit="0" wrapText="0"/>
    </xf>
    <xf borderId="15" fillId="0" fontId="8" numFmtId="0" xfId="0" applyBorder="1" applyFont="1"/>
    <xf borderId="15" fillId="0" fontId="8" numFmtId="0" xfId="0" applyAlignment="1" applyBorder="1" applyFont="1">
      <alignment readingOrder="0"/>
    </xf>
    <xf borderId="15" fillId="15" fontId="6" numFmtId="0" xfId="0" applyAlignment="1" applyBorder="1" applyFont="1">
      <alignment readingOrder="0" shrinkToFit="0" wrapText="0"/>
    </xf>
    <xf borderId="16" fillId="0" fontId="8" numFmtId="0" xfId="0" applyAlignment="1" applyBorder="1" applyFont="1">
      <alignment readingOrder="0" shrinkToFit="0" wrapText="0"/>
    </xf>
    <xf borderId="16" fillId="0" fontId="8" numFmtId="0" xfId="0" applyBorder="1" applyFont="1"/>
    <xf borderId="16" fillId="0" fontId="8" numFmtId="0" xfId="0" applyAlignment="1" applyBorder="1" applyFont="1">
      <alignment readingOrder="0"/>
    </xf>
    <xf borderId="16" fillId="15" fontId="6" numFmtId="0" xfId="0" applyAlignment="1" applyBorder="1" applyFont="1">
      <alignment readingOrder="0" shrinkToFit="0" wrapText="0"/>
    </xf>
    <xf borderId="16" fillId="15" fontId="6" numFmtId="0" xfId="0" applyAlignment="1" applyBorder="1" applyFont="1">
      <alignment shrinkToFit="0" wrapText="0"/>
    </xf>
    <xf borderId="16" fillId="0" fontId="8" numFmtId="0" xfId="0" applyAlignment="1" applyBorder="1" applyFont="1">
      <alignment shrinkToFit="0" wrapText="0"/>
    </xf>
    <xf borderId="16" fillId="26" fontId="8" numFmtId="0" xfId="0" applyAlignment="1" applyBorder="1" applyFill="1" applyFont="1">
      <alignment readingOrder="0" shrinkToFit="0" wrapText="0"/>
    </xf>
    <xf borderId="16" fillId="26" fontId="8" numFmtId="0" xfId="0" applyAlignment="1" applyBorder="1" applyFont="1">
      <alignment shrinkToFit="0" wrapText="0"/>
    </xf>
    <xf borderId="16" fillId="26" fontId="8" numFmtId="0" xfId="0" applyBorder="1" applyFont="1"/>
    <xf borderId="0" fillId="26" fontId="8" numFmtId="0" xfId="0" applyAlignment="1" applyFont="1">
      <alignment shrinkToFit="0" wrapText="0"/>
    </xf>
    <xf borderId="16" fillId="0" fontId="7" numFmtId="0" xfId="0" applyAlignment="1" applyBorder="1" applyFont="1">
      <alignment readingOrder="0" shrinkToFit="0" wrapText="0"/>
    </xf>
    <xf borderId="16" fillId="15" fontId="8" numFmtId="0" xfId="0" applyBorder="1" applyFont="1"/>
    <xf borderId="16" fillId="15" fontId="8" numFmtId="0" xfId="0" applyAlignment="1" applyBorder="1" applyFont="1">
      <alignment shrinkToFit="0" wrapText="0"/>
    </xf>
    <xf borderId="0" fillId="15" fontId="8" numFmtId="0" xfId="0" applyAlignment="1" applyFont="1">
      <alignment shrinkToFit="0" wrapText="0"/>
    </xf>
    <xf borderId="16" fillId="15" fontId="7" numFmtId="0" xfId="0" applyAlignment="1" applyBorder="1" applyFont="1">
      <alignment readingOrder="0" shrinkToFit="0" wrapText="0"/>
    </xf>
    <xf borderId="16" fillId="14" fontId="8" numFmtId="0" xfId="0" applyAlignment="1" applyBorder="1" applyFont="1">
      <alignment shrinkToFit="0" wrapText="0"/>
    </xf>
    <xf borderId="16" fillId="14" fontId="8" numFmtId="0" xfId="0" applyBorder="1" applyFont="1"/>
    <xf borderId="0" fillId="14" fontId="8" numFmtId="0" xfId="0" applyAlignment="1" applyFont="1">
      <alignment shrinkToFit="0" wrapText="0"/>
    </xf>
    <xf borderId="17" fillId="0" fontId="8" numFmtId="0" xfId="0" applyAlignment="1" applyBorder="1" applyFont="1">
      <alignment readingOrder="0"/>
    </xf>
    <xf borderId="17" fillId="0" fontId="8" numFmtId="0" xfId="0" applyBorder="1" applyFont="1"/>
    <xf borderId="17" fillId="9" fontId="8" numFmtId="0" xfId="0" applyAlignment="1" applyBorder="1" applyFont="1">
      <alignment shrinkToFit="0" wrapText="0"/>
    </xf>
    <xf borderId="17" fillId="9" fontId="8" numFmtId="0" xfId="0" applyBorder="1" applyFont="1"/>
    <xf borderId="17" fillId="0" fontId="8" numFmtId="0" xfId="0" applyAlignment="1" applyBorder="1" applyFont="1">
      <alignment horizontal="center"/>
    </xf>
    <xf borderId="17" fillId="0" fontId="8" numFmtId="0" xfId="0" applyAlignment="1" applyBorder="1" applyFont="1">
      <alignment horizontal="center" readingOrder="0" shrinkToFit="0" wrapText="0"/>
    </xf>
    <xf borderId="8" fillId="0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 readingOrder="0"/>
    </xf>
    <xf borderId="17" fillId="0" fontId="8" numFmtId="0" xfId="0" applyAlignment="1" applyBorder="1" applyFont="1">
      <alignment horizontal="center" readingOrder="0"/>
    </xf>
    <xf borderId="17" fillId="26" fontId="1" numFmtId="0" xfId="0" applyAlignment="1" applyBorder="1" applyFont="1">
      <alignment readingOrder="0" shrinkToFit="0" wrapText="0"/>
    </xf>
    <xf borderId="17" fillId="26" fontId="8" numFmtId="0" xfId="0" applyAlignment="1" applyBorder="1" applyFont="1">
      <alignment shrinkToFit="0" wrapText="0"/>
    </xf>
    <xf borderId="17" fillId="26" fontId="8" numFmtId="0" xfId="0" applyBorder="1" applyFont="1"/>
    <xf borderId="0" fillId="26" fontId="13" numFmtId="0" xfId="0" applyAlignment="1" applyFont="1">
      <alignment shrinkToFit="0" vertical="bottom" wrapText="0"/>
    </xf>
    <xf borderId="8" fillId="0" fontId="8" numFmtId="0" xfId="0" applyAlignment="1" applyBorder="1" applyFont="1">
      <alignment shrinkToFit="0" wrapText="0"/>
    </xf>
    <xf borderId="17" fillId="18" fontId="8" numFmtId="0" xfId="0" applyAlignment="1" applyBorder="1" applyFont="1">
      <alignment shrinkToFit="0" wrapText="0"/>
    </xf>
    <xf borderId="17" fillId="18" fontId="8" numFmtId="0" xfId="0" applyBorder="1" applyFont="1"/>
    <xf borderId="22" fillId="0" fontId="8" numFmtId="0" xfId="0" applyAlignment="1" applyBorder="1" applyFont="1">
      <alignment readingOrder="0" shrinkToFit="0" wrapText="0"/>
    </xf>
    <xf borderId="17" fillId="13" fontId="1" numFmtId="0" xfId="0" applyAlignment="1" applyBorder="1" applyFont="1">
      <alignment readingOrder="0" shrinkToFit="0" wrapText="0"/>
    </xf>
    <xf borderId="17" fillId="13" fontId="8" numFmtId="0" xfId="0" applyAlignment="1" applyBorder="1" applyFont="1">
      <alignment shrinkToFit="0" wrapText="0"/>
    </xf>
    <xf borderId="17" fillId="13" fontId="8" numFmtId="0" xfId="0" applyBorder="1" applyFont="1"/>
    <xf borderId="0" fillId="13" fontId="13" numFmtId="0" xfId="0" applyAlignment="1" applyFont="1">
      <alignment shrinkToFit="0" vertical="bottom" wrapText="0"/>
    </xf>
    <xf borderId="0" fillId="9" fontId="13" numFmtId="0" xfId="0" applyAlignment="1" applyFont="1">
      <alignment shrinkToFit="0" vertical="bottom" wrapText="0"/>
    </xf>
    <xf borderId="19" fillId="0" fontId="8" numFmtId="0" xfId="0" applyAlignment="1" applyBorder="1" applyFont="1">
      <alignment readingOrder="0" shrinkToFit="0" wrapText="0"/>
    </xf>
    <xf borderId="9" fillId="0" fontId="8" numFmtId="0" xfId="0" applyAlignment="1" applyBorder="1" applyFont="1">
      <alignment horizontal="center"/>
    </xf>
    <xf borderId="19" fillId="0" fontId="8" numFmtId="0" xfId="0" applyAlignment="1" applyBorder="1" applyFont="1">
      <alignment readingOrder="0"/>
    </xf>
    <xf borderId="19" fillId="0" fontId="8" numFmtId="0" xfId="0" applyAlignment="1" applyBorder="1" applyFont="1">
      <alignment shrinkToFit="0" wrapText="0"/>
    </xf>
    <xf borderId="17" fillId="27" fontId="8" numFmtId="0" xfId="0" applyAlignment="1" applyBorder="1" applyFill="1" applyFont="1">
      <alignment readingOrder="0" shrinkToFit="0" wrapText="0"/>
    </xf>
    <xf borderId="17" fillId="27" fontId="8" numFmtId="0" xfId="0" applyAlignment="1" applyBorder="1" applyFont="1">
      <alignment shrinkToFit="0" wrapText="0"/>
    </xf>
    <xf borderId="8" fillId="27" fontId="8" numFmtId="0" xfId="0" applyAlignment="1" applyBorder="1" applyFont="1">
      <alignment horizontal="center"/>
    </xf>
    <xf borderId="17" fillId="27" fontId="8" numFmtId="0" xfId="0" applyBorder="1" applyFont="1"/>
    <xf borderId="0" fillId="27" fontId="13" numFmtId="0" xfId="0" applyAlignment="1" applyFont="1">
      <alignment shrinkToFit="0" vertical="bottom" wrapText="0"/>
    </xf>
    <xf borderId="17" fillId="28" fontId="8" numFmtId="0" xfId="0" applyAlignment="1" applyBorder="1" applyFill="1" applyFont="1">
      <alignment readingOrder="0" shrinkToFit="0" wrapText="0"/>
    </xf>
    <xf borderId="17" fillId="28" fontId="8" numFmtId="0" xfId="0" applyAlignment="1" applyBorder="1" applyFont="1">
      <alignment shrinkToFit="0" wrapText="0"/>
    </xf>
    <xf borderId="8" fillId="28" fontId="8" numFmtId="0" xfId="0" applyAlignment="1" applyBorder="1" applyFont="1">
      <alignment horizontal="center"/>
    </xf>
    <xf borderId="17" fillId="28" fontId="8" numFmtId="0" xfId="0" applyBorder="1" applyFont="1"/>
    <xf borderId="0" fillId="28" fontId="13" numFmtId="0" xfId="0" applyAlignment="1" applyFont="1">
      <alignment shrinkToFit="0" vertical="bottom" wrapText="0"/>
    </xf>
    <xf borderId="17" fillId="15" fontId="8" numFmtId="0" xfId="0" applyAlignment="1" applyBorder="1" applyFont="1">
      <alignment shrinkToFit="0" wrapText="0"/>
    </xf>
    <xf borderId="17" fillId="29" fontId="8" numFmtId="0" xfId="0" applyAlignment="1" applyBorder="1" applyFill="1" applyFont="1">
      <alignment shrinkToFit="0" wrapText="0"/>
    </xf>
    <xf borderId="17" fillId="29" fontId="8" numFmtId="0" xfId="0" applyBorder="1" applyFont="1"/>
    <xf borderId="8" fillId="29" fontId="8" numFmtId="0" xfId="0" applyAlignment="1" applyBorder="1" applyFont="1">
      <alignment shrinkToFit="0" wrapText="0"/>
    </xf>
    <xf borderId="0" fillId="29" fontId="10" numFmtId="0" xfId="0" applyFont="1"/>
    <xf borderId="17" fillId="15" fontId="7" numFmtId="0" xfId="0" applyAlignment="1" applyBorder="1" applyFont="1">
      <alignment readingOrder="0" shrinkToFit="0" wrapText="0"/>
    </xf>
    <xf borderId="1" fillId="30" fontId="14" numFmtId="3" xfId="0" applyAlignment="1" applyBorder="1" applyFill="1" applyFont="1" applyNumberFormat="1">
      <alignment horizontal="center" shrinkToFit="0" vertical="bottom" wrapText="1"/>
    </xf>
    <xf borderId="1" fillId="30" fontId="15" numFmtId="3" xfId="0" applyAlignment="1" applyBorder="1" applyFont="1" applyNumberFormat="1">
      <alignment horizontal="center" vertical="bottom"/>
    </xf>
    <xf borderId="2" fillId="31" fontId="16" numFmtId="3" xfId="0" applyAlignment="1" applyBorder="1" applyFill="1" applyFont="1" applyNumberFormat="1">
      <alignment horizontal="center" readingOrder="0" vertical="bottom"/>
    </xf>
    <xf borderId="17" fillId="5" fontId="17" numFmtId="3" xfId="0" applyAlignment="1" applyBorder="1" applyFont="1" applyNumberFormat="1">
      <alignment vertical="bottom"/>
    </xf>
    <xf borderId="1" fillId="30" fontId="15" numFmtId="3" xfId="0" applyAlignment="1" applyBorder="1" applyFont="1" applyNumberFormat="1">
      <alignment horizontal="center" shrinkToFit="0" vertical="bottom" wrapText="1"/>
    </xf>
    <xf borderId="2" fillId="30" fontId="16" numFmtId="3" xfId="0" applyAlignment="1" applyBorder="1" applyFont="1" applyNumberFormat="1">
      <alignment horizontal="center" readingOrder="0" vertical="bottom"/>
    </xf>
    <xf borderId="10" fillId="31" fontId="15" numFmtId="3" xfId="0" applyAlignment="1" applyBorder="1" applyFont="1" applyNumberFormat="1">
      <alignment horizontal="center" vertical="bottom"/>
    </xf>
    <xf borderId="0" fillId="5" fontId="17" numFmtId="3" xfId="0" applyAlignment="1" applyFont="1" applyNumberFormat="1">
      <alignment vertical="bottom"/>
    </xf>
    <xf borderId="10" fillId="30" fontId="15" numFmtId="3" xfId="0" applyAlignment="1" applyBorder="1" applyFont="1" applyNumberFormat="1">
      <alignment horizontal="center" vertical="bottom"/>
    </xf>
    <xf borderId="10" fillId="31" fontId="17" numFmtId="3" xfId="0" applyAlignment="1" applyBorder="1" applyFont="1" applyNumberFormat="1">
      <alignment vertical="bottom"/>
    </xf>
    <xf borderId="10" fillId="31" fontId="14" numFmtId="9" xfId="0" applyAlignment="1" applyBorder="1" applyFont="1" applyNumberFormat="1">
      <alignment horizontal="right" vertical="bottom"/>
    </xf>
    <xf borderId="10" fillId="31" fontId="14" numFmtId="3" xfId="0" applyAlignment="1" applyBorder="1" applyFont="1" applyNumberFormat="1">
      <alignment horizontal="center" vertical="bottom"/>
    </xf>
    <xf borderId="10" fillId="30" fontId="17" numFmtId="3" xfId="0" applyAlignment="1" applyBorder="1" applyFont="1" applyNumberFormat="1">
      <alignment vertical="bottom"/>
    </xf>
    <xf borderId="10" fillId="30" fontId="17" numFmtId="9" xfId="0" applyAlignment="1" applyBorder="1" applyFont="1" applyNumberFormat="1">
      <alignment vertical="bottom"/>
    </xf>
    <xf borderId="10" fillId="30" fontId="14" numFmtId="3" xfId="0" applyAlignment="1" applyBorder="1" applyFont="1" applyNumberFormat="1">
      <alignment horizontal="center" vertical="bottom"/>
    </xf>
    <xf borderId="10" fillId="25" fontId="17" numFmtId="3" xfId="0" applyAlignment="1" applyBorder="1" applyFont="1" applyNumberFormat="1">
      <alignment vertical="bottom"/>
    </xf>
    <xf borderId="2" fillId="25" fontId="18" numFmtId="3" xfId="0" applyAlignment="1" applyBorder="1" applyFont="1" applyNumberFormat="1">
      <alignment vertical="bottom"/>
    </xf>
    <xf borderId="3" fillId="25" fontId="17" numFmtId="3" xfId="0" applyAlignment="1" applyBorder="1" applyFont="1" applyNumberFormat="1">
      <alignment vertical="bottom"/>
    </xf>
    <xf borderId="4" fillId="25" fontId="17" numFmtId="3" xfId="0" applyAlignment="1" applyBorder="1" applyFont="1" applyNumberFormat="1">
      <alignment vertical="bottom"/>
    </xf>
    <xf borderId="10" fillId="0" fontId="14" numFmtId="3" xfId="0" applyAlignment="1" applyBorder="1" applyFont="1" applyNumberFormat="1">
      <alignment vertical="bottom"/>
    </xf>
    <xf borderId="10" fillId="0" fontId="14" numFmtId="3" xfId="0" applyAlignment="1" applyBorder="1" applyFont="1" applyNumberFormat="1">
      <alignment horizontal="right" readingOrder="0" vertical="bottom"/>
    </xf>
    <xf borderId="10" fillId="0" fontId="14" numFmtId="3" xfId="0" applyAlignment="1" applyBorder="1" applyFont="1" applyNumberFormat="1">
      <alignment horizontal="right" vertical="bottom"/>
    </xf>
    <xf borderId="10" fillId="32" fontId="17" numFmtId="3" xfId="0" applyAlignment="1" applyBorder="1" applyFill="1" applyFont="1" applyNumberFormat="1">
      <alignment readingOrder="0" vertical="bottom"/>
    </xf>
    <xf borderId="10" fillId="15" fontId="14" numFmtId="3" xfId="0" applyAlignment="1" applyBorder="1" applyFont="1" applyNumberFormat="1">
      <alignment horizontal="right" vertical="bottom"/>
    </xf>
    <xf borderId="10" fillId="0" fontId="17" numFmtId="3" xfId="0" applyAlignment="1" applyBorder="1" applyFont="1" applyNumberFormat="1">
      <alignment vertical="bottom"/>
    </xf>
    <xf borderId="10" fillId="32" fontId="17" numFmtId="3" xfId="0" applyAlignment="1" applyBorder="1" applyFont="1" applyNumberFormat="1">
      <alignment vertical="bottom"/>
    </xf>
    <xf borderId="15" fillId="0" fontId="19" numFmtId="3" xfId="0" applyAlignment="1" applyBorder="1" applyFont="1" applyNumberFormat="1">
      <alignment vertical="bottom"/>
    </xf>
    <xf borderId="10" fillId="15" fontId="17" numFmtId="3" xfId="0" applyAlignment="1" applyBorder="1" applyFont="1" applyNumberFormat="1">
      <alignment vertical="bottom"/>
    </xf>
    <xf borderId="16" fillId="0" fontId="19" numFmtId="3" xfId="0" applyAlignment="1" applyBorder="1" applyFont="1" applyNumberFormat="1">
      <alignment vertical="bottom"/>
    </xf>
    <xf borderId="10" fillId="15" fontId="14" numFmtId="3" xfId="0" applyAlignment="1" applyBorder="1" applyFont="1" applyNumberFormat="1">
      <alignment horizontal="right" readingOrder="0" vertical="bottom"/>
    </xf>
    <xf borderId="10" fillId="15" fontId="17" numFmtId="3" xfId="0" applyAlignment="1" applyBorder="1" applyFont="1" applyNumberFormat="1">
      <alignment readingOrder="0" vertical="bottom"/>
    </xf>
    <xf borderId="10" fillId="32" fontId="14" numFmtId="3" xfId="0" applyAlignment="1" applyBorder="1" applyFont="1" applyNumberFormat="1">
      <alignment horizontal="right" vertical="bottom"/>
    </xf>
    <xf borderId="10" fillId="0" fontId="17" numFmtId="3" xfId="0" applyAlignment="1" applyBorder="1" applyFont="1" applyNumberFormat="1">
      <alignment readingOrder="0" vertical="bottom"/>
    </xf>
    <xf borderId="10" fillId="0" fontId="20" numFmtId="3" xfId="0" applyAlignment="1" applyBorder="1" applyFont="1" applyNumberFormat="1">
      <alignment horizontal="right" readingOrder="0" vertical="bottom"/>
    </xf>
    <xf borderId="10" fillId="15" fontId="20" numFmtId="3" xfId="0" applyAlignment="1" applyBorder="1" applyFont="1" applyNumberFormat="1">
      <alignment horizontal="right" readingOrder="0" vertical="bottom"/>
    </xf>
    <xf borderId="10" fillId="0" fontId="20" numFmtId="3" xfId="0" applyAlignment="1" applyBorder="1" applyFont="1" applyNumberFormat="1">
      <alignment horizontal="right" vertical="bottom"/>
    </xf>
    <xf borderId="10" fillId="33" fontId="17" numFmtId="3" xfId="0" applyAlignment="1" applyBorder="1" applyFill="1" applyFont="1" applyNumberFormat="1">
      <alignment vertical="bottom"/>
    </xf>
    <xf borderId="16" fillId="33" fontId="8" numFmtId="3" xfId="0" applyAlignment="1" applyBorder="1" applyFont="1" applyNumberFormat="1">
      <alignment readingOrder="0" shrinkToFit="0" wrapText="0"/>
    </xf>
    <xf borderId="0" fillId="33" fontId="17" numFmtId="3" xfId="0" applyAlignment="1" applyFont="1" applyNumberFormat="1">
      <alignment vertical="bottom"/>
    </xf>
    <xf borderId="0" fillId="33" fontId="10" numFmtId="0" xfId="0" applyFont="1"/>
    <xf borderId="16" fillId="0" fontId="21" numFmtId="3" xfId="0" applyAlignment="1" applyBorder="1" applyFont="1" applyNumberFormat="1">
      <alignment vertical="bottom"/>
    </xf>
    <xf borderId="17" fillId="0" fontId="19" numFmtId="3" xfId="0" applyAlignment="1" applyBorder="1" applyFont="1" applyNumberFormat="1">
      <alignment vertical="bottom"/>
    </xf>
    <xf borderId="8" fillId="0" fontId="17" numFmtId="3" xfId="0" applyAlignment="1" applyBorder="1" applyFont="1" applyNumberFormat="1">
      <alignment vertical="bottom"/>
    </xf>
    <xf borderId="10" fillId="34" fontId="17" numFmtId="3" xfId="0" applyAlignment="1" applyBorder="1" applyFill="1" applyFont="1" applyNumberFormat="1">
      <alignment vertical="bottom"/>
    </xf>
    <xf borderId="1" fillId="0" fontId="17" numFmtId="3" xfId="0" applyAlignment="1" applyBorder="1" applyFont="1" applyNumberFormat="1">
      <alignment vertical="bottom"/>
    </xf>
    <xf borderId="1" fillId="0" fontId="22" numFmtId="3" xfId="0" applyAlignment="1" applyBorder="1" applyFont="1" applyNumberFormat="1">
      <alignment vertical="bottom"/>
    </xf>
    <xf borderId="10" fillId="0" fontId="14" numFmtId="3" xfId="0" applyAlignment="1" applyBorder="1" applyFont="1" applyNumberFormat="1">
      <alignment horizontal="center" vertical="bottom"/>
    </xf>
    <xf borderId="17" fillId="16" fontId="19" numFmtId="3" xfId="0" applyAlignment="1" applyBorder="1" applyFont="1" applyNumberFormat="1">
      <alignment vertical="bottom"/>
    </xf>
    <xf borderId="10" fillId="16" fontId="14" numFmtId="3" xfId="0" applyAlignment="1" applyBorder="1" applyFont="1" applyNumberFormat="1">
      <alignment horizontal="right" vertical="bottom"/>
    </xf>
    <xf borderId="10" fillId="16" fontId="17" numFmtId="3" xfId="0" applyAlignment="1" applyBorder="1" applyFont="1" applyNumberFormat="1">
      <alignment vertical="bottom"/>
    </xf>
    <xf borderId="0" fillId="16" fontId="17" numFmtId="3" xfId="0" applyAlignment="1" applyFont="1" applyNumberFormat="1">
      <alignment vertical="bottom"/>
    </xf>
    <xf borderId="10" fillId="0" fontId="22" numFmtId="3" xfId="0" applyAlignment="1" applyBorder="1" applyFont="1" applyNumberFormat="1">
      <alignment vertical="bottom"/>
    </xf>
    <xf borderId="0" fillId="0" fontId="17" numFmtId="3" xfId="0" applyAlignment="1" applyFont="1" applyNumberFormat="1">
      <alignment horizontal="right" vertical="bottom"/>
    </xf>
    <xf borderId="17" fillId="35" fontId="5" numFmtId="0" xfId="0" applyAlignment="1" applyBorder="1" applyFill="1" applyFont="1">
      <alignment readingOrder="0" shrinkToFit="0" wrapText="0"/>
    </xf>
    <xf borderId="10" fillId="35" fontId="17" numFmtId="3" xfId="0" applyAlignment="1" applyBorder="1" applyFont="1" applyNumberFormat="1">
      <alignment vertical="bottom"/>
    </xf>
    <xf borderId="0" fillId="35" fontId="17" numFmtId="3" xfId="0" applyAlignment="1" applyFont="1" applyNumberFormat="1">
      <alignment vertical="bottom"/>
    </xf>
    <xf borderId="10" fillId="35" fontId="14" numFmtId="3" xfId="0" applyAlignment="1" applyBorder="1" applyFont="1" applyNumberFormat="1">
      <alignment horizontal="right" vertical="bottom"/>
    </xf>
    <xf borderId="0" fillId="35" fontId="10" numFmtId="0" xfId="0" applyFont="1"/>
    <xf borderId="15" fillId="0" fontId="8" numFmtId="3" xfId="0" applyAlignment="1" applyBorder="1" applyFont="1" applyNumberFormat="1">
      <alignment readingOrder="0" shrinkToFit="0" wrapText="0"/>
    </xf>
    <xf borderId="16" fillId="0" fontId="8" numFmtId="3" xfId="0" applyAlignment="1" applyBorder="1" applyFont="1" applyNumberFormat="1">
      <alignment readingOrder="0" shrinkToFit="0" wrapText="0"/>
    </xf>
    <xf borderId="16" fillId="0" fontId="23" numFmtId="3" xfId="0" applyAlignment="1" applyBorder="1" applyFont="1" applyNumberFormat="1">
      <alignment vertical="bottom"/>
    </xf>
    <xf borderId="16" fillId="0" fontId="7" numFmtId="3" xfId="0" applyAlignment="1" applyBorder="1" applyFont="1" applyNumberFormat="1">
      <alignment readingOrder="0" shrinkToFit="0" wrapText="0"/>
    </xf>
    <xf borderId="17" fillId="0" fontId="17" numFmtId="0" xfId="0" applyAlignment="1" applyBorder="1" applyFont="1">
      <alignment vertical="bottom"/>
    </xf>
    <xf borderId="10" fillId="0" fontId="17" numFmtId="3" xfId="0" applyAlignment="1" applyBorder="1" applyFont="1" applyNumberFormat="1">
      <alignment horizontal="right" vertical="bottom"/>
    </xf>
    <xf borderId="10" fillId="0" fontId="17" numFmtId="3" xfId="0" applyAlignment="1" applyBorder="1" applyFont="1" applyNumberFormat="1">
      <alignment horizontal="right" readingOrder="0" vertical="bottom"/>
    </xf>
    <xf borderId="15" fillId="0" fontId="5" numFmtId="3" xfId="0" applyAlignment="1" applyBorder="1" applyFont="1" applyNumberFormat="1">
      <alignment readingOrder="0" shrinkToFit="0" wrapText="0"/>
    </xf>
    <xf borderId="10" fillId="17" fontId="14" numFmtId="3" xfId="0" applyAlignment="1" applyBorder="1" applyFont="1" applyNumberFormat="1">
      <alignment vertical="bottom"/>
    </xf>
    <xf borderId="0" fillId="17" fontId="24" numFmtId="0" xfId="0" applyAlignment="1" applyFont="1">
      <alignment readingOrder="0" shrinkToFit="0" wrapText="0"/>
    </xf>
    <xf borderId="10" fillId="17" fontId="14" numFmtId="3" xfId="0" applyAlignment="1" applyBorder="1" applyFont="1" applyNumberFormat="1">
      <alignment horizontal="right" vertical="bottom"/>
    </xf>
    <xf borderId="10" fillId="17" fontId="17" numFmtId="3" xfId="0" applyAlignment="1" applyBorder="1" applyFont="1" applyNumberFormat="1">
      <alignment vertical="bottom"/>
    </xf>
    <xf borderId="0" fillId="17" fontId="17" numFmtId="3" xfId="0" applyAlignment="1" applyFont="1" applyNumberFormat="1">
      <alignment vertical="bottom"/>
    </xf>
    <xf borderId="10" fillId="36" fontId="17" numFmtId="3" xfId="0" applyAlignment="1" applyBorder="1" applyFill="1" applyFont="1" applyNumberFormat="1">
      <alignment vertical="bottom"/>
    </xf>
    <xf borderId="0" fillId="0" fontId="17" numFmtId="3" xfId="0" applyAlignment="1" applyFont="1" applyNumberFormat="1">
      <alignment readingOrder="0" vertical="bottom"/>
    </xf>
    <xf borderId="0" fillId="0" fontId="17" numFmtId="3" xfId="0" applyAlignment="1" applyFont="1" applyNumberFormat="1">
      <alignment horizontal="right" readingOrder="0" vertical="bottom"/>
    </xf>
    <xf borderId="0" fillId="15" fontId="25" numFmtId="0" xfId="0" applyAlignment="1" applyFont="1">
      <alignment horizontal="left" readingOrder="0" shrinkToFit="0" wrapText="0"/>
    </xf>
    <xf borderId="0" fillId="0" fontId="26" numFmtId="0" xfId="0" applyAlignment="1" applyFont="1">
      <alignment horizontal="left" readingOrder="0" shrinkToFit="0" wrapText="0"/>
    </xf>
    <xf borderId="0" fillId="15" fontId="27" numFmtId="0" xfId="0" applyAlignment="1" applyFont="1">
      <alignment horizontal="left" readingOrder="0" shrinkToFit="0" wrapText="0"/>
    </xf>
    <xf borderId="10" fillId="18" fontId="17" numFmtId="3" xfId="0" applyAlignment="1" applyBorder="1" applyFont="1" applyNumberFormat="1">
      <alignment vertical="bottom"/>
    </xf>
    <xf borderId="17" fillId="18" fontId="8" numFmtId="0" xfId="0" applyAlignment="1" applyBorder="1" applyFont="1">
      <alignment readingOrder="0" shrinkToFit="0" wrapText="0"/>
    </xf>
    <xf borderId="0" fillId="18" fontId="17" numFmtId="3" xfId="0" applyAlignment="1" applyFont="1" applyNumberFormat="1">
      <alignment vertical="bottom"/>
    </xf>
    <xf borderId="10" fillId="18" fontId="14" numFmtId="3" xfId="0" applyAlignment="1" applyBorder="1" applyFont="1" applyNumberFormat="1">
      <alignment horizontal="right" vertical="bottom"/>
    </xf>
    <xf borderId="8" fillId="0" fontId="7" numFmtId="0" xfId="0" applyAlignment="1" applyBorder="1" applyFont="1">
      <alignment readingOrder="0" shrinkToFit="0" wrapText="0"/>
    </xf>
    <xf borderId="1" fillId="0" fontId="14" numFmtId="3" xfId="0" applyAlignment="1" applyBorder="1" applyFont="1" applyNumberFormat="1">
      <alignment vertical="bottom"/>
    </xf>
    <xf borderId="17" fillId="0" fontId="8" numFmtId="0" xfId="0" applyAlignment="1" applyBorder="1" applyFont="1">
      <alignment shrinkToFit="0" wrapText="0"/>
    </xf>
    <xf borderId="10" fillId="10" fontId="17" numFmtId="3" xfId="0" applyAlignment="1" applyBorder="1" applyFont="1" applyNumberFormat="1">
      <alignment vertical="bottom"/>
    </xf>
    <xf borderId="10" fillId="33" fontId="14" numFmtId="3" xfId="0" applyAlignment="1" applyBorder="1" applyFont="1" applyNumberFormat="1">
      <alignment vertical="bottom"/>
    </xf>
    <xf borderId="16" fillId="33" fontId="8" numFmtId="0" xfId="0" applyAlignment="1" applyBorder="1" applyFont="1">
      <alignment readingOrder="0" shrinkToFit="0" wrapText="0"/>
    </xf>
    <xf borderId="10" fillId="33" fontId="14" numFmtId="3" xfId="0" applyAlignment="1" applyBorder="1" applyFont="1" applyNumberFormat="1">
      <alignment horizontal="right" vertical="bottom"/>
    </xf>
    <xf borderId="10" fillId="37" fontId="14" numFmtId="3" xfId="0" applyAlignment="1" applyBorder="1" applyFill="1" applyFont="1" applyNumberFormat="1">
      <alignment vertical="bottom"/>
    </xf>
    <xf borderId="17" fillId="37" fontId="5" numFmtId="0" xfId="0" applyAlignment="1" applyBorder="1" applyFont="1">
      <alignment readingOrder="0" shrinkToFit="0" wrapText="0"/>
    </xf>
    <xf borderId="10" fillId="37" fontId="14" numFmtId="3" xfId="0" applyAlignment="1" applyBorder="1" applyFont="1" applyNumberFormat="1">
      <alignment horizontal="right" vertical="bottom"/>
    </xf>
    <xf borderId="10" fillId="37" fontId="17" numFmtId="3" xfId="0" applyAlignment="1" applyBorder="1" applyFont="1" applyNumberFormat="1">
      <alignment vertical="bottom"/>
    </xf>
    <xf borderId="0" fillId="37" fontId="17" numFmtId="3" xfId="0" applyAlignment="1" applyFont="1" applyNumberFormat="1">
      <alignment vertical="bottom"/>
    </xf>
    <xf borderId="0" fillId="37" fontId="10" numFmtId="0" xfId="0" applyFont="1"/>
    <xf borderId="10" fillId="19" fontId="17" numFmtId="3" xfId="0" applyAlignment="1" applyBorder="1" applyFont="1" applyNumberFormat="1">
      <alignment vertical="bottom"/>
    </xf>
    <xf borderId="17" fillId="19" fontId="8" numFmtId="0" xfId="0" applyAlignment="1" applyBorder="1" applyFont="1">
      <alignment readingOrder="0" shrinkToFit="0" wrapText="0"/>
    </xf>
    <xf borderId="0" fillId="19" fontId="17" numFmtId="3" xfId="0" applyAlignment="1" applyFont="1" applyNumberFormat="1">
      <alignment vertical="bottom"/>
    </xf>
    <xf borderId="10" fillId="19" fontId="14" numFmtId="3" xfId="0" applyAlignment="1" applyBorder="1" applyFont="1" applyNumberFormat="1">
      <alignment horizontal="right" vertical="bottom"/>
    </xf>
    <xf borderId="10" fillId="19" fontId="14" numFmtId="3" xfId="0" applyAlignment="1" applyBorder="1" applyFont="1" applyNumberFormat="1">
      <alignment vertical="bottom"/>
    </xf>
    <xf borderId="10" fillId="38" fontId="17" numFmtId="3" xfId="0" applyAlignment="1" applyBorder="1" applyFill="1" applyFont="1" applyNumberFormat="1">
      <alignment vertical="bottom"/>
    </xf>
    <xf borderId="17" fillId="0" fontId="23" numFmtId="0" xfId="0" applyAlignment="1" applyBorder="1" applyFont="1">
      <alignment vertical="bottom"/>
    </xf>
    <xf borderId="10" fillId="39" fontId="17" numFmtId="3" xfId="0" applyAlignment="1" applyBorder="1" applyFill="1" applyFont="1" applyNumberFormat="1">
      <alignment vertical="bottom"/>
    </xf>
    <xf borderId="17" fillId="39" fontId="8" numFmtId="0" xfId="0" applyAlignment="1" applyBorder="1" applyFont="1">
      <alignment readingOrder="0" shrinkToFit="0" wrapText="0"/>
    </xf>
    <xf borderId="10" fillId="39" fontId="14" numFmtId="3" xfId="0" applyAlignment="1" applyBorder="1" applyFont="1" applyNumberFormat="1">
      <alignment horizontal="center" vertical="bottom"/>
    </xf>
    <xf borderId="0" fillId="39" fontId="10" numFmtId="0" xfId="0" applyFont="1"/>
    <xf borderId="0" fillId="5" fontId="17" numFmtId="0" xfId="0" applyAlignment="1" applyFont="1">
      <alignment vertical="bottom"/>
    </xf>
    <xf borderId="10" fillId="0" fontId="14" numFmtId="3" xfId="0" applyAlignment="1" applyBorder="1" applyFont="1" applyNumberFormat="1">
      <alignment horizontal="center" readingOrder="0" vertical="bottom"/>
    </xf>
    <xf borderId="0" fillId="0" fontId="17" numFmtId="3" xfId="0" applyAlignment="1" applyFont="1" applyNumberFormat="1">
      <alignment vertical="bottom"/>
    </xf>
    <xf borderId="17" fillId="33" fontId="8" numFmtId="0" xfId="0" applyAlignment="1" applyBorder="1" applyFont="1">
      <alignment readingOrder="0" shrinkToFit="0" wrapText="0"/>
    </xf>
    <xf borderId="10" fillId="33" fontId="17" numFmtId="3" xfId="0" applyAlignment="1" applyBorder="1" applyFont="1" applyNumberFormat="1">
      <alignment horizontal="right" vertical="bottom"/>
    </xf>
    <xf borderId="0" fillId="0" fontId="10" numFmtId="0" xfId="0" applyAlignment="1" applyFont="1">
      <alignment horizontal="center"/>
    </xf>
    <xf borderId="0" fillId="4" fontId="10" numFmtId="0" xfId="0" applyAlignment="1" applyFont="1">
      <alignment horizontal="center"/>
    </xf>
    <xf borderId="0" fillId="4" fontId="10" numFmtId="0" xfId="0" applyAlignment="1" applyFont="1">
      <alignment horizontal="center" readingOrder="0"/>
    </xf>
    <xf borderId="0" fillId="30" fontId="10" numFmtId="0" xfId="0" applyAlignment="1" applyFont="1">
      <alignment horizontal="center" readingOrder="0"/>
    </xf>
    <xf borderId="0" fillId="30" fontId="10" numFmtId="0" xfId="0" applyAlignment="1" applyFont="1">
      <alignment horizontal="center"/>
    </xf>
    <xf borderId="0" fillId="30" fontId="10" numFmtId="165" xfId="0" applyAlignment="1" applyFont="1" applyNumberFormat="1">
      <alignment horizontal="center" readingOrder="0"/>
    </xf>
    <xf borderId="0" fillId="30" fontId="10" numFmtId="3" xfId="0" applyAlignment="1" applyFont="1" applyNumberFormat="1">
      <alignment horizontal="center" readingOrder="0"/>
    </xf>
    <xf borderId="0" fillId="30" fontId="10" numFmtId="3" xfId="0" applyAlignment="1" applyFont="1" applyNumberFormat="1">
      <alignment horizontal="center"/>
    </xf>
    <xf borderId="0" fillId="30" fontId="10" numFmtId="165" xfId="0" applyAlignment="1" applyFont="1" applyNumberFormat="1">
      <alignment horizontal="center"/>
    </xf>
    <xf borderId="0" fillId="29" fontId="10" numFmtId="0" xfId="0" applyAlignment="1" applyFont="1">
      <alignment horizontal="center" readingOrder="0"/>
    </xf>
    <xf borderId="0" fillId="29" fontId="10" numFmtId="3" xfId="0" applyAlignment="1" applyFont="1" applyNumberFormat="1">
      <alignment horizontal="center"/>
    </xf>
    <xf borderId="0" fillId="29" fontId="10" numFmtId="3" xfId="0" applyAlignment="1" applyFont="1" applyNumberFormat="1">
      <alignment horizontal="center" readingOrder="0"/>
    </xf>
    <xf borderId="0" fillId="40" fontId="10" numFmtId="0" xfId="0" applyAlignment="1" applyFill="1" applyFont="1">
      <alignment horizontal="center" readingOrder="0"/>
    </xf>
    <xf borderId="0" fillId="40" fontId="10" numFmtId="3" xfId="0" applyAlignment="1" applyFont="1" applyNumberFormat="1">
      <alignment horizontal="center"/>
    </xf>
    <xf borderId="0" fillId="40" fontId="10" numFmtId="3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0.0"/>
    <col customWidth="1" min="2" max="2" width="10.5"/>
    <col customWidth="1" min="3" max="3" width="11.88"/>
    <col customWidth="1" min="4" max="4" width="11.38"/>
    <col customWidth="1" min="5" max="5" width="6.13"/>
    <col customWidth="1" min="6" max="6" width="9.75"/>
    <col customWidth="1" min="7" max="7" width="9.25"/>
    <col customWidth="1" min="8" max="8" width="9.63"/>
    <col customWidth="1" min="9" max="10" width="8.75"/>
    <col customWidth="1" min="11" max="11" width="9.88"/>
    <col customWidth="1" min="12" max="12" width="9.38"/>
    <col customWidth="1" min="13" max="13" width="9.63"/>
    <col customWidth="1" min="14" max="14" width="9.5"/>
    <col customWidth="1" min="17" max="17" width="10.75"/>
    <col customWidth="1" min="18" max="18" width="5.0"/>
    <col customWidth="1" min="19" max="19" width="6.88"/>
    <col customWidth="1" min="20" max="20" width="9.13"/>
    <col customWidth="1" min="21" max="21" width="9.63"/>
    <col customWidth="1" min="22" max="22" width="8.38"/>
    <col customWidth="1" min="23" max="23" width="8.63"/>
    <col customWidth="1" min="24" max="24" width="7.5"/>
    <col customWidth="1" min="25" max="25" width="9.88"/>
    <col customWidth="1" min="26" max="26" width="9.38"/>
    <col customWidth="1" min="27" max="27" width="9.25"/>
    <col customWidth="1" min="28" max="28" width="7.63"/>
    <col customWidth="1" min="29" max="29" width="11.88"/>
    <col customWidth="1" min="32" max="32" width="4.25"/>
    <col customWidth="1" min="33" max="33" width="8.88"/>
    <col customWidth="1" min="34" max="38" width="9.5"/>
    <col customWidth="1" min="39" max="39" width="9.88"/>
    <col hidden="1" min="46" max="55" width="12.63"/>
  </cols>
  <sheetData>
    <row r="1">
      <c r="A1" s="1" t="s">
        <v>0</v>
      </c>
      <c r="B1" s="2" t="s">
        <v>1</v>
      </c>
      <c r="C1" s="2" t="s">
        <v>2</v>
      </c>
      <c r="D1" s="2" t="s">
        <v>2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 t="s">
        <v>4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8"/>
      <c r="AG1" s="9" t="s">
        <v>5</v>
      </c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1"/>
      <c r="AU1" s="10"/>
      <c r="AV1" s="10"/>
      <c r="AW1" s="10"/>
      <c r="AX1" s="10"/>
      <c r="AY1" s="10"/>
      <c r="AZ1" s="10"/>
      <c r="BA1" s="10"/>
      <c r="BB1" s="10"/>
      <c r="BC1" s="12"/>
    </row>
    <row r="2">
      <c r="A2" s="13"/>
      <c r="B2" s="13"/>
      <c r="C2" s="14"/>
      <c r="D2" s="14"/>
      <c r="E2" s="15" t="s">
        <v>6</v>
      </c>
      <c r="F2" s="16" t="s">
        <v>7</v>
      </c>
      <c r="G2" s="4"/>
      <c r="H2" s="4"/>
      <c r="I2" s="5"/>
      <c r="J2" s="17" t="s">
        <v>8</v>
      </c>
      <c r="K2" s="17" t="s">
        <v>9</v>
      </c>
      <c r="L2" s="18" t="s">
        <v>10</v>
      </c>
      <c r="M2" s="19" t="s">
        <v>11</v>
      </c>
      <c r="N2" s="20" t="s">
        <v>12</v>
      </c>
      <c r="O2" s="3" t="s">
        <v>13</v>
      </c>
      <c r="P2" s="5"/>
      <c r="Q2" s="21" t="s">
        <v>14</v>
      </c>
      <c r="R2" s="22"/>
      <c r="S2" s="23" t="s">
        <v>15</v>
      </c>
      <c r="T2" s="24" t="s">
        <v>7</v>
      </c>
      <c r="U2" s="4"/>
      <c r="V2" s="4"/>
      <c r="W2" s="5"/>
      <c r="X2" s="25" t="s">
        <v>8</v>
      </c>
      <c r="Y2" s="25" t="s">
        <v>9</v>
      </c>
      <c r="Z2" s="26" t="s">
        <v>10</v>
      </c>
      <c r="AA2" s="27" t="s">
        <v>16</v>
      </c>
      <c r="AB2" s="28" t="s">
        <v>12</v>
      </c>
      <c r="AC2" s="29" t="s">
        <v>17</v>
      </c>
      <c r="AD2" s="5"/>
      <c r="AE2" s="30" t="s">
        <v>18</v>
      </c>
      <c r="AF2" s="31"/>
      <c r="AG2" s="32" t="s">
        <v>19</v>
      </c>
      <c r="AH2" s="24" t="s">
        <v>7</v>
      </c>
      <c r="AI2" s="4"/>
      <c r="AJ2" s="4"/>
      <c r="AK2" s="5"/>
      <c r="AL2" s="25" t="s">
        <v>8</v>
      </c>
      <c r="AM2" s="25" t="s">
        <v>9</v>
      </c>
      <c r="AN2" s="33" t="s">
        <v>10</v>
      </c>
      <c r="AO2" s="27" t="s">
        <v>20</v>
      </c>
      <c r="AP2" s="34" t="s">
        <v>12</v>
      </c>
      <c r="AQ2" s="35" t="s">
        <v>13</v>
      </c>
      <c r="AR2" s="5"/>
      <c r="AS2" s="36" t="s">
        <v>21</v>
      </c>
      <c r="AT2" s="32" t="s">
        <v>22</v>
      </c>
      <c r="AU2" s="25" t="s">
        <v>7</v>
      </c>
      <c r="AV2" s="25" t="s">
        <v>8</v>
      </c>
      <c r="AW2" s="25" t="s">
        <v>9</v>
      </c>
      <c r="AX2" s="33" t="s">
        <v>10</v>
      </c>
      <c r="AY2" s="37" t="s">
        <v>23</v>
      </c>
      <c r="AZ2" s="34" t="s">
        <v>12</v>
      </c>
      <c r="BA2" s="35" t="s">
        <v>13</v>
      </c>
      <c r="BB2" s="5"/>
      <c r="BC2" s="38" t="s">
        <v>24</v>
      </c>
    </row>
    <row r="3">
      <c r="A3" s="39"/>
      <c r="B3" s="40"/>
      <c r="C3" s="40" t="s">
        <v>25</v>
      </c>
      <c r="D3" s="40" t="s">
        <v>26</v>
      </c>
      <c r="E3" s="39"/>
      <c r="F3" s="41">
        <v>0.118</v>
      </c>
      <c r="G3" s="42">
        <v>0.08</v>
      </c>
      <c r="H3" s="41">
        <v>0.045</v>
      </c>
      <c r="I3" s="41">
        <v>0.018</v>
      </c>
      <c r="J3" s="43">
        <v>1250.0</v>
      </c>
      <c r="K3" s="42">
        <v>0.08</v>
      </c>
      <c r="L3" s="44" t="s">
        <v>26</v>
      </c>
      <c r="M3" s="41">
        <v>0.025</v>
      </c>
      <c r="N3" s="39"/>
      <c r="O3" s="44" t="s">
        <v>26</v>
      </c>
      <c r="P3" s="45" t="s">
        <v>27</v>
      </c>
      <c r="Q3" s="39"/>
      <c r="R3" s="46"/>
      <c r="S3" s="39"/>
      <c r="T3" s="41">
        <v>0.117</v>
      </c>
      <c r="U3" s="41">
        <v>0.08</v>
      </c>
      <c r="V3" s="41">
        <v>0.045</v>
      </c>
      <c r="W3" s="41">
        <v>0.018</v>
      </c>
      <c r="X3" s="47"/>
      <c r="Y3" s="42">
        <v>0.08</v>
      </c>
      <c r="Z3" s="48" t="s">
        <v>26</v>
      </c>
      <c r="AA3" s="39"/>
      <c r="AB3" s="39"/>
      <c r="AC3" s="49" t="s">
        <v>26</v>
      </c>
      <c r="AD3" s="50" t="s">
        <v>25</v>
      </c>
      <c r="AE3" s="51"/>
      <c r="AF3" s="31"/>
      <c r="AG3" s="39"/>
      <c r="AH3" s="41">
        <v>0.117</v>
      </c>
      <c r="AI3" s="41">
        <v>0.08</v>
      </c>
      <c r="AJ3" s="41">
        <v>0.045</v>
      </c>
      <c r="AK3" s="41">
        <v>0.018</v>
      </c>
      <c r="AL3" s="47"/>
      <c r="AM3" s="42">
        <v>0.03</v>
      </c>
      <c r="AN3" s="52" t="s">
        <v>26</v>
      </c>
      <c r="AO3" s="39"/>
      <c r="AP3" s="39"/>
      <c r="AQ3" s="53" t="s">
        <v>26</v>
      </c>
      <c r="AR3" s="54" t="s">
        <v>25</v>
      </c>
      <c r="AS3" s="51"/>
      <c r="AT3" s="39"/>
      <c r="AU3" s="55">
        <v>0.17</v>
      </c>
      <c r="AV3" s="47"/>
      <c r="AW3" s="55">
        <v>0.04</v>
      </c>
      <c r="AX3" s="52" t="s">
        <v>26</v>
      </c>
      <c r="AY3" s="39"/>
      <c r="AZ3" s="39"/>
      <c r="BA3" s="53" t="s">
        <v>26</v>
      </c>
      <c r="BB3" s="54" t="s">
        <v>25</v>
      </c>
      <c r="BC3" s="39"/>
    </row>
    <row r="4">
      <c r="A4" s="56" t="s">
        <v>28</v>
      </c>
      <c r="B4" s="57"/>
      <c r="C4" s="58">
        <v>0.82</v>
      </c>
      <c r="D4" s="58">
        <v>1.11</v>
      </c>
      <c r="E4" s="59"/>
      <c r="F4" s="60"/>
      <c r="G4" s="60"/>
      <c r="H4" s="60"/>
      <c r="I4" s="60"/>
      <c r="J4" s="60"/>
      <c r="K4" s="60"/>
      <c r="L4" s="60"/>
      <c r="M4" s="60"/>
      <c r="N4" s="60"/>
      <c r="O4" s="58">
        <v>1.11</v>
      </c>
      <c r="P4" s="60"/>
      <c r="Q4" s="60"/>
      <c r="R4" s="61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2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3"/>
      <c r="AW4" s="63"/>
      <c r="AX4" s="63"/>
      <c r="AY4" s="63"/>
      <c r="AZ4" s="63"/>
      <c r="BA4" s="63"/>
      <c r="BB4" s="63"/>
      <c r="BC4" s="63"/>
    </row>
    <row r="5">
      <c r="A5" s="64" t="s">
        <v>29</v>
      </c>
      <c r="B5" s="65">
        <v>3350.0</v>
      </c>
      <c r="C5" s="65">
        <f t="shared" ref="C5:C20" si="1">B5*$C$4</f>
        <v>2747</v>
      </c>
      <c r="D5" s="66">
        <f t="shared" ref="D5:D20" si="2">C5/$D$4</f>
        <v>2474.774775</v>
      </c>
      <c r="E5" s="67">
        <v>4.0</v>
      </c>
      <c r="F5" s="66">
        <f t="shared" ref="F5:F20" si="3">P5*$F$3</f>
        <v>2301</v>
      </c>
      <c r="G5" s="66">
        <f t="shared" ref="G5:G20" si="4">P5*$G$3</f>
        <v>1560</v>
      </c>
      <c r="H5" s="66">
        <f t="shared" ref="H5:H20" si="5">P5*$H$3</f>
        <v>877.5</v>
      </c>
      <c r="I5" s="66">
        <f t="shared" ref="I5:I20" si="6">P5*$I$3</f>
        <v>351</v>
      </c>
      <c r="J5" s="68">
        <v>1250.0</v>
      </c>
      <c r="K5" s="66">
        <f t="shared" ref="K5:K20" si="7">C5*$K$3*E5</f>
        <v>879.04</v>
      </c>
      <c r="L5" s="69">
        <f t="shared" ref="L5:L20" si="8">(D5*E5)+F5+G5+H5+I5+J5+K5</f>
        <v>17117.6391</v>
      </c>
      <c r="M5" s="70">
        <f t="shared" ref="M5:M20" si="9">N5/O5</f>
        <v>0.02561131282</v>
      </c>
      <c r="N5" s="71">
        <f t="shared" ref="N5:N20" si="10">O5-L5</f>
        <v>449.9284685</v>
      </c>
      <c r="O5" s="66">
        <f t="shared" ref="O5:O20" si="11">P5/$O$4</f>
        <v>17567.56757</v>
      </c>
      <c r="P5" s="72">
        <v>19500.0</v>
      </c>
      <c r="Q5" s="73">
        <f t="shared" ref="Q5:Q19" si="12">P5/E5</f>
        <v>4875</v>
      </c>
      <c r="R5" s="74"/>
      <c r="S5" s="75">
        <v>50.0</v>
      </c>
      <c r="T5" s="66">
        <f t="shared" ref="T5:T19" si="13">AD5*$T$3</f>
        <v>25740</v>
      </c>
      <c r="U5" s="66">
        <f t="shared" ref="U5:U19" si="14">AD5*$U$3</f>
        <v>17600</v>
      </c>
      <c r="V5" s="66">
        <f t="shared" ref="V5:V19" si="15">AD5*$V$3</f>
        <v>9900</v>
      </c>
      <c r="W5" s="66">
        <f t="shared" ref="W5:W19" si="16">AD5*$W$3</f>
        <v>3960</v>
      </c>
      <c r="X5" s="68">
        <v>1250.0</v>
      </c>
      <c r="Y5" s="66">
        <f t="shared" ref="Y5:Y19" si="17">C5*$Y$3*S5</f>
        <v>10988</v>
      </c>
      <c r="Z5" s="69">
        <f t="shared" ref="Z5:Z19" si="18">(D5*S5)+T5+U5+V5+W5+X5+Y5</f>
        <v>193176.7387</v>
      </c>
      <c r="AA5" s="70">
        <f t="shared" ref="AA5:AA19" si="19">AB5/AC5</f>
        <v>0.02533554545</v>
      </c>
      <c r="AB5" s="71">
        <f t="shared" ref="AB5:AB19" si="20">AC5-Z5</f>
        <v>5021.459459</v>
      </c>
      <c r="AC5" s="66">
        <f t="shared" ref="AC5:AC19" si="21">AD5/$O$4</f>
        <v>198198.1982</v>
      </c>
      <c r="AD5" s="72">
        <v>220000.0</v>
      </c>
      <c r="AE5" s="73">
        <f t="shared" ref="AE5:AE19" si="22">AD5/S5</f>
        <v>4400</v>
      </c>
      <c r="AF5" s="76"/>
      <c r="AG5" s="75">
        <v>500.0</v>
      </c>
      <c r="AH5" s="66">
        <f>AR5*$T$3</f>
        <v>239850</v>
      </c>
      <c r="AI5" s="66">
        <f>AR5*$U$3</f>
        <v>164000</v>
      </c>
      <c r="AJ5" s="66">
        <f>AR5*$V$3</f>
        <v>92250</v>
      </c>
      <c r="AK5" s="66">
        <f>AR5*$W$3</f>
        <v>36900</v>
      </c>
      <c r="AL5" s="68">
        <v>1250.0</v>
      </c>
      <c r="AM5" s="66">
        <f t="shared" ref="AM5:AM19" si="23">C5*$AM$3*AG5</f>
        <v>41205</v>
      </c>
      <c r="AN5" s="69">
        <f t="shared" ref="AN5:AN19" si="24">(D5*AG5)+AH5+AI5+AJ5+AK5+AL5+AM5</f>
        <v>1812842.387</v>
      </c>
      <c r="AO5" s="70">
        <f t="shared" ref="AO5:AO19" si="25">AP5/AQ5</f>
        <v>0.01841217073</v>
      </c>
      <c r="AP5" s="71">
        <f t="shared" ref="AP5:AP19" si="26">AQ5-AN5</f>
        <v>34004.45946</v>
      </c>
      <c r="AQ5" s="66">
        <f t="shared" ref="AQ5:AQ13" si="27">AR5/$O$4</f>
        <v>1846846.847</v>
      </c>
      <c r="AR5" s="72">
        <v>2050000.0</v>
      </c>
      <c r="AS5" s="73">
        <f t="shared" ref="AS5:AS19" si="28">AR5/AG5</f>
        <v>4100</v>
      </c>
    </row>
    <row r="6">
      <c r="A6" s="64" t="s">
        <v>30</v>
      </c>
      <c r="B6" s="65">
        <v>3500.0</v>
      </c>
      <c r="C6" s="65">
        <f t="shared" si="1"/>
        <v>2870</v>
      </c>
      <c r="D6" s="66">
        <f t="shared" si="2"/>
        <v>2585.585586</v>
      </c>
      <c r="E6" s="67">
        <v>4.0</v>
      </c>
      <c r="F6" s="66">
        <f t="shared" si="3"/>
        <v>2596</v>
      </c>
      <c r="G6" s="66">
        <f t="shared" si="4"/>
        <v>1760</v>
      </c>
      <c r="H6" s="66">
        <f t="shared" si="5"/>
        <v>990</v>
      </c>
      <c r="I6" s="66">
        <f t="shared" si="6"/>
        <v>396</v>
      </c>
      <c r="J6" s="68">
        <v>1250.0</v>
      </c>
      <c r="K6" s="66">
        <f t="shared" si="7"/>
        <v>918.4</v>
      </c>
      <c r="L6" s="69">
        <f t="shared" si="8"/>
        <v>18252.74234</v>
      </c>
      <c r="M6" s="70">
        <f t="shared" si="9"/>
        <v>0.07906618182</v>
      </c>
      <c r="N6" s="71">
        <f t="shared" si="10"/>
        <v>1567.077477</v>
      </c>
      <c r="O6" s="66">
        <f t="shared" si="11"/>
        <v>19819.81982</v>
      </c>
      <c r="P6" s="72">
        <v>22000.0</v>
      </c>
      <c r="Q6" s="73">
        <f t="shared" si="12"/>
        <v>5500</v>
      </c>
      <c r="R6" s="74"/>
      <c r="S6" s="75">
        <v>50.0</v>
      </c>
      <c r="T6" s="66">
        <f t="shared" si="13"/>
        <v>26910</v>
      </c>
      <c r="U6" s="66">
        <f t="shared" si="14"/>
        <v>18400</v>
      </c>
      <c r="V6" s="66">
        <f t="shared" si="15"/>
        <v>10350</v>
      </c>
      <c r="W6" s="66">
        <f t="shared" si="16"/>
        <v>4140</v>
      </c>
      <c r="X6" s="68">
        <v>1250.0</v>
      </c>
      <c r="Y6" s="66">
        <f t="shared" si="17"/>
        <v>11480</v>
      </c>
      <c r="Z6" s="69">
        <f t="shared" si="18"/>
        <v>201809.2793</v>
      </c>
      <c r="AA6" s="70">
        <f t="shared" si="19"/>
        <v>0.02605086957</v>
      </c>
      <c r="AB6" s="71">
        <f t="shared" si="20"/>
        <v>5397.927928</v>
      </c>
      <c r="AC6" s="66">
        <f t="shared" si="21"/>
        <v>207207.2072</v>
      </c>
      <c r="AD6" s="72">
        <v>230000.0</v>
      </c>
      <c r="AE6" s="73">
        <f t="shared" si="22"/>
        <v>4600</v>
      </c>
      <c r="AF6" s="76"/>
      <c r="AG6" s="75">
        <v>500.0</v>
      </c>
      <c r="AH6" s="66">
        <f t="shared" ref="AH6:AH19" si="29">AR6*$AH$3</f>
        <v>251550</v>
      </c>
      <c r="AI6" s="66">
        <f t="shared" ref="AI6:AI19" si="30">AR6*$AI$3</f>
        <v>172000</v>
      </c>
      <c r="AJ6" s="66">
        <f t="shared" ref="AJ6:AJ19" si="31">AR6*$AJ$3</f>
        <v>96750</v>
      </c>
      <c r="AK6" s="66">
        <f t="shared" ref="AK6:AK19" si="32">AR6*$AK$3</f>
        <v>38700</v>
      </c>
      <c r="AL6" s="68">
        <v>1250.0</v>
      </c>
      <c r="AM6" s="66">
        <f t="shared" si="23"/>
        <v>43050</v>
      </c>
      <c r="AN6" s="69">
        <f t="shared" si="24"/>
        <v>1896092.793</v>
      </c>
      <c r="AO6" s="70">
        <f t="shared" si="25"/>
        <v>0.02108697674</v>
      </c>
      <c r="AP6" s="71">
        <f t="shared" si="26"/>
        <v>40844.14414</v>
      </c>
      <c r="AQ6" s="66">
        <f t="shared" si="27"/>
        <v>1936936.937</v>
      </c>
      <c r="AR6" s="72">
        <v>2150000.0</v>
      </c>
      <c r="AS6" s="73">
        <f t="shared" si="28"/>
        <v>4300</v>
      </c>
    </row>
    <row r="7">
      <c r="A7" s="77" t="s">
        <v>31</v>
      </c>
      <c r="B7" s="65">
        <v>4100.0</v>
      </c>
      <c r="C7" s="65">
        <f t="shared" si="1"/>
        <v>3362</v>
      </c>
      <c r="D7" s="66">
        <f t="shared" si="2"/>
        <v>3028.828829</v>
      </c>
      <c r="E7" s="67">
        <v>4.0</v>
      </c>
      <c r="F7" s="66">
        <f t="shared" si="3"/>
        <v>2773</v>
      </c>
      <c r="G7" s="66">
        <f t="shared" si="4"/>
        <v>1880</v>
      </c>
      <c r="H7" s="66">
        <f t="shared" si="5"/>
        <v>1057.5</v>
      </c>
      <c r="I7" s="66">
        <f t="shared" si="6"/>
        <v>423</v>
      </c>
      <c r="J7" s="68">
        <v>1250.0</v>
      </c>
      <c r="K7" s="66">
        <f t="shared" si="7"/>
        <v>1075.84</v>
      </c>
      <c r="L7" s="69">
        <f t="shared" si="8"/>
        <v>20574.65532</v>
      </c>
      <c r="M7" s="70">
        <f t="shared" si="9"/>
        <v>0.02817585532</v>
      </c>
      <c r="N7" s="71">
        <f t="shared" si="10"/>
        <v>596.5158559</v>
      </c>
      <c r="O7" s="66">
        <f t="shared" si="11"/>
        <v>21171.17117</v>
      </c>
      <c r="P7" s="78">
        <v>23500.0</v>
      </c>
      <c r="Q7" s="73">
        <f t="shared" si="12"/>
        <v>5875</v>
      </c>
      <c r="R7" s="74"/>
      <c r="S7" s="75">
        <v>25.0</v>
      </c>
      <c r="T7" s="66">
        <f t="shared" si="13"/>
        <v>15838.875</v>
      </c>
      <c r="U7" s="66">
        <f t="shared" si="14"/>
        <v>10830</v>
      </c>
      <c r="V7" s="66">
        <f t="shared" si="15"/>
        <v>6091.875</v>
      </c>
      <c r="W7" s="66">
        <f t="shared" si="16"/>
        <v>2436.75</v>
      </c>
      <c r="X7" s="68">
        <v>1250.0</v>
      </c>
      <c r="Y7" s="66">
        <f t="shared" si="17"/>
        <v>6724</v>
      </c>
      <c r="Z7" s="69">
        <f t="shared" si="18"/>
        <v>118892.2207</v>
      </c>
      <c r="AA7" s="70">
        <f t="shared" si="19"/>
        <v>0.02514965836</v>
      </c>
      <c r="AB7" s="71">
        <f t="shared" si="20"/>
        <v>3067.238739</v>
      </c>
      <c r="AC7" s="66">
        <f t="shared" si="21"/>
        <v>121959.4595</v>
      </c>
      <c r="AD7" s="78">
        <v>135375.0</v>
      </c>
      <c r="AE7" s="73">
        <f t="shared" si="22"/>
        <v>5415</v>
      </c>
      <c r="AF7" s="76"/>
      <c r="AG7" s="75">
        <v>500.0</v>
      </c>
      <c r="AH7" s="66">
        <f t="shared" si="29"/>
        <v>0</v>
      </c>
      <c r="AI7" s="66">
        <f t="shared" si="30"/>
        <v>0</v>
      </c>
      <c r="AJ7" s="66">
        <f t="shared" si="31"/>
        <v>0</v>
      </c>
      <c r="AK7" s="66">
        <f t="shared" si="32"/>
        <v>0</v>
      </c>
      <c r="AL7" s="68">
        <v>1250.0</v>
      </c>
      <c r="AM7" s="66">
        <f t="shared" si="23"/>
        <v>50430</v>
      </c>
      <c r="AN7" s="69">
        <f t="shared" si="24"/>
        <v>1566094.414</v>
      </c>
      <c r="AO7" s="70" t="str">
        <f t="shared" si="25"/>
        <v>#DIV/0!</v>
      </c>
      <c r="AP7" s="71">
        <f t="shared" si="26"/>
        <v>-1566094.414</v>
      </c>
      <c r="AQ7" s="66">
        <f t="shared" si="27"/>
        <v>0</v>
      </c>
      <c r="AR7" s="78"/>
      <c r="AS7" s="73">
        <f t="shared" si="28"/>
        <v>0</v>
      </c>
    </row>
    <row r="8">
      <c r="A8" s="77" t="s">
        <v>32</v>
      </c>
      <c r="B8" s="65">
        <v>25000.0</v>
      </c>
      <c r="C8" s="65">
        <f t="shared" si="1"/>
        <v>20500</v>
      </c>
      <c r="D8" s="66">
        <f t="shared" si="2"/>
        <v>18468.46847</v>
      </c>
      <c r="E8" s="79">
        <v>1.0</v>
      </c>
      <c r="F8" s="66">
        <f t="shared" si="3"/>
        <v>4130</v>
      </c>
      <c r="G8" s="66">
        <f t="shared" si="4"/>
        <v>2800</v>
      </c>
      <c r="H8" s="66">
        <f t="shared" si="5"/>
        <v>1575</v>
      </c>
      <c r="I8" s="66">
        <f t="shared" si="6"/>
        <v>630</v>
      </c>
      <c r="J8" s="68">
        <v>1250.0</v>
      </c>
      <c r="K8" s="66">
        <f t="shared" si="7"/>
        <v>1640</v>
      </c>
      <c r="L8" s="69">
        <f t="shared" si="8"/>
        <v>30493.46847</v>
      </c>
      <c r="M8" s="70">
        <f t="shared" si="9"/>
        <v>0.03292142857</v>
      </c>
      <c r="N8" s="71">
        <f t="shared" si="10"/>
        <v>1038.063063</v>
      </c>
      <c r="O8" s="66">
        <f t="shared" si="11"/>
        <v>31531.53153</v>
      </c>
      <c r="P8" s="78">
        <v>35000.0</v>
      </c>
      <c r="Q8" s="73">
        <f t="shared" si="12"/>
        <v>35000</v>
      </c>
      <c r="R8" s="74"/>
      <c r="S8" s="75">
        <v>4.0</v>
      </c>
      <c r="T8" s="66">
        <f t="shared" si="13"/>
        <v>15678</v>
      </c>
      <c r="U8" s="66">
        <f t="shared" si="14"/>
        <v>10720</v>
      </c>
      <c r="V8" s="66">
        <f t="shared" si="15"/>
        <v>6030</v>
      </c>
      <c r="W8" s="66">
        <f t="shared" si="16"/>
        <v>2412</v>
      </c>
      <c r="X8" s="68">
        <v>1250.0</v>
      </c>
      <c r="Y8" s="66">
        <f t="shared" si="17"/>
        <v>6560</v>
      </c>
      <c r="Z8" s="69">
        <f t="shared" si="18"/>
        <v>116523.8739</v>
      </c>
      <c r="AA8" s="70">
        <f t="shared" si="19"/>
        <v>0.03476492537</v>
      </c>
      <c r="AB8" s="71">
        <f t="shared" si="20"/>
        <v>4196.846847</v>
      </c>
      <c r="AC8" s="66">
        <f t="shared" si="21"/>
        <v>120720.7207</v>
      </c>
      <c r="AD8" s="78">
        <v>134000.0</v>
      </c>
      <c r="AE8" s="73">
        <f t="shared" si="22"/>
        <v>33500</v>
      </c>
      <c r="AF8" s="76"/>
      <c r="AG8" s="75">
        <v>100.0</v>
      </c>
      <c r="AH8" s="66">
        <f t="shared" si="29"/>
        <v>0</v>
      </c>
      <c r="AI8" s="66">
        <f t="shared" si="30"/>
        <v>0</v>
      </c>
      <c r="AJ8" s="66">
        <f t="shared" si="31"/>
        <v>0</v>
      </c>
      <c r="AK8" s="66">
        <f t="shared" si="32"/>
        <v>0</v>
      </c>
      <c r="AL8" s="68">
        <v>1250.0</v>
      </c>
      <c r="AM8" s="66">
        <f t="shared" si="23"/>
        <v>61500</v>
      </c>
      <c r="AN8" s="69">
        <f t="shared" si="24"/>
        <v>1909596.847</v>
      </c>
      <c r="AO8" s="70" t="str">
        <f t="shared" si="25"/>
        <v>#DIV/0!</v>
      </c>
      <c r="AP8" s="71">
        <f t="shared" si="26"/>
        <v>-1909596.847</v>
      </c>
      <c r="AQ8" s="66">
        <f t="shared" si="27"/>
        <v>0</v>
      </c>
      <c r="AR8" s="78"/>
      <c r="AS8" s="73">
        <f t="shared" si="28"/>
        <v>0</v>
      </c>
    </row>
    <row r="9">
      <c r="A9" s="77" t="s">
        <v>33</v>
      </c>
      <c r="B9" s="65">
        <v>10000.0</v>
      </c>
      <c r="C9" s="65">
        <f t="shared" si="1"/>
        <v>8200</v>
      </c>
      <c r="D9" s="66">
        <f t="shared" si="2"/>
        <v>7387.387387</v>
      </c>
      <c r="E9" s="79">
        <v>1.0</v>
      </c>
      <c r="F9" s="66">
        <f t="shared" si="3"/>
        <v>1810.71</v>
      </c>
      <c r="G9" s="66">
        <f t="shared" si="4"/>
        <v>1227.6</v>
      </c>
      <c r="H9" s="66">
        <f t="shared" si="5"/>
        <v>690.525</v>
      </c>
      <c r="I9" s="66">
        <f t="shared" si="6"/>
        <v>276.21</v>
      </c>
      <c r="J9" s="68">
        <v>1250.0</v>
      </c>
      <c r="K9" s="66">
        <f t="shared" si="7"/>
        <v>656</v>
      </c>
      <c r="L9" s="69">
        <f t="shared" si="8"/>
        <v>13298.43239</v>
      </c>
      <c r="M9" s="70">
        <f t="shared" si="9"/>
        <v>0.03804105898</v>
      </c>
      <c r="N9" s="71">
        <f t="shared" si="10"/>
        <v>525.8919369</v>
      </c>
      <c r="O9" s="66">
        <f t="shared" si="11"/>
        <v>13824.32432</v>
      </c>
      <c r="P9" s="78">
        <v>15345.0</v>
      </c>
      <c r="Q9" s="73">
        <f t="shared" si="12"/>
        <v>15345</v>
      </c>
      <c r="R9" s="74"/>
      <c r="S9" s="75">
        <v>16.0</v>
      </c>
      <c r="T9" s="66">
        <f t="shared" si="13"/>
        <v>24687</v>
      </c>
      <c r="U9" s="66">
        <f t="shared" si="14"/>
        <v>16880</v>
      </c>
      <c r="V9" s="66">
        <f t="shared" si="15"/>
        <v>9495</v>
      </c>
      <c r="W9" s="66">
        <f t="shared" si="16"/>
        <v>3798</v>
      </c>
      <c r="X9" s="68">
        <v>1250.0</v>
      </c>
      <c r="Y9" s="66">
        <f t="shared" si="17"/>
        <v>10496</v>
      </c>
      <c r="Z9" s="69">
        <f t="shared" si="18"/>
        <v>184804.1982</v>
      </c>
      <c r="AA9" s="70">
        <f t="shared" si="19"/>
        <v>0.02780729858</v>
      </c>
      <c r="AB9" s="71">
        <f t="shared" si="20"/>
        <v>5285.891892</v>
      </c>
      <c r="AC9" s="66">
        <f t="shared" si="21"/>
        <v>190090.0901</v>
      </c>
      <c r="AD9" s="78">
        <v>211000.0</v>
      </c>
      <c r="AE9" s="73">
        <f t="shared" si="22"/>
        <v>13187.5</v>
      </c>
      <c r="AF9" s="76"/>
      <c r="AG9" s="75"/>
      <c r="AH9" s="66">
        <f t="shared" si="29"/>
        <v>0</v>
      </c>
      <c r="AI9" s="66">
        <f t="shared" si="30"/>
        <v>0</v>
      </c>
      <c r="AJ9" s="66">
        <f t="shared" si="31"/>
        <v>0</v>
      </c>
      <c r="AK9" s="66">
        <f t="shared" si="32"/>
        <v>0</v>
      </c>
      <c r="AL9" s="68">
        <v>1250.0</v>
      </c>
      <c r="AM9" s="66">
        <f t="shared" si="23"/>
        <v>0</v>
      </c>
      <c r="AN9" s="69">
        <f t="shared" si="24"/>
        <v>1250</v>
      </c>
      <c r="AO9" s="70" t="str">
        <f t="shared" si="25"/>
        <v>#DIV/0!</v>
      </c>
      <c r="AP9" s="71">
        <f t="shared" si="26"/>
        <v>-1250</v>
      </c>
      <c r="AQ9" s="66">
        <f t="shared" si="27"/>
        <v>0</v>
      </c>
      <c r="AR9" s="78"/>
      <c r="AS9" s="73" t="str">
        <f t="shared" si="28"/>
        <v>#DIV/0!</v>
      </c>
    </row>
    <row r="10">
      <c r="A10" s="77" t="s">
        <v>34</v>
      </c>
      <c r="B10" s="65">
        <v>15000.0</v>
      </c>
      <c r="C10" s="65">
        <f t="shared" si="1"/>
        <v>12300</v>
      </c>
      <c r="D10" s="66">
        <f t="shared" si="2"/>
        <v>11081.08108</v>
      </c>
      <c r="E10" s="79">
        <v>1.0</v>
      </c>
      <c r="F10" s="66">
        <f t="shared" si="3"/>
        <v>2596</v>
      </c>
      <c r="G10" s="66">
        <f t="shared" si="4"/>
        <v>1760</v>
      </c>
      <c r="H10" s="66">
        <f t="shared" si="5"/>
        <v>990</v>
      </c>
      <c r="I10" s="66">
        <f t="shared" si="6"/>
        <v>396</v>
      </c>
      <c r="J10" s="68">
        <v>1250.0</v>
      </c>
      <c r="K10" s="66">
        <f t="shared" si="7"/>
        <v>984</v>
      </c>
      <c r="L10" s="69">
        <f t="shared" si="8"/>
        <v>19057.08108</v>
      </c>
      <c r="M10" s="70">
        <f t="shared" si="9"/>
        <v>0.03848363636</v>
      </c>
      <c r="N10" s="71">
        <f t="shared" si="10"/>
        <v>762.7387387</v>
      </c>
      <c r="O10" s="66">
        <f t="shared" si="11"/>
        <v>19819.81982</v>
      </c>
      <c r="P10" s="78">
        <v>22000.0</v>
      </c>
      <c r="Q10" s="73">
        <f t="shared" si="12"/>
        <v>22000</v>
      </c>
      <c r="R10" s="74"/>
      <c r="S10" s="75">
        <v>4.0</v>
      </c>
      <c r="T10" s="66">
        <f t="shared" si="13"/>
        <v>9711</v>
      </c>
      <c r="U10" s="66">
        <f t="shared" si="14"/>
        <v>6640</v>
      </c>
      <c r="V10" s="66">
        <f t="shared" si="15"/>
        <v>3735</v>
      </c>
      <c r="W10" s="66">
        <f t="shared" si="16"/>
        <v>1494</v>
      </c>
      <c r="X10" s="68">
        <v>1250.0</v>
      </c>
      <c r="Y10" s="66">
        <f t="shared" si="17"/>
        <v>3936</v>
      </c>
      <c r="Z10" s="69">
        <f t="shared" si="18"/>
        <v>71090.32432</v>
      </c>
      <c r="AA10" s="70">
        <f t="shared" si="19"/>
        <v>0.0492739759</v>
      </c>
      <c r="AB10" s="71">
        <f t="shared" si="20"/>
        <v>3684.45045</v>
      </c>
      <c r="AC10" s="66">
        <f t="shared" si="21"/>
        <v>74774.77477</v>
      </c>
      <c r="AD10" s="78">
        <v>83000.0</v>
      </c>
      <c r="AE10" s="73">
        <f t="shared" si="22"/>
        <v>20750</v>
      </c>
      <c r="AF10" s="76"/>
      <c r="AG10" s="75"/>
      <c r="AH10" s="66">
        <f t="shared" si="29"/>
        <v>0</v>
      </c>
      <c r="AI10" s="66">
        <f t="shared" si="30"/>
        <v>0</v>
      </c>
      <c r="AJ10" s="66">
        <f t="shared" si="31"/>
        <v>0</v>
      </c>
      <c r="AK10" s="66">
        <f t="shared" si="32"/>
        <v>0</v>
      </c>
      <c r="AL10" s="68">
        <v>1250.0</v>
      </c>
      <c r="AM10" s="66">
        <f t="shared" si="23"/>
        <v>0</v>
      </c>
      <c r="AN10" s="69">
        <f t="shared" si="24"/>
        <v>1250</v>
      </c>
      <c r="AO10" s="70" t="str">
        <f t="shared" si="25"/>
        <v>#DIV/0!</v>
      </c>
      <c r="AP10" s="71">
        <f t="shared" si="26"/>
        <v>-1250</v>
      </c>
      <c r="AQ10" s="66">
        <f t="shared" si="27"/>
        <v>0</v>
      </c>
      <c r="AR10" s="78"/>
      <c r="AS10" s="73" t="str">
        <f t="shared" si="28"/>
        <v>#DIV/0!</v>
      </c>
    </row>
    <row r="11">
      <c r="A11" s="77" t="s">
        <v>35</v>
      </c>
      <c r="B11" s="65">
        <v>18000.0</v>
      </c>
      <c r="C11" s="65">
        <f t="shared" si="1"/>
        <v>14760</v>
      </c>
      <c r="D11" s="66">
        <f t="shared" si="2"/>
        <v>13297.2973</v>
      </c>
      <c r="E11" s="79">
        <v>1.0</v>
      </c>
      <c r="F11" s="66">
        <f t="shared" si="3"/>
        <v>3026.7</v>
      </c>
      <c r="G11" s="66">
        <f t="shared" si="4"/>
        <v>2052</v>
      </c>
      <c r="H11" s="66">
        <f t="shared" si="5"/>
        <v>1154.25</v>
      </c>
      <c r="I11" s="66">
        <f t="shared" si="6"/>
        <v>461.7</v>
      </c>
      <c r="J11" s="68">
        <v>1250.0</v>
      </c>
      <c r="K11" s="66">
        <f t="shared" si="7"/>
        <v>1180.8</v>
      </c>
      <c r="L11" s="69">
        <f t="shared" si="8"/>
        <v>22422.7473</v>
      </c>
      <c r="M11" s="70">
        <f t="shared" si="9"/>
        <v>0.02965888889</v>
      </c>
      <c r="N11" s="71">
        <f t="shared" si="10"/>
        <v>685.3608108</v>
      </c>
      <c r="O11" s="66">
        <f t="shared" si="11"/>
        <v>23108.10811</v>
      </c>
      <c r="P11" s="78">
        <v>25650.0</v>
      </c>
      <c r="Q11" s="73">
        <f t="shared" si="12"/>
        <v>25650</v>
      </c>
      <c r="R11" s="74"/>
      <c r="S11" s="75"/>
      <c r="T11" s="66">
        <f t="shared" si="13"/>
        <v>0</v>
      </c>
      <c r="U11" s="66">
        <f t="shared" si="14"/>
        <v>0</v>
      </c>
      <c r="V11" s="66">
        <f t="shared" si="15"/>
        <v>0</v>
      </c>
      <c r="W11" s="66">
        <f t="shared" si="16"/>
        <v>0</v>
      </c>
      <c r="X11" s="68">
        <v>1250.0</v>
      </c>
      <c r="Y11" s="66">
        <f t="shared" si="17"/>
        <v>0</v>
      </c>
      <c r="Z11" s="69">
        <f t="shared" si="18"/>
        <v>1250</v>
      </c>
      <c r="AA11" s="70" t="str">
        <f t="shared" si="19"/>
        <v>#DIV/0!</v>
      </c>
      <c r="AB11" s="71">
        <f t="shared" si="20"/>
        <v>-1250</v>
      </c>
      <c r="AC11" s="66">
        <f t="shared" si="21"/>
        <v>0</v>
      </c>
      <c r="AD11" s="78"/>
      <c r="AE11" s="73" t="str">
        <f t="shared" si="22"/>
        <v>#DIV/0!</v>
      </c>
      <c r="AF11" s="76"/>
      <c r="AG11" s="75"/>
      <c r="AH11" s="66">
        <f t="shared" si="29"/>
        <v>0</v>
      </c>
      <c r="AI11" s="66">
        <f t="shared" si="30"/>
        <v>0</v>
      </c>
      <c r="AJ11" s="66">
        <f t="shared" si="31"/>
        <v>0</v>
      </c>
      <c r="AK11" s="66">
        <f t="shared" si="32"/>
        <v>0</v>
      </c>
      <c r="AL11" s="68">
        <v>1250.0</v>
      </c>
      <c r="AM11" s="66">
        <f t="shared" si="23"/>
        <v>0</v>
      </c>
      <c r="AN11" s="69">
        <f t="shared" si="24"/>
        <v>1250</v>
      </c>
      <c r="AO11" s="70" t="str">
        <f t="shared" si="25"/>
        <v>#DIV/0!</v>
      </c>
      <c r="AP11" s="71">
        <f t="shared" si="26"/>
        <v>-1250</v>
      </c>
      <c r="AQ11" s="66">
        <f t="shared" si="27"/>
        <v>0</v>
      </c>
      <c r="AR11" s="78"/>
      <c r="AS11" s="73" t="str">
        <f t="shared" si="28"/>
        <v>#DIV/0!</v>
      </c>
    </row>
    <row r="12">
      <c r="A12" s="77" t="s">
        <v>36</v>
      </c>
      <c r="B12" s="65">
        <v>73000.0</v>
      </c>
      <c r="C12" s="65">
        <f t="shared" si="1"/>
        <v>59860</v>
      </c>
      <c r="D12" s="66">
        <f t="shared" si="2"/>
        <v>53927.92793</v>
      </c>
      <c r="E12" s="79">
        <v>1.0</v>
      </c>
      <c r="F12" s="66">
        <f t="shared" si="3"/>
        <v>11446</v>
      </c>
      <c r="G12" s="66">
        <f t="shared" si="4"/>
        <v>7760</v>
      </c>
      <c r="H12" s="66">
        <f t="shared" si="5"/>
        <v>4365</v>
      </c>
      <c r="I12" s="66">
        <f t="shared" si="6"/>
        <v>1746</v>
      </c>
      <c r="J12" s="68">
        <v>1250.0</v>
      </c>
      <c r="K12" s="66">
        <f t="shared" si="7"/>
        <v>4788.8</v>
      </c>
      <c r="L12" s="69">
        <f t="shared" si="8"/>
        <v>85283.72793</v>
      </c>
      <c r="M12" s="70">
        <f t="shared" si="9"/>
        <v>0.02407280412</v>
      </c>
      <c r="N12" s="71">
        <f t="shared" si="10"/>
        <v>2103.659459</v>
      </c>
      <c r="O12" s="66">
        <f t="shared" si="11"/>
        <v>87387.38739</v>
      </c>
      <c r="P12" s="78">
        <v>97000.0</v>
      </c>
      <c r="Q12" s="73">
        <f t="shared" si="12"/>
        <v>97000</v>
      </c>
      <c r="R12" s="74"/>
      <c r="S12" s="75"/>
      <c r="T12" s="66">
        <f t="shared" si="13"/>
        <v>0</v>
      </c>
      <c r="U12" s="66">
        <f t="shared" si="14"/>
        <v>0</v>
      </c>
      <c r="V12" s="66">
        <f t="shared" si="15"/>
        <v>0</v>
      </c>
      <c r="W12" s="66">
        <f t="shared" si="16"/>
        <v>0</v>
      </c>
      <c r="X12" s="68">
        <v>1250.0</v>
      </c>
      <c r="Y12" s="66">
        <f t="shared" si="17"/>
        <v>0</v>
      </c>
      <c r="Z12" s="69">
        <f t="shared" si="18"/>
        <v>1250</v>
      </c>
      <c r="AA12" s="70" t="str">
        <f t="shared" si="19"/>
        <v>#DIV/0!</v>
      </c>
      <c r="AB12" s="71">
        <f t="shared" si="20"/>
        <v>-1250</v>
      </c>
      <c r="AC12" s="66">
        <f t="shared" si="21"/>
        <v>0</v>
      </c>
      <c r="AD12" s="78"/>
      <c r="AE12" s="73" t="str">
        <f t="shared" si="22"/>
        <v>#DIV/0!</v>
      </c>
      <c r="AF12" s="76"/>
      <c r="AG12" s="75"/>
      <c r="AH12" s="66">
        <f t="shared" si="29"/>
        <v>0</v>
      </c>
      <c r="AI12" s="66">
        <f t="shared" si="30"/>
        <v>0</v>
      </c>
      <c r="AJ12" s="66">
        <f t="shared" si="31"/>
        <v>0</v>
      </c>
      <c r="AK12" s="66">
        <f t="shared" si="32"/>
        <v>0</v>
      </c>
      <c r="AL12" s="68">
        <v>1250.0</v>
      </c>
      <c r="AM12" s="66">
        <f t="shared" si="23"/>
        <v>0</v>
      </c>
      <c r="AN12" s="69">
        <f t="shared" si="24"/>
        <v>1250</v>
      </c>
      <c r="AO12" s="70" t="str">
        <f t="shared" si="25"/>
        <v>#DIV/0!</v>
      </c>
      <c r="AP12" s="71">
        <f t="shared" si="26"/>
        <v>-1250</v>
      </c>
      <c r="AQ12" s="66">
        <f t="shared" si="27"/>
        <v>0</v>
      </c>
      <c r="AR12" s="78"/>
      <c r="AS12" s="73" t="str">
        <f t="shared" si="28"/>
        <v>#DIV/0!</v>
      </c>
    </row>
    <row r="13">
      <c r="A13" s="77" t="s">
        <v>37</v>
      </c>
      <c r="B13" s="65">
        <v>5900.0</v>
      </c>
      <c r="C13" s="65">
        <f t="shared" si="1"/>
        <v>4838</v>
      </c>
      <c r="D13" s="66">
        <f t="shared" si="2"/>
        <v>4358.558559</v>
      </c>
      <c r="E13" s="79">
        <v>1.0</v>
      </c>
      <c r="F13" s="66">
        <f t="shared" si="3"/>
        <v>1239</v>
      </c>
      <c r="G13" s="66">
        <f t="shared" si="4"/>
        <v>840</v>
      </c>
      <c r="H13" s="66">
        <f t="shared" si="5"/>
        <v>472.5</v>
      </c>
      <c r="I13" s="66">
        <f t="shared" si="6"/>
        <v>189</v>
      </c>
      <c r="J13" s="68">
        <v>1250.0</v>
      </c>
      <c r="K13" s="66">
        <f t="shared" si="7"/>
        <v>387.04</v>
      </c>
      <c r="L13" s="69">
        <f t="shared" si="8"/>
        <v>8736.098559</v>
      </c>
      <c r="M13" s="70">
        <f t="shared" si="9"/>
        <v>0.07646958095</v>
      </c>
      <c r="N13" s="71">
        <f t="shared" si="10"/>
        <v>723.3609009</v>
      </c>
      <c r="O13" s="66">
        <f t="shared" si="11"/>
        <v>9459.459459</v>
      </c>
      <c r="P13" s="78">
        <v>10500.0</v>
      </c>
      <c r="Q13" s="73">
        <f t="shared" si="12"/>
        <v>10500</v>
      </c>
      <c r="R13" s="74"/>
      <c r="S13" s="75">
        <v>25.0</v>
      </c>
      <c r="T13" s="66">
        <f t="shared" si="13"/>
        <v>22698</v>
      </c>
      <c r="U13" s="66">
        <f t="shared" si="14"/>
        <v>15520</v>
      </c>
      <c r="V13" s="66">
        <f t="shared" si="15"/>
        <v>8730</v>
      </c>
      <c r="W13" s="66">
        <f t="shared" si="16"/>
        <v>3492</v>
      </c>
      <c r="X13" s="68">
        <v>1250.0</v>
      </c>
      <c r="Y13" s="66">
        <f t="shared" si="17"/>
        <v>9676</v>
      </c>
      <c r="Z13" s="69">
        <f t="shared" si="18"/>
        <v>170329.964</v>
      </c>
      <c r="AA13" s="70">
        <f t="shared" si="19"/>
        <v>0.02543164948</v>
      </c>
      <c r="AB13" s="71">
        <f t="shared" si="20"/>
        <v>4444.810811</v>
      </c>
      <c r="AC13" s="66">
        <f t="shared" si="21"/>
        <v>174774.7748</v>
      </c>
      <c r="AD13" s="78">
        <v>194000.0</v>
      </c>
      <c r="AE13" s="73">
        <f t="shared" si="22"/>
        <v>7760</v>
      </c>
      <c r="AF13" s="76"/>
      <c r="AG13" s="75">
        <v>300.0</v>
      </c>
      <c r="AH13" s="66">
        <f t="shared" si="29"/>
        <v>258570</v>
      </c>
      <c r="AI13" s="66">
        <f t="shared" si="30"/>
        <v>176800</v>
      </c>
      <c r="AJ13" s="66">
        <f t="shared" si="31"/>
        <v>99450</v>
      </c>
      <c r="AK13" s="66">
        <f t="shared" si="32"/>
        <v>39780</v>
      </c>
      <c r="AL13" s="68">
        <v>1250.0</v>
      </c>
      <c r="AM13" s="66">
        <f t="shared" si="23"/>
        <v>43542</v>
      </c>
      <c r="AN13" s="69">
        <f t="shared" si="24"/>
        <v>1926959.568</v>
      </c>
      <c r="AO13" s="70">
        <f t="shared" si="25"/>
        <v>0.03216057919</v>
      </c>
      <c r="AP13" s="71">
        <f t="shared" si="26"/>
        <v>64031.42342</v>
      </c>
      <c r="AQ13" s="66">
        <f t="shared" si="27"/>
        <v>1990990.991</v>
      </c>
      <c r="AR13" s="78">
        <v>2210000.0</v>
      </c>
      <c r="AS13" s="73">
        <f t="shared" si="28"/>
        <v>7366.666667</v>
      </c>
    </row>
    <row r="14">
      <c r="A14" s="77" t="s">
        <v>38</v>
      </c>
      <c r="B14" s="65">
        <v>3500.0</v>
      </c>
      <c r="C14" s="65">
        <f t="shared" si="1"/>
        <v>2870</v>
      </c>
      <c r="D14" s="66">
        <f t="shared" si="2"/>
        <v>2585.585586</v>
      </c>
      <c r="E14" s="79">
        <v>5.0</v>
      </c>
      <c r="F14" s="66">
        <f t="shared" si="3"/>
        <v>3068</v>
      </c>
      <c r="G14" s="66">
        <f t="shared" si="4"/>
        <v>2080</v>
      </c>
      <c r="H14" s="66">
        <f t="shared" si="5"/>
        <v>1170</v>
      </c>
      <c r="I14" s="66">
        <f t="shared" si="6"/>
        <v>468</v>
      </c>
      <c r="J14" s="68">
        <v>1250.0</v>
      </c>
      <c r="K14" s="66">
        <f t="shared" si="7"/>
        <v>1148</v>
      </c>
      <c r="L14" s="69">
        <f t="shared" si="8"/>
        <v>22111.92793</v>
      </c>
      <c r="M14" s="70">
        <f t="shared" si="9"/>
        <v>0.05599076923</v>
      </c>
      <c r="N14" s="71">
        <f t="shared" si="10"/>
        <v>1311.495495</v>
      </c>
      <c r="O14" s="66">
        <f t="shared" si="11"/>
        <v>23423.42342</v>
      </c>
      <c r="P14" s="78">
        <v>26000.0</v>
      </c>
      <c r="Q14" s="73">
        <f t="shared" si="12"/>
        <v>5200</v>
      </c>
      <c r="R14" s="74"/>
      <c r="S14" s="75"/>
      <c r="T14" s="66">
        <f t="shared" si="13"/>
        <v>0</v>
      </c>
      <c r="U14" s="66">
        <f t="shared" si="14"/>
        <v>0</v>
      </c>
      <c r="V14" s="66">
        <f t="shared" si="15"/>
        <v>0</v>
      </c>
      <c r="W14" s="66">
        <f t="shared" si="16"/>
        <v>0</v>
      </c>
      <c r="X14" s="68">
        <v>1250.0</v>
      </c>
      <c r="Y14" s="66">
        <f t="shared" si="17"/>
        <v>0</v>
      </c>
      <c r="Z14" s="69">
        <f t="shared" si="18"/>
        <v>1250</v>
      </c>
      <c r="AA14" s="70" t="str">
        <f t="shared" si="19"/>
        <v>#DIV/0!</v>
      </c>
      <c r="AB14" s="71">
        <f t="shared" si="20"/>
        <v>-1250</v>
      </c>
      <c r="AC14" s="66">
        <f t="shared" si="21"/>
        <v>0</v>
      </c>
      <c r="AD14" s="78"/>
      <c r="AE14" s="73" t="str">
        <f t="shared" si="22"/>
        <v>#DIV/0!</v>
      </c>
      <c r="AF14" s="76"/>
      <c r="AG14" s="75">
        <v>500.0</v>
      </c>
      <c r="AH14" s="66">
        <f t="shared" si="29"/>
        <v>243418.5</v>
      </c>
      <c r="AI14" s="66">
        <f t="shared" si="30"/>
        <v>166440</v>
      </c>
      <c r="AJ14" s="66">
        <f t="shared" si="31"/>
        <v>93622.5</v>
      </c>
      <c r="AK14" s="66">
        <f t="shared" si="32"/>
        <v>37449</v>
      </c>
      <c r="AL14" s="68">
        <v>1250.0</v>
      </c>
      <c r="AM14" s="66">
        <f t="shared" si="23"/>
        <v>43050</v>
      </c>
      <c r="AN14" s="69">
        <f t="shared" si="24"/>
        <v>1878022.793</v>
      </c>
      <c r="AO14" s="70">
        <f t="shared" si="25"/>
        <v>-0.001078247757</v>
      </c>
      <c r="AP14" s="71">
        <f t="shared" si="26"/>
        <v>-2022.792793</v>
      </c>
      <c r="AQ14" s="68">
        <v>1876000.0</v>
      </c>
      <c r="AR14" s="78">
        <v>2080500.0</v>
      </c>
      <c r="AS14" s="73">
        <f t="shared" si="28"/>
        <v>4161</v>
      </c>
    </row>
    <row r="15">
      <c r="A15" s="77" t="s">
        <v>39</v>
      </c>
      <c r="B15" s="65">
        <v>3500.0</v>
      </c>
      <c r="C15" s="65">
        <f t="shared" si="1"/>
        <v>2870</v>
      </c>
      <c r="D15" s="66">
        <f t="shared" si="2"/>
        <v>2585.585586</v>
      </c>
      <c r="E15" s="79">
        <v>3.0</v>
      </c>
      <c r="F15" s="66">
        <f t="shared" si="3"/>
        <v>1947</v>
      </c>
      <c r="G15" s="66">
        <f t="shared" si="4"/>
        <v>1320</v>
      </c>
      <c r="H15" s="66">
        <f t="shared" si="5"/>
        <v>742.5</v>
      </c>
      <c r="I15" s="66">
        <f t="shared" si="6"/>
        <v>297</v>
      </c>
      <c r="J15" s="68">
        <v>1250.0</v>
      </c>
      <c r="K15" s="66">
        <f t="shared" si="7"/>
        <v>688.8</v>
      </c>
      <c r="L15" s="69">
        <f t="shared" si="8"/>
        <v>14002.05676</v>
      </c>
      <c r="M15" s="70">
        <f t="shared" si="9"/>
        <v>0.05804345455</v>
      </c>
      <c r="N15" s="71">
        <f t="shared" si="10"/>
        <v>862.8081081</v>
      </c>
      <c r="O15" s="66">
        <f t="shared" si="11"/>
        <v>14864.86486</v>
      </c>
      <c r="P15" s="78">
        <v>16500.0</v>
      </c>
      <c r="Q15" s="73">
        <f t="shared" si="12"/>
        <v>5500</v>
      </c>
      <c r="R15" s="74"/>
      <c r="S15" s="75"/>
      <c r="T15" s="66">
        <f t="shared" si="13"/>
        <v>0</v>
      </c>
      <c r="U15" s="66">
        <f t="shared" si="14"/>
        <v>0</v>
      </c>
      <c r="V15" s="66">
        <f t="shared" si="15"/>
        <v>0</v>
      </c>
      <c r="W15" s="66">
        <f t="shared" si="16"/>
        <v>0</v>
      </c>
      <c r="X15" s="68">
        <v>1250.0</v>
      </c>
      <c r="Y15" s="66">
        <f t="shared" si="17"/>
        <v>0</v>
      </c>
      <c r="Z15" s="69">
        <f t="shared" si="18"/>
        <v>1250</v>
      </c>
      <c r="AA15" s="70" t="str">
        <f t="shared" si="19"/>
        <v>#DIV/0!</v>
      </c>
      <c r="AB15" s="71">
        <f t="shared" si="20"/>
        <v>-1250</v>
      </c>
      <c r="AC15" s="66">
        <f t="shared" si="21"/>
        <v>0</v>
      </c>
      <c r="AD15" s="78"/>
      <c r="AE15" s="73" t="str">
        <f t="shared" si="22"/>
        <v>#DIV/0!</v>
      </c>
      <c r="AF15" s="76"/>
      <c r="AG15" s="75">
        <v>500.0</v>
      </c>
      <c r="AH15" s="66">
        <f t="shared" si="29"/>
        <v>255645</v>
      </c>
      <c r="AI15" s="66">
        <f t="shared" si="30"/>
        <v>174800</v>
      </c>
      <c r="AJ15" s="66">
        <f t="shared" si="31"/>
        <v>98325</v>
      </c>
      <c r="AK15" s="66">
        <f t="shared" si="32"/>
        <v>39330</v>
      </c>
      <c r="AL15" s="68">
        <v>1250.0</v>
      </c>
      <c r="AM15" s="66">
        <f t="shared" si="23"/>
        <v>43050</v>
      </c>
      <c r="AN15" s="69">
        <f t="shared" si="24"/>
        <v>1905192.793</v>
      </c>
      <c r="AO15" s="70">
        <f t="shared" si="25"/>
        <v>0.03214462243</v>
      </c>
      <c r="AP15" s="71">
        <f t="shared" si="26"/>
        <v>63275.67568</v>
      </c>
      <c r="AQ15" s="66">
        <f t="shared" ref="AQ15:AQ19" si="33">AR15/$O$4</f>
        <v>1968468.468</v>
      </c>
      <c r="AR15" s="78">
        <v>2185000.0</v>
      </c>
      <c r="AS15" s="73">
        <f t="shared" si="28"/>
        <v>4370</v>
      </c>
    </row>
    <row r="16">
      <c r="A16" s="80" t="s">
        <v>40</v>
      </c>
      <c r="B16" s="81">
        <f>B15+2000</f>
        <v>5500</v>
      </c>
      <c r="C16" s="65">
        <f t="shared" si="1"/>
        <v>4510</v>
      </c>
      <c r="D16" s="66">
        <f t="shared" si="2"/>
        <v>4063.063063</v>
      </c>
      <c r="E16" s="67">
        <v>3.0</v>
      </c>
      <c r="F16" s="66">
        <f t="shared" si="3"/>
        <v>3221.4</v>
      </c>
      <c r="G16" s="66">
        <f t="shared" si="4"/>
        <v>2184</v>
      </c>
      <c r="H16" s="66">
        <f t="shared" si="5"/>
        <v>1228.5</v>
      </c>
      <c r="I16" s="66">
        <f t="shared" si="6"/>
        <v>491.4</v>
      </c>
      <c r="J16" s="68">
        <v>1250.0</v>
      </c>
      <c r="K16" s="66">
        <f t="shared" si="7"/>
        <v>1082.4</v>
      </c>
      <c r="L16" s="69">
        <f t="shared" si="8"/>
        <v>21646.88919</v>
      </c>
      <c r="M16" s="70">
        <f t="shared" si="9"/>
        <v>0.1198517582</v>
      </c>
      <c r="N16" s="71">
        <f t="shared" si="10"/>
        <v>2947.705405</v>
      </c>
      <c r="O16" s="66">
        <f t="shared" si="11"/>
        <v>24594.59459</v>
      </c>
      <c r="P16" s="78">
        <v>27300.0</v>
      </c>
      <c r="Q16" s="73">
        <f t="shared" si="12"/>
        <v>9100</v>
      </c>
      <c r="R16" s="74"/>
      <c r="S16" s="75">
        <v>50.0</v>
      </c>
      <c r="T16" s="66">
        <f t="shared" si="13"/>
        <v>0</v>
      </c>
      <c r="U16" s="66">
        <f t="shared" si="14"/>
        <v>0</v>
      </c>
      <c r="V16" s="66">
        <f t="shared" si="15"/>
        <v>0</v>
      </c>
      <c r="W16" s="66">
        <f t="shared" si="16"/>
        <v>0</v>
      </c>
      <c r="X16" s="68">
        <v>1250.0</v>
      </c>
      <c r="Y16" s="66">
        <f t="shared" si="17"/>
        <v>18040</v>
      </c>
      <c r="Z16" s="69">
        <f t="shared" si="18"/>
        <v>222443.1532</v>
      </c>
      <c r="AA16" s="70" t="str">
        <f t="shared" si="19"/>
        <v>#DIV/0!</v>
      </c>
      <c r="AB16" s="71">
        <f t="shared" si="20"/>
        <v>-222443.1532</v>
      </c>
      <c r="AC16" s="66">
        <f t="shared" si="21"/>
        <v>0</v>
      </c>
      <c r="AD16" s="78"/>
      <c r="AE16" s="73">
        <f t="shared" si="22"/>
        <v>0</v>
      </c>
      <c r="AF16" s="76"/>
      <c r="AG16" s="75">
        <v>500.0</v>
      </c>
      <c r="AH16" s="66">
        <f t="shared" si="29"/>
        <v>0</v>
      </c>
      <c r="AI16" s="66">
        <f t="shared" si="30"/>
        <v>0</v>
      </c>
      <c r="AJ16" s="66">
        <f t="shared" si="31"/>
        <v>0</v>
      </c>
      <c r="AK16" s="66">
        <f t="shared" si="32"/>
        <v>0</v>
      </c>
      <c r="AL16" s="68">
        <v>1250.0</v>
      </c>
      <c r="AM16" s="66">
        <f t="shared" si="23"/>
        <v>67650</v>
      </c>
      <c r="AN16" s="69">
        <f t="shared" si="24"/>
        <v>2100431.532</v>
      </c>
      <c r="AO16" s="70" t="str">
        <f t="shared" si="25"/>
        <v>#DIV/0!</v>
      </c>
      <c r="AP16" s="71">
        <f t="shared" si="26"/>
        <v>-2100431.532</v>
      </c>
      <c r="AQ16" s="66">
        <f t="shared" si="33"/>
        <v>0</v>
      </c>
      <c r="AR16" s="78"/>
      <c r="AS16" s="73">
        <f t="shared" si="28"/>
        <v>0</v>
      </c>
    </row>
    <row r="17">
      <c r="A17" s="77" t="s">
        <v>41</v>
      </c>
      <c r="B17" s="82">
        <f>B5+500</f>
        <v>3850</v>
      </c>
      <c r="C17" s="65">
        <f t="shared" si="1"/>
        <v>3157</v>
      </c>
      <c r="D17" s="66">
        <f t="shared" si="2"/>
        <v>2844.144144</v>
      </c>
      <c r="E17" s="67">
        <v>5.0</v>
      </c>
      <c r="F17" s="66">
        <f t="shared" si="3"/>
        <v>3304</v>
      </c>
      <c r="G17" s="66">
        <f t="shared" si="4"/>
        <v>2240</v>
      </c>
      <c r="H17" s="66">
        <f t="shared" si="5"/>
        <v>1260</v>
      </c>
      <c r="I17" s="66">
        <f t="shared" si="6"/>
        <v>504</v>
      </c>
      <c r="J17" s="68">
        <v>1250.0</v>
      </c>
      <c r="K17" s="66">
        <f t="shared" si="7"/>
        <v>1262.8</v>
      </c>
      <c r="L17" s="69">
        <f t="shared" si="8"/>
        <v>24041.52072</v>
      </c>
      <c r="M17" s="70">
        <f t="shared" si="9"/>
        <v>0.04692542857</v>
      </c>
      <c r="N17" s="71">
        <f t="shared" si="10"/>
        <v>1183.704505</v>
      </c>
      <c r="O17" s="66">
        <f t="shared" si="11"/>
        <v>25225.22523</v>
      </c>
      <c r="P17" s="78">
        <v>28000.0</v>
      </c>
      <c r="Q17" s="73">
        <f t="shared" si="12"/>
        <v>5600</v>
      </c>
      <c r="R17" s="74"/>
      <c r="S17" s="75">
        <v>50.0</v>
      </c>
      <c r="T17" s="66">
        <f t="shared" si="13"/>
        <v>29536.65</v>
      </c>
      <c r="U17" s="66">
        <f t="shared" si="14"/>
        <v>20196</v>
      </c>
      <c r="V17" s="66">
        <f t="shared" si="15"/>
        <v>11360.25</v>
      </c>
      <c r="W17" s="66">
        <f t="shared" si="16"/>
        <v>4544.1</v>
      </c>
      <c r="X17" s="68">
        <v>1250.0</v>
      </c>
      <c r="Y17" s="66">
        <f t="shared" si="17"/>
        <v>12628</v>
      </c>
      <c r="Z17" s="69">
        <f t="shared" si="18"/>
        <v>221722.2072</v>
      </c>
      <c r="AA17" s="70">
        <f t="shared" si="19"/>
        <v>0.02510734799</v>
      </c>
      <c r="AB17" s="71">
        <f t="shared" si="20"/>
        <v>5710.225225</v>
      </c>
      <c r="AC17" s="66">
        <f t="shared" si="21"/>
        <v>227432.4324</v>
      </c>
      <c r="AD17" s="78">
        <v>252450.0</v>
      </c>
      <c r="AE17" s="73">
        <f t="shared" si="22"/>
        <v>5049</v>
      </c>
      <c r="AF17" s="76"/>
      <c r="AG17" s="75">
        <v>500.0</v>
      </c>
      <c r="AH17" s="66">
        <f t="shared" si="29"/>
        <v>0</v>
      </c>
      <c r="AI17" s="66">
        <f t="shared" si="30"/>
        <v>0</v>
      </c>
      <c r="AJ17" s="66">
        <f t="shared" si="31"/>
        <v>0</v>
      </c>
      <c r="AK17" s="66">
        <f t="shared" si="32"/>
        <v>0</v>
      </c>
      <c r="AL17" s="68">
        <v>1250.0</v>
      </c>
      <c r="AM17" s="66">
        <f t="shared" si="23"/>
        <v>47355</v>
      </c>
      <c r="AN17" s="69">
        <f t="shared" si="24"/>
        <v>1470677.072</v>
      </c>
      <c r="AO17" s="70" t="str">
        <f t="shared" si="25"/>
        <v>#DIV/0!</v>
      </c>
      <c r="AP17" s="71">
        <f t="shared" si="26"/>
        <v>-1470677.072</v>
      </c>
      <c r="AQ17" s="66">
        <f t="shared" si="33"/>
        <v>0</v>
      </c>
      <c r="AR17" s="78"/>
      <c r="AS17" s="73">
        <f t="shared" si="28"/>
        <v>0</v>
      </c>
    </row>
    <row r="18">
      <c r="A18" s="77" t="s">
        <v>42</v>
      </c>
      <c r="B18" s="82">
        <f>B5+1000</f>
        <v>4350</v>
      </c>
      <c r="C18" s="65">
        <f t="shared" si="1"/>
        <v>3567</v>
      </c>
      <c r="D18" s="66">
        <f t="shared" si="2"/>
        <v>3213.513514</v>
      </c>
      <c r="E18" s="79">
        <v>5.0</v>
      </c>
      <c r="F18" s="66">
        <f t="shared" si="3"/>
        <v>4649.2</v>
      </c>
      <c r="G18" s="66">
        <f t="shared" si="4"/>
        <v>3152</v>
      </c>
      <c r="H18" s="66">
        <f t="shared" si="5"/>
        <v>1773</v>
      </c>
      <c r="I18" s="66">
        <f t="shared" si="6"/>
        <v>709.2</v>
      </c>
      <c r="J18" s="68">
        <v>1250.0</v>
      </c>
      <c r="K18" s="66">
        <f t="shared" si="7"/>
        <v>1426.8</v>
      </c>
      <c r="L18" s="69">
        <f t="shared" si="8"/>
        <v>29027.76757</v>
      </c>
      <c r="M18" s="70">
        <f t="shared" si="9"/>
        <v>0.1822126396</v>
      </c>
      <c r="N18" s="71">
        <f t="shared" si="10"/>
        <v>6467.727928</v>
      </c>
      <c r="O18" s="66">
        <f t="shared" si="11"/>
        <v>35495.4955</v>
      </c>
      <c r="P18" s="78">
        <v>39400.0</v>
      </c>
      <c r="Q18" s="73">
        <f t="shared" si="12"/>
        <v>7880</v>
      </c>
      <c r="R18" s="74"/>
      <c r="S18" s="75">
        <v>50.0</v>
      </c>
      <c r="T18" s="66">
        <f t="shared" si="13"/>
        <v>33462</v>
      </c>
      <c r="U18" s="66">
        <f t="shared" si="14"/>
        <v>22880</v>
      </c>
      <c r="V18" s="66">
        <f t="shared" si="15"/>
        <v>12870</v>
      </c>
      <c r="W18" s="66">
        <f t="shared" si="16"/>
        <v>5148</v>
      </c>
      <c r="X18" s="68">
        <v>1250.0</v>
      </c>
      <c r="Y18" s="66">
        <f t="shared" si="17"/>
        <v>14268</v>
      </c>
      <c r="Z18" s="69">
        <f t="shared" si="18"/>
        <v>250553.6757</v>
      </c>
      <c r="AA18" s="70">
        <f t="shared" si="19"/>
        <v>0.0275713986</v>
      </c>
      <c r="AB18" s="71">
        <f t="shared" si="20"/>
        <v>7103.981982</v>
      </c>
      <c r="AC18" s="66">
        <f t="shared" si="21"/>
        <v>257657.6577</v>
      </c>
      <c r="AD18" s="78">
        <v>286000.0</v>
      </c>
      <c r="AE18" s="73">
        <f t="shared" si="22"/>
        <v>5720</v>
      </c>
      <c r="AF18" s="76"/>
      <c r="AG18" s="75">
        <v>500.0</v>
      </c>
      <c r="AH18" s="66">
        <f t="shared" si="29"/>
        <v>0</v>
      </c>
      <c r="AI18" s="66">
        <f t="shared" si="30"/>
        <v>0</v>
      </c>
      <c r="AJ18" s="66">
        <f t="shared" si="31"/>
        <v>0</v>
      </c>
      <c r="AK18" s="66">
        <f t="shared" si="32"/>
        <v>0</v>
      </c>
      <c r="AL18" s="68">
        <v>1250.0</v>
      </c>
      <c r="AM18" s="66">
        <f t="shared" si="23"/>
        <v>53505</v>
      </c>
      <c r="AN18" s="69">
        <f t="shared" si="24"/>
        <v>1661511.757</v>
      </c>
      <c r="AO18" s="70" t="str">
        <f t="shared" si="25"/>
        <v>#DIV/0!</v>
      </c>
      <c r="AP18" s="71">
        <f t="shared" si="26"/>
        <v>-1661511.757</v>
      </c>
      <c r="AQ18" s="66">
        <f t="shared" si="33"/>
        <v>0</v>
      </c>
      <c r="AR18" s="78"/>
      <c r="AS18" s="73">
        <f t="shared" si="28"/>
        <v>0</v>
      </c>
    </row>
    <row r="19" ht="16.5" customHeight="1">
      <c r="A19" s="77" t="s">
        <v>43</v>
      </c>
      <c r="B19" s="65">
        <v>49000.0</v>
      </c>
      <c r="C19" s="65">
        <f t="shared" si="1"/>
        <v>40180</v>
      </c>
      <c r="D19" s="66">
        <f t="shared" si="2"/>
        <v>36198.1982</v>
      </c>
      <c r="E19" s="79">
        <v>1.0</v>
      </c>
      <c r="F19" s="66">
        <f t="shared" si="3"/>
        <v>7906</v>
      </c>
      <c r="G19" s="66">
        <f t="shared" si="4"/>
        <v>5360</v>
      </c>
      <c r="H19" s="66">
        <f t="shared" si="5"/>
        <v>3015</v>
      </c>
      <c r="I19" s="66">
        <f t="shared" si="6"/>
        <v>1206</v>
      </c>
      <c r="J19" s="68">
        <v>1250.0</v>
      </c>
      <c r="K19" s="66">
        <f t="shared" si="7"/>
        <v>3214.4</v>
      </c>
      <c r="L19" s="69">
        <f t="shared" si="8"/>
        <v>58149.5982</v>
      </c>
      <c r="M19" s="70">
        <f t="shared" si="9"/>
        <v>0.0366260597</v>
      </c>
      <c r="N19" s="71">
        <f t="shared" si="10"/>
        <v>2210.762162</v>
      </c>
      <c r="O19" s="66">
        <f t="shared" si="11"/>
        <v>60360.36036</v>
      </c>
      <c r="P19" s="78">
        <v>67000.0</v>
      </c>
      <c r="Q19" s="73">
        <f t="shared" si="12"/>
        <v>67000</v>
      </c>
      <c r="R19" s="74"/>
      <c r="S19" s="75"/>
      <c r="T19" s="66">
        <f t="shared" si="13"/>
        <v>0</v>
      </c>
      <c r="U19" s="66">
        <f t="shared" si="14"/>
        <v>0</v>
      </c>
      <c r="V19" s="66">
        <f t="shared" si="15"/>
        <v>0</v>
      </c>
      <c r="W19" s="66">
        <f t="shared" si="16"/>
        <v>0</v>
      </c>
      <c r="X19" s="68">
        <v>1250.0</v>
      </c>
      <c r="Y19" s="66">
        <f t="shared" si="17"/>
        <v>0</v>
      </c>
      <c r="Z19" s="69">
        <f t="shared" si="18"/>
        <v>1250</v>
      </c>
      <c r="AA19" s="70" t="str">
        <f t="shared" si="19"/>
        <v>#DIV/0!</v>
      </c>
      <c r="AB19" s="71">
        <f t="shared" si="20"/>
        <v>-1250</v>
      </c>
      <c r="AC19" s="66">
        <f t="shared" si="21"/>
        <v>0</v>
      </c>
      <c r="AD19" s="78"/>
      <c r="AE19" s="73" t="str">
        <f t="shared" si="22"/>
        <v>#DIV/0!</v>
      </c>
      <c r="AF19" s="76"/>
      <c r="AG19" s="75"/>
      <c r="AH19" s="66">
        <f t="shared" si="29"/>
        <v>0</v>
      </c>
      <c r="AI19" s="66">
        <f t="shared" si="30"/>
        <v>0</v>
      </c>
      <c r="AJ19" s="66">
        <f t="shared" si="31"/>
        <v>0</v>
      </c>
      <c r="AK19" s="66">
        <f t="shared" si="32"/>
        <v>0</v>
      </c>
      <c r="AL19" s="68">
        <v>1250.0</v>
      </c>
      <c r="AM19" s="66">
        <f t="shared" si="23"/>
        <v>0</v>
      </c>
      <c r="AN19" s="69">
        <f t="shared" si="24"/>
        <v>1250</v>
      </c>
      <c r="AO19" s="70" t="str">
        <f t="shared" si="25"/>
        <v>#DIV/0!</v>
      </c>
      <c r="AP19" s="71">
        <f t="shared" si="26"/>
        <v>-1250</v>
      </c>
      <c r="AQ19" s="66">
        <f t="shared" si="33"/>
        <v>0</v>
      </c>
      <c r="AR19" s="78"/>
      <c r="AS19" s="73" t="str">
        <f t="shared" si="28"/>
        <v>#DIV/0!</v>
      </c>
    </row>
    <row r="20" ht="16.5" customHeight="1">
      <c r="A20" s="83" t="s">
        <v>44</v>
      </c>
      <c r="B20" s="65">
        <f>B19+2000</f>
        <v>51000</v>
      </c>
      <c r="C20" s="65">
        <f t="shared" si="1"/>
        <v>41820</v>
      </c>
      <c r="D20" s="66">
        <f t="shared" si="2"/>
        <v>37675.67568</v>
      </c>
      <c r="E20" s="79">
        <v>1.0</v>
      </c>
      <c r="F20" s="66">
        <f t="shared" si="3"/>
        <v>8024</v>
      </c>
      <c r="G20" s="66">
        <f t="shared" si="4"/>
        <v>5440</v>
      </c>
      <c r="H20" s="66">
        <f t="shared" si="5"/>
        <v>3060</v>
      </c>
      <c r="I20" s="66">
        <f t="shared" si="6"/>
        <v>1224</v>
      </c>
      <c r="J20" s="68">
        <v>1250.0</v>
      </c>
      <c r="K20" s="66">
        <f t="shared" si="7"/>
        <v>3345.6</v>
      </c>
      <c r="L20" s="69">
        <f t="shared" si="8"/>
        <v>60019.27568</v>
      </c>
      <c r="M20" s="70">
        <f t="shared" si="9"/>
        <v>0.02027358824</v>
      </c>
      <c r="N20" s="71">
        <f t="shared" si="10"/>
        <v>1241.985586</v>
      </c>
      <c r="O20" s="66">
        <f t="shared" si="11"/>
        <v>61261.26126</v>
      </c>
      <c r="P20" s="78">
        <v>68000.0</v>
      </c>
      <c r="Q20" s="73">
        <f>Q19-16290</f>
        <v>50710</v>
      </c>
      <c r="R20" s="74"/>
      <c r="S20" s="75"/>
      <c r="T20" s="66"/>
      <c r="U20" s="66"/>
      <c r="V20" s="66"/>
      <c r="W20" s="66"/>
      <c r="X20" s="68"/>
      <c r="Y20" s="66"/>
      <c r="Z20" s="69"/>
      <c r="AA20" s="70"/>
      <c r="AB20" s="71"/>
      <c r="AC20" s="66"/>
      <c r="AD20" s="78"/>
      <c r="AE20" s="73"/>
      <c r="AF20" s="76"/>
      <c r="AG20" s="75"/>
      <c r="AH20" s="66"/>
      <c r="AI20" s="66"/>
      <c r="AJ20" s="66"/>
      <c r="AK20" s="66"/>
      <c r="AL20" s="68"/>
      <c r="AM20" s="66"/>
      <c r="AN20" s="69"/>
      <c r="AO20" s="70"/>
      <c r="AP20" s="71"/>
      <c r="AQ20" s="66"/>
      <c r="AR20" s="78"/>
      <c r="AS20" s="73"/>
    </row>
    <row r="21">
      <c r="A21" s="84" t="s">
        <v>45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6"/>
      <c r="S21" s="87"/>
      <c r="T21" s="87"/>
      <c r="U21" s="87"/>
      <c r="V21" s="88"/>
      <c r="W21" s="88"/>
      <c r="X21" s="88"/>
      <c r="Y21" s="89"/>
      <c r="Z21" s="89"/>
      <c r="AA21" s="90"/>
      <c r="AB21" s="89"/>
      <c r="AC21" s="89"/>
      <c r="AD21" s="91"/>
      <c r="AE21" s="92"/>
      <c r="AF21" s="93"/>
      <c r="AG21" s="94"/>
      <c r="AH21" s="89" t="s">
        <v>46</v>
      </c>
      <c r="AI21" s="88"/>
      <c r="AJ21" s="88"/>
      <c r="AK21" s="88"/>
      <c r="AL21" s="88"/>
      <c r="AM21" s="89" t="s">
        <v>46</v>
      </c>
      <c r="AN21" s="89" t="s">
        <v>46</v>
      </c>
      <c r="AO21" s="90" t="e">
        <v>#DIV/0!</v>
      </c>
      <c r="AP21" s="89" t="s">
        <v>46</v>
      </c>
      <c r="AQ21" s="89" t="s">
        <v>46</v>
      </c>
      <c r="AR21" s="91"/>
      <c r="AS21" s="92"/>
      <c r="AT21" s="94"/>
      <c r="AU21" s="89" t="s">
        <v>46</v>
      </c>
      <c r="AV21" s="88"/>
      <c r="AW21" s="89" t="s">
        <v>46</v>
      </c>
      <c r="AX21" s="89" t="s">
        <v>46</v>
      </c>
      <c r="AY21" s="90" t="e">
        <v>#DIV/0!</v>
      </c>
      <c r="AZ21" s="89" t="s">
        <v>46</v>
      </c>
      <c r="BA21" s="89" t="s">
        <v>46</v>
      </c>
      <c r="BB21" s="91"/>
      <c r="BC21" s="94"/>
    </row>
    <row r="22">
      <c r="A22" s="95" t="s">
        <v>47</v>
      </c>
      <c r="B22" s="66">
        <f>B7*5+B13</f>
        <v>26400</v>
      </c>
      <c r="C22" s="65">
        <f t="shared" ref="C22:C27" si="34">B22*$C$4</f>
        <v>21648</v>
      </c>
      <c r="D22" s="66">
        <f t="shared" ref="D22:D27" si="35">C22/$D$4</f>
        <v>19502.7027</v>
      </c>
      <c r="E22" s="96">
        <v>1.0</v>
      </c>
      <c r="F22" s="66">
        <f t="shared" ref="F22:F45" si="36">P22*$F$3</f>
        <v>4248</v>
      </c>
      <c r="G22" s="66">
        <f t="shared" ref="G22:G45" si="37">P22*$G$3</f>
        <v>2880</v>
      </c>
      <c r="H22" s="66">
        <f t="shared" ref="H22:H45" si="38">P22*$H$3</f>
        <v>1620</v>
      </c>
      <c r="I22" s="66">
        <f t="shared" ref="I22:I45" si="39">P22*$I$3</f>
        <v>648</v>
      </c>
      <c r="J22" s="68">
        <v>1250.0</v>
      </c>
      <c r="K22" s="66">
        <f t="shared" ref="K22:K45" si="40">C22*$K$3*E22</f>
        <v>1731.84</v>
      </c>
      <c r="L22" s="69">
        <f t="shared" ref="L22:L45" si="41">(D22*E22)+F22+G22+H22+I22+J22+K22</f>
        <v>31880.5427</v>
      </c>
      <c r="M22" s="70">
        <f t="shared" ref="M22:M27" si="42">N22/O22</f>
        <v>0.0170166</v>
      </c>
      <c r="N22" s="71">
        <f t="shared" ref="N22:N27" si="43">O22-L22</f>
        <v>551.8897297</v>
      </c>
      <c r="O22" s="66">
        <f t="shared" ref="O22:O27" si="44">P22/$O$4</f>
        <v>32432.43243</v>
      </c>
      <c r="P22" s="78">
        <v>36000.0</v>
      </c>
      <c r="Q22" s="73">
        <f t="shared" ref="Q22:Q27" si="45">P22/E22</f>
        <v>36000</v>
      </c>
      <c r="R22" s="74"/>
      <c r="S22" s="75"/>
      <c r="T22" s="66">
        <f t="shared" ref="T22:T45" si="46">AD22*$T$3</f>
        <v>0</v>
      </c>
      <c r="U22" s="66">
        <f t="shared" ref="U22:U45" si="47">AD22*$U$3</f>
        <v>0</v>
      </c>
      <c r="V22" s="66">
        <f t="shared" ref="V22:V45" si="48">AD22*$V$3</f>
        <v>0</v>
      </c>
      <c r="W22" s="66">
        <f t="shared" ref="W22:W45" si="49">AD22*$W$3</f>
        <v>0</v>
      </c>
      <c r="X22" s="68">
        <v>1250.0</v>
      </c>
      <c r="Y22" s="66">
        <f t="shared" ref="Y22:Y45" si="50">C22*$Y$3*S22</f>
        <v>0</v>
      </c>
      <c r="Z22" s="69">
        <f t="shared" ref="Z22:Z45" si="51">(D22*S22)+T22+U22+V22+W22+X22+Y22</f>
        <v>1250</v>
      </c>
      <c r="AA22" s="70" t="str">
        <f t="shared" ref="AA22:AA24" si="52">AB22/AC22</f>
        <v>#DIV/0!</v>
      </c>
      <c r="AB22" s="71">
        <f t="shared" ref="AB22:AB24" si="53">AC22-Z22</f>
        <v>-1250</v>
      </c>
      <c r="AC22" s="66">
        <f t="shared" ref="AC22:AC24" si="54">AD22/$O$4</f>
        <v>0</v>
      </c>
      <c r="AD22" s="78"/>
      <c r="AE22" s="73" t="str">
        <f t="shared" ref="AE22:AE24" si="55">AD22/S22</f>
        <v>#DIV/0!</v>
      </c>
      <c r="AF22" s="76"/>
      <c r="AG22" s="75"/>
      <c r="AH22" s="66">
        <f t="shared" ref="AH22:AH24" si="56">AR22*$AH$3</f>
        <v>0</v>
      </c>
      <c r="AI22" s="66">
        <f t="shared" ref="AI22:AI24" si="57">AR22*$AI$3</f>
        <v>0</v>
      </c>
      <c r="AJ22" s="66">
        <f t="shared" ref="AJ22:AJ24" si="58">AR22*$AJ$3</f>
        <v>0</v>
      </c>
      <c r="AK22" s="66">
        <f t="shared" ref="AK22:AK24" si="59">AR22*$AK$3</f>
        <v>0</v>
      </c>
      <c r="AL22" s="68">
        <v>1250.0</v>
      </c>
      <c r="AM22" s="66">
        <f t="shared" ref="AM22:AM24" si="60">AF22*$AM$3</f>
        <v>0</v>
      </c>
      <c r="AN22" s="69">
        <f t="shared" ref="AN22:AN24" si="61">(R22*AG22)+AH22+AI22+AJ22+AK22+AL22+AM22</f>
        <v>1250</v>
      </c>
      <c r="AO22" s="70" t="str">
        <f t="shared" ref="AO22:AO24" si="62">AP22/AQ22</f>
        <v>#DIV/0!</v>
      </c>
      <c r="AP22" s="71">
        <f t="shared" ref="AP22:AP24" si="63">AQ22-AN22</f>
        <v>-1250</v>
      </c>
      <c r="AQ22" s="66">
        <f t="shared" ref="AQ22:AQ24" si="64">AR22/$O$4</f>
        <v>0</v>
      </c>
      <c r="AR22" s="78"/>
      <c r="AS22" s="73" t="str">
        <f t="shared" ref="AS22:AS24" si="65">AR22/AG22</f>
        <v>#DIV/0!</v>
      </c>
    </row>
    <row r="23">
      <c r="A23" s="95" t="s">
        <v>48</v>
      </c>
      <c r="B23" s="66">
        <f>B7*5+B13*2</f>
        <v>32300</v>
      </c>
      <c r="C23" s="65">
        <f t="shared" si="34"/>
        <v>26486</v>
      </c>
      <c r="D23" s="66">
        <f t="shared" si="35"/>
        <v>23861.26126</v>
      </c>
      <c r="E23" s="96">
        <v>1.0</v>
      </c>
      <c r="F23" s="66">
        <f t="shared" si="36"/>
        <v>5192</v>
      </c>
      <c r="G23" s="66">
        <f t="shared" si="37"/>
        <v>3520</v>
      </c>
      <c r="H23" s="66">
        <f t="shared" si="38"/>
        <v>1980</v>
      </c>
      <c r="I23" s="66">
        <f t="shared" si="39"/>
        <v>792</v>
      </c>
      <c r="J23" s="68">
        <v>1250.0</v>
      </c>
      <c r="K23" s="66">
        <f t="shared" si="40"/>
        <v>2118.88</v>
      </c>
      <c r="L23" s="69">
        <f t="shared" si="41"/>
        <v>38714.14126</v>
      </c>
      <c r="M23" s="70">
        <f t="shared" si="42"/>
        <v>0.0233478</v>
      </c>
      <c r="N23" s="71">
        <f t="shared" si="43"/>
        <v>925.4983784</v>
      </c>
      <c r="O23" s="66">
        <f t="shared" si="44"/>
        <v>39639.63964</v>
      </c>
      <c r="P23" s="78">
        <v>44000.0</v>
      </c>
      <c r="Q23" s="73">
        <f t="shared" si="45"/>
        <v>44000</v>
      </c>
      <c r="R23" s="74"/>
      <c r="S23" s="75"/>
      <c r="T23" s="66">
        <f t="shared" si="46"/>
        <v>0</v>
      </c>
      <c r="U23" s="66">
        <f t="shared" si="47"/>
        <v>0</v>
      </c>
      <c r="V23" s="66">
        <f t="shared" si="48"/>
        <v>0</v>
      </c>
      <c r="W23" s="66">
        <f t="shared" si="49"/>
        <v>0</v>
      </c>
      <c r="X23" s="68">
        <v>1250.0</v>
      </c>
      <c r="Y23" s="66">
        <f t="shared" si="50"/>
        <v>0</v>
      </c>
      <c r="Z23" s="69">
        <f t="shared" si="51"/>
        <v>1250</v>
      </c>
      <c r="AA23" s="70" t="str">
        <f t="shared" si="52"/>
        <v>#DIV/0!</v>
      </c>
      <c r="AB23" s="71">
        <f t="shared" si="53"/>
        <v>-1250</v>
      </c>
      <c r="AC23" s="66">
        <f t="shared" si="54"/>
        <v>0</v>
      </c>
      <c r="AD23" s="78"/>
      <c r="AE23" s="73" t="str">
        <f t="shared" si="55"/>
        <v>#DIV/0!</v>
      </c>
      <c r="AF23" s="76"/>
      <c r="AG23" s="75"/>
      <c r="AH23" s="66">
        <f t="shared" si="56"/>
        <v>0</v>
      </c>
      <c r="AI23" s="66">
        <f t="shared" si="57"/>
        <v>0</v>
      </c>
      <c r="AJ23" s="66">
        <f t="shared" si="58"/>
        <v>0</v>
      </c>
      <c r="AK23" s="66">
        <f t="shared" si="59"/>
        <v>0</v>
      </c>
      <c r="AL23" s="68">
        <v>1250.0</v>
      </c>
      <c r="AM23" s="66">
        <f t="shared" si="60"/>
        <v>0</v>
      </c>
      <c r="AN23" s="69">
        <f t="shared" si="61"/>
        <v>1250</v>
      </c>
      <c r="AO23" s="70" t="str">
        <f t="shared" si="62"/>
        <v>#DIV/0!</v>
      </c>
      <c r="AP23" s="71">
        <f t="shared" si="63"/>
        <v>-1250</v>
      </c>
      <c r="AQ23" s="66">
        <f t="shared" si="64"/>
        <v>0</v>
      </c>
      <c r="AR23" s="78"/>
      <c r="AS23" s="73" t="str">
        <f t="shared" si="65"/>
        <v>#DIV/0!</v>
      </c>
    </row>
    <row r="24">
      <c r="A24" s="97" t="s">
        <v>49</v>
      </c>
      <c r="B24" s="66">
        <f>B8+B13</f>
        <v>30900</v>
      </c>
      <c r="C24" s="65">
        <f t="shared" si="34"/>
        <v>25338</v>
      </c>
      <c r="D24" s="66">
        <f t="shared" si="35"/>
        <v>22827.02703</v>
      </c>
      <c r="E24" s="96">
        <v>1.0</v>
      </c>
      <c r="F24" s="66">
        <f t="shared" si="36"/>
        <v>5015</v>
      </c>
      <c r="G24" s="66">
        <f t="shared" si="37"/>
        <v>3400</v>
      </c>
      <c r="H24" s="66">
        <f t="shared" si="38"/>
        <v>1912.5</v>
      </c>
      <c r="I24" s="66">
        <f t="shared" si="39"/>
        <v>765</v>
      </c>
      <c r="J24" s="68">
        <v>1250.0</v>
      </c>
      <c r="K24" s="66">
        <f t="shared" si="40"/>
        <v>2027.04</v>
      </c>
      <c r="L24" s="69">
        <f t="shared" si="41"/>
        <v>37196.56703</v>
      </c>
      <c r="M24" s="70">
        <f t="shared" si="42"/>
        <v>0.02851319059</v>
      </c>
      <c r="N24" s="71">
        <f t="shared" si="43"/>
        <v>1091.721261</v>
      </c>
      <c r="O24" s="66">
        <f t="shared" si="44"/>
        <v>38288.28829</v>
      </c>
      <c r="P24" s="78">
        <v>42500.0</v>
      </c>
      <c r="Q24" s="73">
        <f t="shared" si="45"/>
        <v>42500</v>
      </c>
      <c r="R24" s="74"/>
      <c r="S24" s="75"/>
      <c r="T24" s="66">
        <f t="shared" si="46"/>
        <v>0</v>
      </c>
      <c r="U24" s="66">
        <f t="shared" si="47"/>
        <v>0</v>
      </c>
      <c r="V24" s="66">
        <f t="shared" si="48"/>
        <v>0</v>
      </c>
      <c r="W24" s="66">
        <f t="shared" si="49"/>
        <v>0</v>
      </c>
      <c r="X24" s="68">
        <v>1250.0</v>
      </c>
      <c r="Y24" s="66">
        <f t="shared" si="50"/>
        <v>0</v>
      </c>
      <c r="Z24" s="69">
        <f t="shared" si="51"/>
        <v>1250</v>
      </c>
      <c r="AA24" s="70" t="str">
        <f t="shared" si="52"/>
        <v>#DIV/0!</v>
      </c>
      <c r="AB24" s="71">
        <f t="shared" si="53"/>
        <v>-1250</v>
      </c>
      <c r="AC24" s="66">
        <f t="shared" si="54"/>
        <v>0</v>
      </c>
      <c r="AD24" s="78"/>
      <c r="AE24" s="73" t="str">
        <f t="shared" si="55"/>
        <v>#DIV/0!</v>
      </c>
      <c r="AF24" s="76"/>
      <c r="AG24" s="75"/>
      <c r="AH24" s="66">
        <f t="shared" si="56"/>
        <v>0</v>
      </c>
      <c r="AI24" s="66">
        <f t="shared" si="57"/>
        <v>0</v>
      </c>
      <c r="AJ24" s="66">
        <f t="shared" si="58"/>
        <v>0</v>
      </c>
      <c r="AK24" s="66">
        <f t="shared" si="59"/>
        <v>0</v>
      </c>
      <c r="AL24" s="68">
        <v>1250.0</v>
      </c>
      <c r="AM24" s="66">
        <f t="shared" si="60"/>
        <v>0</v>
      </c>
      <c r="AN24" s="69">
        <f t="shared" si="61"/>
        <v>1250</v>
      </c>
      <c r="AO24" s="70" t="str">
        <f t="shared" si="62"/>
        <v>#DIV/0!</v>
      </c>
      <c r="AP24" s="71">
        <f t="shared" si="63"/>
        <v>-1250</v>
      </c>
      <c r="AQ24" s="66">
        <f t="shared" si="64"/>
        <v>0</v>
      </c>
      <c r="AR24" s="78"/>
      <c r="AS24" s="73" t="str">
        <f t="shared" si="65"/>
        <v>#DIV/0!</v>
      </c>
    </row>
    <row r="25">
      <c r="A25" s="97" t="s">
        <v>50</v>
      </c>
      <c r="B25" s="66">
        <f>B8*2+B13*2</f>
        <v>61800</v>
      </c>
      <c r="C25" s="65">
        <f t="shared" si="34"/>
        <v>50676</v>
      </c>
      <c r="D25" s="66">
        <f t="shared" si="35"/>
        <v>45654.05405</v>
      </c>
      <c r="E25" s="96">
        <v>1.0</v>
      </c>
      <c r="F25" s="66">
        <f t="shared" si="36"/>
        <v>9794</v>
      </c>
      <c r="G25" s="66">
        <f t="shared" si="37"/>
        <v>6640</v>
      </c>
      <c r="H25" s="66">
        <f t="shared" si="38"/>
        <v>3735</v>
      </c>
      <c r="I25" s="66">
        <f t="shared" si="39"/>
        <v>1494</v>
      </c>
      <c r="J25" s="68">
        <v>1250.0</v>
      </c>
      <c r="K25" s="66">
        <f t="shared" si="40"/>
        <v>4054.08</v>
      </c>
      <c r="L25" s="69">
        <f t="shared" si="41"/>
        <v>72621.13405</v>
      </c>
      <c r="M25" s="70">
        <f t="shared" si="42"/>
        <v>0.0288017012</v>
      </c>
      <c r="N25" s="71">
        <f t="shared" si="43"/>
        <v>2153.640721</v>
      </c>
      <c r="O25" s="66">
        <f t="shared" si="44"/>
        <v>74774.77477</v>
      </c>
      <c r="P25" s="78">
        <v>83000.0</v>
      </c>
      <c r="Q25" s="73">
        <f t="shared" si="45"/>
        <v>83000</v>
      </c>
      <c r="R25" s="74"/>
      <c r="S25" s="75"/>
      <c r="T25" s="66">
        <f t="shared" si="46"/>
        <v>0</v>
      </c>
      <c r="U25" s="66">
        <f t="shared" si="47"/>
        <v>0</v>
      </c>
      <c r="V25" s="66">
        <f t="shared" si="48"/>
        <v>0</v>
      </c>
      <c r="W25" s="66">
        <f t="shared" si="49"/>
        <v>0</v>
      </c>
      <c r="X25" s="68">
        <v>1250.0</v>
      </c>
      <c r="Y25" s="66">
        <f t="shared" si="50"/>
        <v>0</v>
      </c>
      <c r="Z25" s="69">
        <f t="shared" si="51"/>
        <v>1250</v>
      </c>
      <c r="AA25" s="70"/>
      <c r="AB25" s="71"/>
      <c r="AC25" s="66"/>
      <c r="AD25" s="78"/>
      <c r="AE25" s="73"/>
      <c r="AF25" s="76"/>
      <c r="AG25" s="75"/>
      <c r="AH25" s="66"/>
      <c r="AI25" s="66"/>
      <c r="AJ25" s="66"/>
      <c r="AK25" s="66"/>
      <c r="AL25" s="68"/>
      <c r="AM25" s="66"/>
      <c r="AN25" s="69"/>
      <c r="AO25" s="70"/>
      <c r="AP25" s="71"/>
      <c r="AQ25" s="66"/>
      <c r="AR25" s="78"/>
      <c r="AS25" s="73"/>
    </row>
    <row r="26">
      <c r="A26" s="97" t="s">
        <v>51</v>
      </c>
      <c r="B26" s="66">
        <f>B8*4+B13</f>
        <v>105900</v>
      </c>
      <c r="C26" s="65">
        <f t="shared" si="34"/>
        <v>86838</v>
      </c>
      <c r="D26" s="66">
        <f t="shared" si="35"/>
        <v>78232.43243</v>
      </c>
      <c r="E26" s="96">
        <v>1.0</v>
      </c>
      <c r="F26" s="66">
        <f t="shared" si="36"/>
        <v>16520</v>
      </c>
      <c r="G26" s="66">
        <f t="shared" si="37"/>
        <v>11200</v>
      </c>
      <c r="H26" s="66">
        <f t="shared" si="38"/>
        <v>6300</v>
      </c>
      <c r="I26" s="66">
        <f t="shared" si="39"/>
        <v>2520</v>
      </c>
      <c r="J26" s="68">
        <v>1250.0</v>
      </c>
      <c r="K26" s="66">
        <f t="shared" si="40"/>
        <v>6947.04</v>
      </c>
      <c r="L26" s="69">
        <f t="shared" si="41"/>
        <v>122969.4724</v>
      </c>
      <c r="M26" s="70">
        <f t="shared" si="42"/>
        <v>0.02502775429</v>
      </c>
      <c r="N26" s="71">
        <f t="shared" si="43"/>
        <v>3156.653694</v>
      </c>
      <c r="O26" s="66">
        <f t="shared" si="44"/>
        <v>126126.1261</v>
      </c>
      <c r="P26" s="78">
        <v>140000.0</v>
      </c>
      <c r="Q26" s="73">
        <f t="shared" si="45"/>
        <v>140000</v>
      </c>
      <c r="R26" s="74"/>
      <c r="S26" s="75"/>
      <c r="T26" s="66">
        <f t="shared" si="46"/>
        <v>0</v>
      </c>
      <c r="U26" s="66">
        <f t="shared" si="47"/>
        <v>0</v>
      </c>
      <c r="V26" s="66">
        <f t="shared" si="48"/>
        <v>0</v>
      </c>
      <c r="W26" s="66">
        <f t="shared" si="49"/>
        <v>0</v>
      </c>
      <c r="X26" s="68">
        <v>1250.0</v>
      </c>
      <c r="Y26" s="66">
        <f t="shared" si="50"/>
        <v>0</v>
      </c>
      <c r="Z26" s="69">
        <f t="shared" si="51"/>
        <v>1250</v>
      </c>
      <c r="AA26" s="70"/>
      <c r="AB26" s="71"/>
      <c r="AC26" s="66"/>
      <c r="AD26" s="78"/>
      <c r="AE26" s="73"/>
      <c r="AF26" s="76"/>
      <c r="AG26" s="75"/>
      <c r="AH26" s="66"/>
      <c r="AI26" s="66"/>
      <c r="AJ26" s="66"/>
      <c r="AK26" s="66"/>
      <c r="AL26" s="68"/>
      <c r="AM26" s="66"/>
      <c r="AN26" s="69"/>
      <c r="AO26" s="70"/>
      <c r="AP26" s="71"/>
      <c r="AQ26" s="66"/>
      <c r="AR26" s="78"/>
      <c r="AS26" s="73"/>
    </row>
    <row r="27">
      <c r="A27" s="97" t="s">
        <v>52</v>
      </c>
      <c r="B27" s="66">
        <f>B8*4+B13*2</f>
        <v>111800</v>
      </c>
      <c r="C27" s="65">
        <f t="shared" si="34"/>
        <v>91676</v>
      </c>
      <c r="D27" s="66">
        <f t="shared" si="35"/>
        <v>82590.99099</v>
      </c>
      <c r="E27" s="96">
        <v>1.0</v>
      </c>
      <c r="F27" s="66">
        <f t="shared" si="36"/>
        <v>17405</v>
      </c>
      <c r="G27" s="66">
        <f t="shared" si="37"/>
        <v>11800</v>
      </c>
      <c r="H27" s="66">
        <f t="shared" si="38"/>
        <v>6637.5</v>
      </c>
      <c r="I27" s="66">
        <f t="shared" si="39"/>
        <v>2655</v>
      </c>
      <c r="J27" s="68">
        <v>1250.0</v>
      </c>
      <c r="K27" s="66">
        <f t="shared" si="40"/>
        <v>7334.08</v>
      </c>
      <c r="L27" s="69">
        <f t="shared" si="41"/>
        <v>129672.571</v>
      </c>
      <c r="M27" s="70">
        <f t="shared" si="42"/>
        <v>0.02415895729</v>
      </c>
      <c r="N27" s="71">
        <f t="shared" si="43"/>
        <v>3210.311892</v>
      </c>
      <c r="O27" s="66">
        <f t="shared" si="44"/>
        <v>132882.8829</v>
      </c>
      <c r="P27" s="78">
        <v>147500.0</v>
      </c>
      <c r="Q27" s="73">
        <f t="shared" si="45"/>
        <v>147500</v>
      </c>
      <c r="R27" s="74"/>
      <c r="S27" s="75"/>
      <c r="T27" s="66">
        <f t="shared" si="46"/>
        <v>0</v>
      </c>
      <c r="U27" s="66">
        <f t="shared" si="47"/>
        <v>0</v>
      </c>
      <c r="V27" s="66">
        <f t="shared" si="48"/>
        <v>0</v>
      </c>
      <c r="W27" s="66">
        <f t="shared" si="49"/>
        <v>0</v>
      </c>
      <c r="X27" s="68">
        <v>1250.0</v>
      </c>
      <c r="Y27" s="66">
        <f t="shared" si="50"/>
        <v>0</v>
      </c>
      <c r="Z27" s="69">
        <f t="shared" si="51"/>
        <v>1250</v>
      </c>
      <c r="AA27" s="70"/>
      <c r="AB27" s="71"/>
      <c r="AC27" s="66"/>
      <c r="AD27" s="78"/>
      <c r="AE27" s="73"/>
      <c r="AF27" s="76"/>
      <c r="AG27" s="75"/>
      <c r="AH27" s="66"/>
      <c r="AI27" s="66"/>
      <c r="AJ27" s="66"/>
      <c r="AK27" s="66"/>
      <c r="AL27" s="68"/>
      <c r="AM27" s="66"/>
      <c r="AN27" s="69"/>
      <c r="AO27" s="70"/>
      <c r="AP27" s="71"/>
      <c r="AQ27" s="66"/>
      <c r="AR27" s="78"/>
      <c r="AS27" s="73"/>
    </row>
    <row r="28">
      <c r="A28" s="97"/>
      <c r="B28" s="66"/>
      <c r="C28" s="65"/>
      <c r="D28" s="66"/>
      <c r="E28" s="96"/>
      <c r="F28" s="66">
        <f t="shared" si="36"/>
        <v>0</v>
      </c>
      <c r="G28" s="66">
        <f t="shared" si="37"/>
        <v>0</v>
      </c>
      <c r="H28" s="66">
        <f t="shared" si="38"/>
        <v>0</v>
      </c>
      <c r="I28" s="66">
        <f t="shared" si="39"/>
        <v>0</v>
      </c>
      <c r="J28" s="68">
        <v>1250.0</v>
      </c>
      <c r="K28" s="66">
        <f t="shared" si="40"/>
        <v>0</v>
      </c>
      <c r="L28" s="69">
        <f t="shared" si="41"/>
        <v>1250</v>
      </c>
      <c r="M28" s="70"/>
      <c r="N28" s="71"/>
      <c r="O28" s="66"/>
      <c r="P28" s="78"/>
      <c r="Q28" s="73"/>
      <c r="R28" s="74"/>
      <c r="S28" s="75"/>
      <c r="T28" s="66">
        <f t="shared" si="46"/>
        <v>0</v>
      </c>
      <c r="U28" s="66">
        <f t="shared" si="47"/>
        <v>0</v>
      </c>
      <c r="V28" s="66">
        <f t="shared" si="48"/>
        <v>0</v>
      </c>
      <c r="W28" s="66">
        <f t="shared" si="49"/>
        <v>0</v>
      </c>
      <c r="X28" s="68">
        <v>1250.0</v>
      </c>
      <c r="Y28" s="66">
        <f t="shared" si="50"/>
        <v>0</v>
      </c>
      <c r="Z28" s="69">
        <f t="shared" si="51"/>
        <v>1250</v>
      </c>
      <c r="AA28" s="70"/>
      <c r="AB28" s="71"/>
      <c r="AC28" s="66"/>
      <c r="AD28" s="78"/>
      <c r="AE28" s="73"/>
      <c r="AF28" s="76"/>
      <c r="AG28" s="75"/>
      <c r="AH28" s="66"/>
      <c r="AI28" s="66"/>
      <c r="AJ28" s="66"/>
      <c r="AK28" s="66"/>
      <c r="AL28" s="68"/>
      <c r="AM28" s="66"/>
      <c r="AN28" s="69"/>
      <c r="AO28" s="70"/>
      <c r="AP28" s="71"/>
      <c r="AQ28" s="66"/>
      <c r="AR28" s="78"/>
      <c r="AS28" s="73"/>
    </row>
    <row r="29">
      <c r="A29" s="97" t="s">
        <v>53</v>
      </c>
      <c r="B29" s="66">
        <f>B12+B13</f>
        <v>78900</v>
      </c>
      <c r="C29" s="65">
        <f t="shared" ref="C29:C36" si="66">B29*$C$4</f>
        <v>64698</v>
      </c>
      <c r="D29" s="66">
        <f t="shared" ref="D29:D45" si="67">C29/$D$4</f>
        <v>58286.48649</v>
      </c>
      <c r="E29" s="96">
        <v>1.0</v>
      </c>
      <c r="F29" s="66">
        <f t="shared" si="36"/>
        <v>12390</v>
      </c>
      <c r="G29" s="66">
        <f t="shared" si="37"/>
        <v>8400</v>
      </c>
      <c r="H29" s="66">
        <f t="shared" si="38"/>
        <v>4725</v>
      </c>
      <c r="I29" s="66">
        <f t="shared" si="39"/>
        <v>1890</v>
      </c>
      <c r="J29" s="68">
        <v>1250.0</v>
      </c>
      <c r="K29" s="66">
        <f t="shared" si="40"/>
        <v>5175.84</v>
      </c>
      <c r="L29" s="69">
        <f t="shared" si="41"/>
        <v>92117.32649</v>
      </c>
      <c r="M29" s="70">
        <f t="shared" ref="M29:M32" si="68">N29/O29</f>
        <v>0.02618826286</v>
      </c>
      <c r="N29" s="71">
        <f t="shared" ref="N29:N32" si="69">O29-L29</f>
        <v>2477.268108</v>
      </c>
      <c r="O29" s="66">
        <f t="shared" ref="O29:O32" si="70">P29/$O$4</f>
        <v>94594.59459</v>
      </c>
      <c r="P29" s="78">
        <v>105000.0</v>
      </c>
      <c r="Q29" s="73">
        <f t="shared" ref="Q29:Q32" si="71">P29/E29</f>
        <v>105000</v>
      </c>
      <c r="R29" s="74"/>
      <c r="S29" s="75"/>
      <c r="T29" s="66">
        <f t="shared" si="46"/>
        <v>0</v>
      </c>
      <c r="U29" s="66">
        <f t="shared" si="47"/>
        <v>0</v>
      </c>
      <c r="V29" s="66">
        <f t="shared" si="48"/>
        <v>0</v>
      </c>
      <c r="W29" s="66">
        <f t="shared" si="49"/>
        <v>0</v>
      </c>
      <c r="X29" s="68">
        <v>1250.0</v>
      </c>
      <c r="Y29" s="66">
        <f t="shared" si="50"/>
        <v>0</v>
      </c>
      <c r="Z29" s="69">
        <f t="shared" si="51"/>
        <v>1250</v>
      </c>
      <c r="AA29" s="70" t="str">
        <f t="shared" ref="AA29:AA32" si="72">AB29/AC29</f>
        <v>#DIV/0!</v>
      </c>
      <c r="AB29" s="71">
        <f t="shared" ref="AB29:AB32" si="73">AC29-Z29</f>
        <v>-1250</v>
      </c>
      <c r="AC29" s="66">
        <f t="shared" ref="AC29:AC32" si="74">AD29/$O$4</f>
        <v>0</v>
      </c>
      <c r="AD29" s="78"/>
      <c r="AE29" s="73" t="str">
        <f t="shared" ref="AE29:AE32" si="75">AD29/S29</f>
        <v>#DIV/0!</v>
      </c>
      <c r="AF29" s="76"/>
      <c r="AG29" s="75"/>
      <c r="AH29" s="66">
        <f t="shared" ref="AH29:AH32" si="76">AR29*$AH$3</f>
        <v>0</v>
      </c>
      <c r="AI29" s="66">
        <f t="shared" ref="AI29:AI32" si="77">AR29*$AI$3</f>
        <v>0</v>
      </c>
      <c r="AJ29" s="66">
        <f t="shared" ref="AJ29:AJ32" si="78">AR29*$AJ$3</f>
        <v>0</v>
      </c>
      <c r="AK29" s="66">
        <f t="shared" ref="AK29:AK32" si="79">AR29*$AK$3</f>
        <v>0</v>
      </c>
      <c r="AL29" s="68">
        <v>1250.0</v>
      </c>
      <c r="AM29" s="66">
        <f t="shared" ref="AM29:AM32" si="80">AF29*$AM$3</f>
        <v>0</v>
      </c>
      <c r="AN29" s="69">
        <f t="shared" ref="AN29:AN32" si="81">(R29*AG29)+AH29+AI29+AJ29+AK29+AL29+AM29</f>
        <v>1250</v>
      </c>
      <c r="AO29" s="70" t="str">
        <f t="shared" ref="AO29:AO32" si="82">AP29/AQ29</f>
        <v>#DIV/0!</v>
      </c>
      <c r="AP29" s="71">
        <f t="shared" ref="AP29:AP32" si="83">AQ29-AN29</f>
        <v>-1250</v>
      </c>
      <c r="AQ29" s="66">
        <f t="shared" ref="AQ29:AQ32" si="84">AR29/$O$4</f>
        <v>0</v>
      </c>
      <c r="AR29" s="78"/>
      <c r="AS29" s="73" t="str">
        <f t="shared" ref="AS29:AS32" si="85">AR29/AG29</f>
        <v>#DIV/0!</v>
      </c>
    </row>
    <row r="30">
      <c r="A30" s="97" t="s">
        <v>54</v>
      </c>
      <c r="B30" s="66">
        <f>B12*2+B13*2</f>
        <v>157800</v>
      </c>
      <c r="C30" s="65">
        <f t="shared" si="66"/>
        <v>129396</v>
      </c>
      <c r="D30" s="66">
        <f t="shared" si="67"/>
        <v>116572.973</v>
      </c>
      <c r="E30" s="96">
        <v>1.0</v>
      </c>
      <c r="F30" s="66">
        <f t="shared" si="36"/>
        <v>24414.2</v>
      </c>
      <c r="G30" s="66">
        <f t="shared" si="37"/>
        <v>16552</v>
      </c>
      <c r="H30" s="66">
        <f t="shared" si="38"/>
        <v>9310.5</v>
      </c>
      <c r="I30" s="66">
        <f t="shared" si="39"/>
        <v>3724.2</v>
      </c>
      <c r="J30" s="68">
        <v>1250.0</v>
      </c>
      <c r="K30" s="66">
        <f t="shared" si="40"/>
        <v>10351.68</v>
      </c>
      <c r="L30" s="69">
        <f t="shared" si="41"/>
        <v>182175.553</v>
      </c>
      <c r="M30" s="70">
        <f t="shared" si="68"/>
        <v>0.02264444756</v>
      </c>
      <c r="N30" s="71">
        <f t="shared" si="69"/>
        <v>4220.843423</v>
      </c>
      <c r="O30" s="66">
        <f t="shared" si="70"/>
        <v>186396.3964</v>
      </c>
      <c r="P30" s="78">
        <v>206900.0</v>
      </c>
      <c r="Q30" s="73">
        <f t="shared" si="71"/>
        <v>206900</v>
      </c>
      <c r="R30" s="74"/>
      <c r="S30" s="75"/>
      <c r="T30" s="66">
        <f t="shared" si="46"/>
        <v>0</v>
      </c>
      <c r="U30" s="66">
        <f t="shared" si="47"/>
        <v>0</v>
      </c>
      <c r="V30" s="66">
        <f t="shared" si="48"/>
        <v>0</v>
      </c>
      <c r="W30" s="66">
        <f t="shared" si="49"/>
        <v>0</v>
      </c>
      <c r="X30" s="68">
        <v>1250.0</v>
      </c>
      <c r="Y30" s="66">
        <f t="shared" si="50"/>
        <v>0</v>
      </c>
      <c r="Z30" s="69">
        <f t="shared" si="51"/>
        <v>1250</v>
      </c>
      <c r="AA30" s="70" t="str">
        <f t="shared" si="72"/>
        <v>#DIV/0!</v>
      </c>
      <c r="AB30" s="71">
        <f t="shared" si="73"/>
        <v>-1250</v>
      </c>
      <c r="AC30" s="66">
        <f t="shared" si="74"/>
        <v>0</v>
      </c>
      <c r="AD30" s="78"/>
      <c r="AE30" s="73" t="str">
        <f t="shared" si="75"/>
        <v>#DIV/0!</v>
      </c>
      <c r="AF30" s="76"/>
      <c r="AG30" s="75"/>
      <c r="AH30" s="66">
        <f t="shared" si="76"/>
        <v>0</v>
      </c>
      <c r="AI30" s="66">
        <f t="shared" si="77"/>
        <v>0</v>
      </c>
      <c r="AJ30" s="66">
        <f t="shared" si="78"/>
        <v>0</v>
      </c>
      <c r="AK30" s="66">
        <f t="shared" si="79"/>
        <v>0</v>
      </c>
      <c r="AL30" s="68">
        <v>1250.0</v>
      </c>
      <c r="AM30" s="66">
        <f t="shared" si="80"/>
        <v>0</v>
      </c>
      <c r="AN30" s="69">
        <f t="shared" si="81"/>
        <v>1250</v>
      </c>
      <c r="AO30" s="70" t="str">
        <f t="shared" si="82"/>
        <v>#DIV/0!</v>
      </c>
      <c r="AP30" s="71">
        <f t="shared" si="83"/>
        <v>-1250</v>
      </c>
      <c r="AQ30" s="66">
        <f t="shared" si="84"/>
        <v>0</v>
      </c>
      <c r="AR30" s="78"/>
      <c r="AS30" s="73" t="str">
        <f t="shared" si="85"/>
        <v>#DIV/0!</v>
      </c>
    </row>
    <row r="31">
      <c r="A31" s="97" t="s">
        <v>55</v>
      </c>
      <c r="B31" s="66">
        <f>B9+B13</f>
        <v>15900</v>
      </c>
      <c r="C31" s="65">
        <f t="shared" si="66"/>
        <v>13038</v>
      </c>
      <c r="D31" s="66">
        <f t="shared" si="67"/>
        <v>11745.94595</v>
      </c>
      <c r="E31" s="96">
        <v>1.0</v>
      </c>
      <c r="F31" s="66">
        <f t="shared" si="36"/>
        <v>2773</v>
      </c>
      <c r="G31" s="66">
        <f t="shared" si="37"/>
        <v>1880</v>
      </c>
      <c r="H31" s="66">
        <f t="shared" si="38"/>
        <v>1057.5</v>
      </c>
      <c r="I31" s="66">
        <f t="shared" si="39"/>
        <v>423</v>
      </c>
      <c r="J31" s="68">
        <v>1250.0</v>
      </c>
      <c r="K31" s="66">
        <f t="shared" si="40"/>
        <v>1043.04</v>
      </c>
      <c r="L31" s="69">
        <f t="shared" si="41"/>
        <v>20172.48595</v>
      </c>
      <c r="M31" s="70">
        <f t="shared" si="68"/>
        <v>0.04717194043</v>
      </c>
      <c r="N31" s="71">
        <f t="shared" si="69"/>
        <v>998.6852252</v>
      </c>
      <c r="O31" s="66">
        <f t="shared" si="70"/>
        <v>21171.17117</v>
      </c>
      <c r="P31" s="78">
        <v>23500.0</v>
      </c>
      <c r="Q31" s="73">
        <f t="shared" si="71"/>
        <v>23500</v>
      </c>
      <c r="R31" s="74"/>
      <c r="S31" s="75"/>
      <c r="T31" s="66">
        <f t="shared" si="46"/>
        <v>0</v>
      </c>
      <c r="U31" s="66">
        <f t="shared" si="47"/>
        <v>0</v>
      </c>
      <c r="V31" s="66">
        <f t="shared" si="48"/>
        <v>0</v>
      </c>
      <c r="W31" s="66">
        <f t="shared" si="49"/>
        <v>0</v>
      </c>
      <c r="X31" s="68">
        <v>1250.0</v>
      </c>
      <c r="Y31" s="66">
        <f t="shared" si="50"/>
        <v>0</v>
      </c>
      <c r="Z31" s="69">
        <f t="shared" si="51"/>
        <v>1250</v>
      </c>
      <c r="AA31" s="70" t="str">
        <f t="shared" si="72"/>
        <v>#DIV/0!</v>
      </c>
      <c r="AB31" s="71">
        <f t="shared" si="73"/>
        <v>-1250</v>
      </c>
      <c r="AC31" s="66">
        <f t="shared" si="74"/>
        <v>0</v>
      </c>
      <c r="AD31" s="78"/>
      <c r="AE31" s="73" t="str">
        <f t="shared" si="75"/>
        <v>#DIV/0!</v>
      </c>
      <c r="AF31" s="76"/>
      <c r="AG31" s="75"/>
      <c r="AH31" s="66">
        <f t="shared" si="76"/>
        <v>0</v>
      </c>
      <c r="AI31" s="66">
        <f t="shared" si="77"/>
        <v>0</v>
      </c>
      <c r="AJ31" s="66">
        <f t="shared" si="78"/>
        <v>0</v>
      </c>
      <c r="AK31" s="66">
        <f t="shared" si="79"/>
        <v>0</v>
      </c>
      <c r="AL31" s="68">
        <v>1250.0</v>
      </c>
      <c r="AM31" s="66">
        <f t="shared" si="80"/>
        <v>0</v>
      </c>
      <c r="AN31" s="69">
        <f t="shared" si="81"/>
        <v>1250</v>
      </c>
      <c r="AO31" s="70" t="str">
        <f t="shared" si="82"/>
        <v>#DIV/0!</v>
      </c>
      <c r="AP31" s="71">
        <f t="shared" si="83"/>
        <v>-1250</v>
      </c>
      <c r="AQ31" s="66">
        <f t="shared" si="84"/>
        <v>0</v>
      </c>
      <c r="AR31" s="78"/>
      <c r="AS31" s="73" t="str">
        <f t="shared" si="85"/>
        <v>#DIV/0!</v>
      </c>
    </row>
    <row r="32">
      <c r="A32" s="97" t="s">
        <v>56</v>
      </c>
      <c r="B32" s="66">
        <f>B9*2+B13*2</f>
        <v>31800</v>
      </c>
      <c r="C32" s="65">
        <f t="shared" si="66"/>
        <v>26076</v>
      </c>
      <c r="D32" s="66">
        <f t="shared" si="67"/>
        <v>23491.89189</v>
      </c>
      <c r="E32" s="96">
        <v>1.0</v>
      </c>
      <c r="F32" s="66">
        <f t="shared" si="36"/>
        <v>5256.9</v>
      </c>
      <c r="G32" s="66">
        <f t="shared" si="37"/>
        <v>3564</v>
      </c>
      <c r="H32" s="66">
        <f t="shared" si="38"/>
        <v>2004.75</v>
      </c>
      <c r="I32" s="66">
        <f t="shared" si="39"/>
        <v>801.9</v>
      </c>
      <c r="J32" s="68">
        <v>1250.0</v>
      </c>
      <c r="K32" s="66">
        <f t="shared" si="40"/>
        <v>2086.08</v>
      </c>
      <c r="L32" s="69">
        <f t="shared" si="41"/>
        <v>38455.52189</v>
      </c>
      <c r="M32" s="70">
        <f t="shared" si="68"/>
        <v>0.04184894949</v>
      </c>
      <c r="N32" s="71">
        <f t="shared" si="69"/>
        <v>1679.613243</v>
      </c>
      <c r="O32" s="66">
        <f t="shared" si="70"/>
        <v>40135.13514</v>
      </c>
      <c r="P32" s="78">
        <v>44550.0</v>
      </c>
      <c r="Q32" s="73">
        <f t="shared" si="71"/>
        <v>44550</v>
      </c>
      <c r="R32" s="74"/>
      <c r="S32" s="75"/>
      <c r="T32" s="66">
        <f t="shared" si="46"/>
        <v>0</v>
      </c>
      <c r="U32" s="66">
        <f t="shared" si="47"/>
        <v>0</v>
      </c>
      <c r="V32" s="66">
        <f t="shared" si="48"/>
        <v>0</v>
      </c>
      <c r="W32" s="66">
        <f t="shared" si="49"/>
        <v>0</v>
      </c>
      <c r="X32" s="68">
        <v>1250.0</v>
      </c>
      <c r="Y32" s="66">
        <f t="shared" si="50"/>
        <v>0</v>
      </c>
      <c r="Z32" s="69">
        <f t="shared" si="51"/>
        <v>1250</v>
      </c>
      <c r="AA32" s="70" t="str">
        <f t="shared" si="72"/>
        <v>#DIV/0!</v>
      </c>
      <c r="AB32" s="71">
        <f t="shared" si="73"/>
        <v>-1250</v>
      </c>
      <c r="AC32" s="66">
        <f t="shared" si="74"/>
        <v>0</v>
      </c>
      <c r="AD32" s="78"/>
      <c r="AE32" s="73" t="str">
        <f t="shared" si="75"/>
        <v>#DIV/0!</v>
      </c>
      <c r="AF32" s="76"/>
      <c r="AG32" s="75"/>
      <c r="AH32" s="66">
        <f t="shared" si="76"/>
        <v>0</v>
      </c>
      <c r="AI32" s="66">
        <f t="shared" si="77"/>
        <v>0</v>
      </c>
      <c r="AJ32" s="66">
        <f t="shared" si="78"/>
        <v>0</v>
      </c>
      <c r="AK32" s="66">
        <f t="shared" si="79"/>
        <v>0</v>
      </c>
      <c r="AL32" s="68">
        <v>1250.0</v>
      </c>
      <c r="AM32" s="66">
        <f t="shared" si="80"/>
        <v>0</v>
      </c>
      <c r="AN32" s="69">
        <f t="shared" si="81"/>
        <v>1250</v>
      </c>
      <c r="AO32" s="70" t="str">
        <f t="shared" si="82"/>
        <v>#DIV/0!</v>
      </c>
      <c r="AP32" s="71">
        <f t="shared" si="83"/>
        <v>-1250</v>
      </c>
      <c r="AQ32" s="66">
        <f t="shared" si="84"/>
        <v>0</v>
      </c>
      <c r="AR32" s="78"/>
      <c r="AS32" s="73" t="str">
        <f t="shared" si="85"/>
        <v>#DIV/0!</v>
      </c>
    </row>
    <row r="33">
      <c r="A33" s="97" t="s">
        <v>57</v>
      </c>
      <c r="B33" s="66"/>
      <c r="C33" s="65">
        <f t="shared" si="66"/>
        <v>0</v>
      </c>
      <c r="D33" s="66">
        <f t="shared" si="67"/>
        <v>0</v>
      </c>
      <c r="E33" s="96"/>
      <c r="F33" s="66">
        <f t="shared" si="36"/>
        <v>0</v>
      </c>
      <c r="G33" s="66">
        <f t="shared" si="37"/>
        <v>0</v>
      </c>
      <c r="H33" s="66">
        <f t="shared" si="38"/>
        <v>0</v>
      </c>
      <c r="I33" s="66">
        <f t="shared" si="39"/>
        <v>0</v>
      </c>
      <c r="J33" s="68">
        <v>1250.0</v>
      </c>
      <c r="K33" s="66">
        <f t="shared" si="40"/>
        <v>0</v>
      </c>
      <c r="L33" s="69">
        <f t="shared" si="41"/>
        <v>1250</v>
      </c>
      <c r="M33" s="70"/>
      <c r="N33" s="71"/>
      <c r="O33" s="66"/>
      <c r="P33" s="78"/>
      <c r="Q33" s="73"/>
      <c r="R33" s="74"/>
      <c r="S33" s="75"/>
      <c r="T33" s="66">
        <f t="shared" si="46"/>
        <v>0</v>
      </c>
      <c r="U33" s="66">
        <f t="shared" si="47"/>
        <v>0</v>
      </c>
      <c r="V33" s="66">
        <f t="shared" si="48"/>
        <v>0</v>
      </c>
      <c r="W33" s="66">
        <f t="shared" si="49"/>
        <v>0</v>
      </c>
      <c r="X33" s="68">
        <v>1250.0</v>
      </c>
      <c r="Y33" s="66">
        <f t="shared" si="50"/>
        <v>0</v>
      </c>
      <c r="Z33" s="69">
        <f t="shared" si="51"/>
        <v>1250</v>
      </c>
      <c r="AA33" s="70"/>
      <c r="AB33" s="71"/>
      <c r="AC33" s="66"/>
      <c r="AD33" s="78"/>
      <c r="AE33" s="73"/>
      <c r="AF33" s="76"/>
      <c r="AG33" s="75"/>
      <c r="AH33" s="66"/>
      <c r="AI33" s="66"/>
      <c r="AJ33" s="66"/>
      <c r="AK33" s="66"/>
      <c r="AL33" s="68"/>
      <c r="AM33" s="66"/>
      <c r="AN33" s="69"/>
      <c r="AO33" s="70"/>
      <c r="AP33" s="71"/>
      <c r="AQ33" s="66"/>
      <c r="AR33" s="78"/>
      <c r="AS33" s="73"/>
    </row>
    <row r="34">
      <c r="A34" s="98" t="s">
        <v>58</v>
      </c>
      <c r="B34" s="66">
        <f>B11+B13</f>
        <v>23900</v>
      </c>
      <c r="C34" s="65">
        <f t="shared" si="66"/>
        <v>19598</v>
      </c>
      <c r="D34" s="66">
        <f t="shared" si="67"/>
        <v>17655.85586</v>
      </c>
      <c r="E34" s="96">
        <v>1.0</v>
      </c>
      <c r="F34" s="66">
        <f t="shared" si="36"/>
        <v>3953</v>
      </c>
      <c r="G34" s="66">
        <f t="shared" si="37"/>
        <v>2680</v>
      </c>
      <c r="H34" s="66">
        <f t="shared" si="38"/>
        <v>1507.5</v>
      </c>
      <c r="I34" s="66">
        <f t="shared" si="39"/>
        <v>603</v>
      </c>
      <c r="J34" s="68">
        <v>1250.0</v>
      </c>
      <c r="K34" s="66">
        <f t="shared" si="40"/>
        <v>1567.84</v>
      </c>
      <c r="L34" s="69">
        <f t="shared" si="41"/>
        <v>29217.19586</v>
      </c>
      <c r="M34" s="70">
        <f t="shared" ref="M34:M45" si="86">N34/O34</f>
        <v>0.03190783881</v>
      </c>
      <c r="N34" s="71">
        <f t="shared" ref="N34:N45" si="87">O34-L34</f>
        <v>962.9843243</v>
      </c>
      <c r="O34" s="66">
        <f t="shared" ref="O34:O45" si="88">P34/$O$4</f>
        <v>30180.18018</v>
      </c>
      <c r="P34" s="78">
        <v>33500.0</v>
      </c>
      <c r="Q34" s="73">
        <f t="shared" ref="Q34:Q45" si="89">P34/E34</f>
        <v>33500</v>
      </c>
      <c r="R34" s="74"/>
      <c r="S34" s="75"/>
      <c r="T34" s="66">
        <f t="shared" si="46"/>
        <v>0</v>
      </c>
      <c r="U34" s="66">
        <f t="shared" si="47"/>
        <v>0</v>
      </c>
      <c r="V34" s="66">
        <f t="shared" si="48"/>
        <v>0</v>
      </c>
      <c r="W34" s="66">
        <f t="shared" si="49"/>
        <v>0</v>
      </c>
      <c r="X34" s="68">
        <v>1250.0</v>
      </c>
      <c r="Y34" s="66">
        <f t="shared" si="50"/>
        <v>0</v>
      </c>
      <c r="Z34" s="69">
        <f t="shared" si="51"/>
        <v>1250</v>
      </c>
      <c r="AA34" s="70" t="str">
        <f t="shared" ref="AA34:AA45" si="90">AB34/AC34</f>
        <v>#DIV/0!</v>
      </c>
      <c r="AB34" s="71">
        <f t="shared" ref="AB34:AB45" si="91">AC34-Z34</f>
        <v>-1250</v>
      </c>
      <c r="AC34" s="66">
        <f t="shared" ref="AC34:AC45" si="92">AD34/$O$4</f>
        <v>0</v>
      </c>
      <c r="AD34" s="78"/>
      <c r="AE34" s="73" t="str">
        <f t="shared" ref="AE34:AE45" si="93">AD34/S34</f>
        <v>#DIV/0!</v>
      </c>
      <c r="AF34" s="76"/>
      <c r="AG34" s="75"/>
      <c r="AH34" s="66">
        <f t="shared" ref="AH34:AH45" si="94">AR34*$AH$3</f>
        <v>0</v>
      </c>
      <c r="AI34" s="66">
        <f t="shared" ref="AI34:AI45" si="95">AR34*$AI$3</f>
        <v>0</v>
      </c>
      <c r="AJ34" s="66">
        <f t="shared" ref="AJ34:AJ45" si="96">AR34*$AJ$3</f>
        <v>0</v>
      </c>
      <c r="AK34" s="66">
        <f t="shared" ref="AK34:AK45" si="97">AR34*$AK$3</f>
        <v>0</v>
      </c>
      <c r="AL34" s="68">
        <v>1250.0</v>
      </c>
      <c r="AM34" s="66">
        <f t="shared" ref="AM34:AM45" si="98">AF34*$AM$3</f>
        <v>0</v>
      </c>
      <c r="AN34" s="69">
        <f t="shared" ref="AN34:AN45" si="99">(R34*AG34)+AH34+AI34+AJ34+AK34+AL34+AM34</f>
        <v>1250</v>
      </c>
      <c r="AO34" s="70" t="str">
        <f t="shared" ref="AO34:AO45" si="100">AP34/AQ34</f>
        <v>#DIV/0!</v>
      </c>
      <c r="AP34" s="71">
        <f t="shared" ref="AP34:AP45" si="101">AQ34-AN34</f>
        <v>-1250</v>
      </c>
      <c r="AQ34" s="66">
        <f t="shared" ref="AQ34:AQ45" si="102">AR34/$O$4</f>
        <v>0</v>
      </c>
      <c r="AR34" s="78"/>
      <c r="AS34" s="73" t="str">
        <f t="shared" ref="AS34:AS45" si="103">AR34/AG34</f>
        <v>#DIV/0!</v>
      </c>
    </row>
    <row r="35">
      <c r="A35" s="98" t="s">
        <v>59</v>
      </c>
      <c r="B35" s="66">
        <f>B11*2+B13*2</f>
        <v>47800</v>
      </c>
      <c r="C35" s="65">
        <f t="shared" si="66"/>
        <v>39196</v>
      </c>
      <c r="D35" s="66">
        <f t="shared" si="67"/>
        <v>35311.71171</v>
      </c>
      <c r="E35" s="96">
        <v>1.0</v>
      </c>
      <c r="F35" s="66">
        <f t="shared" si="36"/>
        <v>7534.89</v>
      </c>
      <c r="G35" s="66">
        <f t="shared" si="37"/>
        <v>5108.4</v>
      </c>
      <c r="H35" s="66">
        <f t="shared" si="38"/>
        <v>2873.475</v>
      </c>
      <c r="I35" s="66">
        <f t="shared" si="39"/>
        <v>1149.39</v>
      </c>
      <c r="J35" s="68">
        <v>1250.0</v>
      </c>
      <c r="K35" s="66">
        <f t="shared" si="40"/>
        <v>3135.68</v>
      </c>
      <c r="L35" s="69">
        <f t="shared" si="41"/>
        <v>56363.54671</v>
      </c>
      <c r="M35" s="70">
        <f t="shared" si="86"/>
        <v>0.02022493383</v>
      </c>
      <c r="N35" s="71">
        <f t="shared" si="87"/>
        <v>1163.480315</v>
      </c>
      <c r="O35" s="66">
        <f t="shared" si="88"/>
        <v>57527.02703</v>
      </c>
      <c r="P35" s="78">
        <v>63855.0</v>
      </c>
      <c r="Q35" s="73">
        <f t="shared" si="89"/>
        <v>63855</v>
      </c>
      <c r="R35" s="74"/>
      <c r="S35" s="75"/>
      <c r="T35" s="66">
        <f t="shared" si="46"/>
        <v>0</v>
      </c>
      <c r="U35" s="66">
        <f t="shared" si="47"/>
        <v>0</v>
      </c>
      <c r="V35" s="66">
        <f t="shared" si="48"/>
        <v>0</v>
      </c>
      <c r="W35" s="66">
        <f t="shared" si="49"/>
        <v>0</v>
      </c>
      <c r="X35" s="68">
        <v>1250.0</v>
      </c>
      <c r="Y35" s="66">
        <f t="shared" si="50"/>
        <v>0</v>
      </c>
      <c r="Z35" s="69">
        <f t="shared" si="51"/>
        <v>1250</v>
      </c>
      <c r="AA35" s="70" t="str">
        <f t="shared" si="90"/>
        <v>#DIV/0!</v>
      </c>
      <c r="AB35" s="71">
        <f t="shared" si="91"/>
        <v>-1250</v>
      </c>
      <c r="AC35" s="66">
        <f t="shared" si="92"/>
        <v>0</v>
      </c>
      <c r="AD35" s="78"/>
      <c r="AE35" s="73" t="str">
        <f t="shared" si="93"/>
        <v>#DIV/0!</v>
      </c>
      <c r="AF35" s="76"/>
      <c r="AG35" s="75"/>
      <c r="AH35" s="66">
        <f t="shared" si="94"/>
        <v>0</v>
      </c>
      <c r="AI35" s="66">
        <f t="shared" si="95"/>
        <v>0</v>
      </c>
      <c r="AJ35" s="66">
        <f t="shared" si="96"/>
        <v>0</v>
      </c>
      <c r="AK35" s="66">
        <f t="shared" si="97"/>
        <v>0</v>
      </c>
      <c r="AL35" s="68">
        <v>1250.0</v>
      </c>
      <c r="AM35" s="66">
        <f t="shared" si="98"/>
        <v>0</v>
      </c>
      <c r="AN35" s="69">
        <f t="shared" si="99"/>
        <v>1250</v>
      </c>
      <c r="AO35" s="70" t="str">
        <f t="shared" si="100"/>
        <v>#DIV/0!</v>
      </c>
      <c r="AP35" s="71">
        <f t="shared" si="101"/>
        <v>-1250</v>
      </c>
      <c r="AQ35" s="66">
        <f t="shared" si="102"/>
        <v>0</v>
      </c>
      <c r="AR35" s="78"/>
      <c r="AS35" s="73" t="str">
        <f t="shared" si="103"/>
        <v>#DIV/0!</v>
      </c>
    </row>
    <row r="36">
      <c r="A36" s="98" t="s">
        <v>60</v>
      </c>
      <c r="B36" s="66">
        <f>B19+B13</f>
        <v>54900</v>
      </c>
      <c r="C36" s="65">
        <f t="shared" si="66"/>
        <v>45018</v>
      </c>
      <c r="D36" s="66">
        <f t="shared" si="67"/>
        <v>40556.75676</v>
      </c>
      <c r="E36" s="96">
        <v>1.0</v>
      </c>
      <c r="F36" s="66">
        <f t="shared" si="36"/>
        <v>8673</v>
      </c>
      <c r="G36" s="66">
        <f t="shared" si="37"/>
        <v>5880</v>
      </c>
      <c r="H36" s="66">
        <f t="shared" si="38"/>
        <v>3307.5</v>
      </c>
      <c r="I36" s="66">
        <f t="shared" si="39"/>
        <v>1323</v>
      </c>
      <c r="J36" s="68">
        <v>1250.0</v>
      </c>
      <c r="K36" s="66">
        <f t="shared" si="40"/>
        <v>3601.44</v>
      </c>
      <c r="L36" s="69">
        <f t="shared" si="41"/>
        <v>64591.69676</v>
      </c>
      <c r="M36" s="70">
        <f t="shared" si="86"/>
        <v>0.02453355918</v>
      </c>
      <c r="N36" s="71">
        <f t="shared" si="87"/>
        <v>1624.519459</v>
      </c>
      <c r="O36" s="66">
        <f t="shared" si="88"/>
        <v>66216.21622</v>
      </c>
      <c r="P36" s="78">
        <v>73500.0</v>
      </c>
      <c r="Q36" s="73">
        <f t="shared" si="89"/>
        <v>73500</v>
      </c>
      <c r="R36" s="74"/>
      <c r="S36" s="75"/>
      <c r="T36" s="66">
        <f t="shared" si="46"/>
        <v>0</v>
      </c>
      <c r="U36" s="66">
        <f t="shared" si="47"/>
        <v>0</v>
      </c>
      <c r="V36" s="66">
        <f t="shared" si="48"/>
        <v>0</v>
      </c>
      <c r="W36" s="66">
        <f t="shared" si="49"/>
        <v>0</v>
      </c>
      <c r="X36" s="68">
        <v>1250.0</v>
      </c>
      <c r="Y36" s="66">
        <f t="shared" si="50"/>
        <v>0</v>
      </c>
      <c r="Z36" s="69">
        <f t="shared" si="51"/>
        <v>1250</v>
      </c>
      <c r="AA36" s="70" t="str">
        <f t="shared" si="90"/>
        <v>#DIV/0!</v>
      </c>
      <c r="AB36" s="71">
        <f t="shared" si="91"/>
        <v>-1250</v>
      </c>
      <c r="AC36" s="66">
        <f t="shared" si="92"/>
        <v>0</v>
      </c>
      <c r="AD36" s="78"/>
      <c r="AE36" s="73" t="str">
        <f t="shared" si="93"/>
        <v>#DIV/0!</v>
      </c>
      <c r="AF36" s="76"/>
      <c r="AG36" s="75"/>
      <c r="AH36" s="66">
        <f t="shared" si="94"/>
        <v>0</v>
      </c>
      <c r="AI36" s="66">
        <f t="shared" si="95"/>
        <v>0</v>
      </c>
      <c r="AJ36" s="66">
        <f t="shared" si="96"/>
        <v>0</v>
      </c>
      <c r="AK36" s="66">
        <f t="shared" si="97"/>
        <v>0</v>
      </c>
      <c r="AL36" s="68">
        <v>1250.0</v>
      </c>
      <c r="AM36" s="66">
        <f t="shared" si="98"/>
        <v>0</v>
      </c>
      <c r="AN36" s="69">
        <f t="shared" si="99"/>
        <v>1250</v>
      </c>
      <c r="AO36" s="70" t="str">
        <f t="shared" si="100"/>
        <v>#DIV/0!</v>
      </c>
      <c r="AP36" s="71">
        <f t="shared" si="101"/>
        <v>-1250</v>
      </c>
      <c r="AQ36" s="66">
        <f t="shared" si="102"/>
        <v>0</v>
      </c>
      <c r="AR36" s="78"/>
      <c r="AS36" s="73" t="str">
        <f t="shared" si="103"/>
        <v>#DIV/0!</v>
      </c>
    </row>
    <row r="37">
      <c r="A37" s="98" t="s">
        <v>61</v>
      </c>
      <c r="B37" s="68">
        <v>2500.0</v>
      </c>
      <c r="C37" s="65">
        <f>B37</f>
        <v>2500</v>
      </c>
      <c r="D37" s="66">
        <f t="shared" si="67"/>
        <v>2252.252252</v>
      </c>
      <c r="E37" s="96">
        <v>1.0</v>
      </c>
      <c r="F37" s="66">
        <f t="shared" si="36"/>
        <v>755.2</v>
      </c>
      <c r="G37" s="66">
        <f t="shared" si="37"/>
        <v>512</v>
      </c>
      <c r="H37" s="66">
        <f t="shared" si="38"/>
        <v>288</v>
      </c>
      <c r="I37" s="66">
        <f t="shared" si="39"/>
        <v>115.2</v>
      </c>
      <c r="J37" s="68">
        <v>1250.0</v>
      </c>
      <c r="K37" s="66">
        <f t="shared" si="40"/>
        <v>200</v>
      </c>
      <c r="L37" s="69">
        <f t="shared" si="41"/>
        <v>5372.652252</v>
      </c>
      <c r="M37" s="70">
        <f t="shared" si="86"/>
        <v>0.068180625</v>
      </c>
      <c r="N37" s="71">
        <f t="shared" si="87"/>
        <v>393.1135135</v>
      </c>
      <c r="O37" s="66">
        <f t="shared" si="88"/>
        <v>5765.765766</v>
      </c>
      <c r="P37" s="72">
        <v>6400.0</v>
      </c>
      <c r="Q37" s="73">
        <f t="shared" si="89"/>
        <v>6400</v>
      </c>
      <c r="R37" s="74"/>
      <c r="S37" s="75"/>
      <c r="T37" s="66">
        <f t="shared" si="46"/>
        <v>0</v>
      </c>
      <c r="U37" s="66">
        <f t="shared" si="47"/>
        <v>0</v>
      </c>
      <c r="V37" s="66">
        <f t="shared" si="48"/>
        <v>0</v>
      </c>
      <c r="W37" s="66">
        <f t="shared" si="49"/>
        <v>0</v>
      </c>
      <c r="X37" s="68">
        <v>1250.0</v>
      </c>
      <c r="Y37" s="66">
        <f t="shared" si="50"/>
        <v>0</v>
      </c>
      <c r="Z37" s="69">
        <f t="shared" si="51"/>
        <v>1250</v>
      </c>
      <c r="AA37" s="70" t="str">
        <f t="shared" si="90"/>
        <v>#DIV/0!</v>
      </c>
      <c r="AB37" s="71">
        <f t="shared" si="91"/>
        <v>-1250</v>
      </c>
      <c r="AC37" s="66">
        <f t="shared" si="92"/>
        <v>0</v>
      </c>
      <c r="AD37" s="78"/>
      <c r="AE37" s="73" t="str">
        <f t="shared" si="93"/>
        <v>#DIV/0!</v>
      </c>
      <c r="AF37" s="76"/>
      <c r="AG37" s="75"/>
      <c r="AH37" s="66">
        <f t="shared" si="94"/>
        <v>0</v>
      </c>
      <c r="AI37" s="66">
        <f t="shared" si="95"/>
        <v>0</v>
      </c>
      <c r="AJ37" s="66">
        <f t="shared" si="96"/>
        <v>0</v>
      </c>
      <c r="AK37" s="66">
        <f t="shared" si="97"/>
        <v>0</v>
      </c>
      <c r="AL37" s="68">
        <v>1250.0</v>
      </c>
      <c r="AM37" s="66">
        <f t="shared" si="98"/>
        <v>0</v>
      </c>
      <c r="AN37" s="69">
        <f t="shared" si="99"/>
        <v>1250</v>
      </c>
      <c r="AO37" s="70" t="str">
        <f t="shared" si="100"/>
        <v>#DIV/0!</v>
      </c>
      <c r="AP37" s="71">
        <f t="shared" si="101"/>
        <v>-1250</v>
      </c>
      <c r="AQ37" s="66">
        <f t="shared" si="102"/>
        <v>0</v>
      </c>
      <c r="AR37" s="78"/>
      <c r="AS37" s="73" t="str">
        <f t="shared" si="103"/>
        <v>#DIV/0!</v>
      </c>
    </row>
    <row r="38" hidden="1">
      <c r="A38" s="98" t="s">
        <v>62</v>
      </c>
      <c r="B38" s="66">
        <f>B5+B37</f>
        <v>5850</v>
      </c>
      <c r="C38" s="65">
        <f t="shared" ref="C38:C39" si="104">B38*$C$4</f>
        <v>4797</v>
      </c>
      <c r="D38" s="66">
        <f t="shared" si="67"/>
        <v>4321.621622</v>
      </c>
      <c r="E38" s="96">
        <v>1.0</v>
      </c>
      <c r="F38" s="66">
        <f t="shared" si="36"/>
        <v>1168.2</v>
      </c>
      <c r="G38" s="66">
        <f t="shared" si="37"/>
        <v>792</v>
      </c>
      <c r="H38" s="66">
        <f t="shared" si="38"/>
        <v>445.5</v>
      </c>
      <c r="I38" s="66">
        <f t="shared" si="39"/>
        <v>178.2</v>
      </c>
      <c r="J38" s="68">
        <v>1250.0</v>
      </c>
      <c r="K38" s="66">
        <f t="shared" si="40"/>
        <v>383.76</v>
      </c>
      <c r="L38" s="69">
        <f t="shared" si="41"/>
        <v>8539.281622</v>
      </c>
      <c r="M38" s="70">
        <f t="shared" si="86"/>
        <v>0.04256539394</v>
      </c>
      <c r="N38" s="71">
        <f t="shared" si="87"/>
        <v>379.6372973</v>
      </c>
      <c r="O38" s="66">
        <f t="shared" si="88"/>
        <v>8918.918919</v>
      </c>
      <c r="P38" s="78">
        <v>9900.0</v>
      </c>
      <c r="Q38" s="73">
        <f t="shared" si="89"/>
        <v>9900</v>
      </c>
      <c r="R38" s="74"/>
      <c r="S38" s="75"/>
      <c r="T38" s="66">
        <f t="shared" si="46"/>
        <v>0</v>
      </c>
      <c r="U38" s="66">
        <f t="shared" si="47"/>
        <v>0</v>
      </c>
      <c r="V38" s="66">
        <f t="shared" si="48"/>
        <v>0</v>
      </c>
      <c r="W38" s="66">
        <f t="shared" si="49"/>
        <v>0</v>
      </c>
      <c r="X38" s="68">
        <v>1250.0</v>
      </c>
      <c r="Y38" s="66">
        <f t="shared" si="50"/>
        <v>0</v>
      </c>
      <c r="Z38" s="69">
        <f t="shared" si="51"/>
        <v>1250</v>
      </c>
      <c r="AA38" s="70" t="str">
        <f t="shared" si="90"/>
        <v>#DIV/0!</v>
      </c>
      <c r="AB38" s="71">
        <f t="shared" si="91"/>
        <v>-1250</v>
      </c>
      <c r="AC38" s="66">
        <f t="shared" si="92"/>
        <v>0</v>
      </c>
      <c r="AD38" s="78"/>
      <c r="AE38" s="73" t="str">
        <f t="shared" si="93"/>
        <v>#DIV/0!</v>
      </c>
      <c r="AF38" s="76"/>
      <c r="AG38" s="75"/>
      <c r="AH38" s="66">
        <f t="shared" si="94"/>
        <v>0</v>
      </c>
      <c r="AI38" s="66">
        <f t="shared" si="95"/>
        <v>0</v>
      </c>
      <c r="AJ38" s="66">
        <f t="shared" si="96"/>
        <v>0</v>
      </c>
      <c r="AK38" s="66">
        <f t="shared" si="97"/>
        <v>0</v>
      </c>
      <c r="AL38" s="68">
        <v>1250.0</v>
      </c>
      <c r="AM38" s="66">
        <f t="shared" si="98"/>
        <v>0</v>
      </c>
      <c r="AN38" s="69">
        <f t="shared" si="99"/>
        <v>1250</v>
      </c>
      <c r="AO38" s="70" t="str">
        <f t="shared" si="100"/>
        <v>#DIV/0!</v>
      </c>
      <c r="AP38" s="71">
        <f t="shared" si="101"/>
        <v>-1250</v>
      </c>
      <c r="AQ38" s="66">
        <f t="shared" si="102"/>
        <v>0</v>
      </c>
      <c r="AR38" s="78"/>
      <c r="AS38" s="73" t="str">
        <f t="shared" si="103"/>
        <v>#DIV/0!</v>
      </c>
    </row>
    <row r="39">
      <c r="A39" s="98" t="s">
        <v>63</v>
      </c>
      <c r="B39" s="66">
        <f>B5*5+B37</f>
        <v>19250</v>
      </c>
      <c r="C39" s="65">
        <f t="shared" si="104"/>
        <v>15785</v>
      </c>
      <c r="D39" s="66">
        <f t="shared" si="67"/>
        <v>14220.72072</v>
      </c>
      <c r="E39" s="96">
        <v>1.0</v>
      </c>
      <c r="F39" s="66">
        <f t="shared" si="36"/>
        <v>3658</v>
      </c>
      <c r="G39" s="66">
        <f t="shared" si="37"/>
        <v>2480</v>
      </c>
      <c r="H39" s="66">
        <f t="shared" si="38"/>
        <v>1395</v>
      </c>
      <c r="I39" s="66">
        <f t="shared" si="39"/>
        <v>558</v>
      </c>
      <c r="J39" s="68">
        <v>1250.0</v>
      </c>
      <c r="K39" s="66">
        <f t="shared" si="40"/>
        <v>1262.8</v>
      </c>
      <c r="L39" s="69">
        <f t="shared" si="41"/>
        <v>24824.52072</v>
      </c>
      <c r="M39" s="70">
        <f t="shared" si="86"/>
        <v>0.111122</v>
      </c>
      <c r="N39" s="71">
        <f t="shared" si="87"/>
        <v>3103.407207</v>
      </c>
      <c r="O39" s="66">
        <f t="shared" si="88"/>
        <v>27927.92793</v>
      </c>
      <c r="P39" s="72">
        <v>31000.0</v>
      </c>
      <c r="Q39" s="73">
        <f t="shared" si="89"/>
        <v>31000</v>
      </c>
      <c r="R39" s="74"/>
      <c r="S39" s="75"/>
      <c r="T39" s="66">
        <f t="shared" si="46"/>
        <v>0</v>
      </c>
      <c r="U39" s="66">
        <f t="shared" si="47"/>
        <v>0</v>
      </c>
      <c r="V39" s="66">
        <f t="shared" si="48"/>
        <v>0</v>
      </c>
      <c r="W39" s="66">
        <f t="shared" si="49"/>
        <v>0</v>
      </c>
      <c r="X39" s="68">
        <v>1250.0</v>
      </c>
      <c r="Y39" s="66">
        <f t="shared" si="50"/>
        <v>0</v>
      </c>
      <c r="Z39" s="69">
        <f t="shared" si="51"/>
        <v>1250</v>
      </c>
      <c r="AA39" s="70" t="str">
        <f t="shared" si="90"/>
        <v>#DIV/0!</v>
      </c>
      <c r="AB39" s="71">
        <f t="shared" si="91"/>
        <v>-1250</v>
      </c>
      <c r="AC39" s="66">
        <f t="shared" si="92"/>
        <v>0</v>
      </c>
      <c r="AD39" s="78"/>
      <c r="AE39" s="73" t="str">
        <f t="shared" si="93"/>
        <v>#DIV/0!</v>
      </c>
      <c r="AF39" s="76"/>
      <c r="AG39" s="75"/>
      <c r="AH39" s="66">
        <f t="shared" si="94"/>
        <v>0</v>
      </c>
      <c r="AI39" s="66">
        <f t="shared" si="95"/>
        <v>0</v>
      </c>
      <c r="AJ39" s="66">
        <f t="shared" si="96"/>
        <v>0</v>
      </c>
      <c r="AK39" s="66">
        <f t="shared" si="97"/>
        <v>0</v>
      </c>
      <c r="AL39" s="68">
        <v>1250.0</v>
      </c>
      <c r="AM39" s="66">
        <f t="shared" si="98"/>
        <v>0</v>
      </c>
      <c r="AN39" s="69">
        <f t="shared" si="99"/>
        <v>1250</v>
      </c>
      <c r="AO39" s="70" t="str">
        <f t="shared" si="100"/>
        <v>#DIV/0!</v>
      </c>
      <c r="AP39" s="71">
        <f t="shared" si="101"/>
        <v>-1250</v>
      </c>
      <c r="AQ39" s="66">
        <f t="shared" si="102"/>
        <v>0</v>
      </c>
      <c r="AR39" s="78"/>
      <c r="AS39" s="73" t="str">
        <f t="shared" si="103"/>
        <v>#DIV/0!</v>
      </c>
    </row>
    <row r="40">
      <c r="A40" s="98" t="s">
        <v>64</v>
      </c>
      <c r="B40" s="68">
        <v>3000.0</v>
      </c>
      <c r="C40" s="65">
        <f>B40</f>
        <v>3000</v>
      </c>
      <c r="D40" s="66">
        <f t="shared" si="67"/>
        <v>2702.702703</v>
      </c>
      <c r="E40" s="96">
        <v>1.0</v>
      </c>
      <c r="F40" s="66">
        <f t="shared" si="36"/>
        <v>873.2</v>
      </c>
      <c r="G40" s="66">
        <f t="shared" si="37"/>
        <v>592</v>
      </c>
      <c r="H40" s="66">
        <f t="shared" si="38"/>
        <v>333</v>
      </c>
      <c r="I40" s="66">
        <f t="shared" si="39"/>
        <v>133.2</v>
      </c>
      <c r="J40" s="68">
        <v>1250.0</v>
      </c>
      <c r="K40" s="66">
        <f t="shared" si="40"/>
        <v>240</v>
      </c>
      <c r="L40" s="69">
        <f t="shared" si="41"/>
        <v>6124.102703</v>
      </c>
      <c r="M40" s="70">
        <f t="shared" si="86"/>
        <v>0.08138459459</v>
      </c>
      <c r="N40" s="71">
        <f t="shared" si="87"/>
        <v>542.563964</v>
      </c>
      <c r="O40" s="66">
        <f t="shared" si="88"/>
        <v>6666.666667</v>
      </c>
      <c r="P40" s="78">
        <v>7400.0</v>
      </c>
      <c r="Q40" s="73">
        <f t="shared" si="89"/>
        <v>7400</v>
      </c>
      <c r="R40" s="74"/>
      <c r="S40" s="75"/>
      <c r="T40" s="66">
        <f t="shared" si="46"/>
        <v>0</v>
      </c>
      <c r="U40" s="66">
        <f t="shared" si="47"/>
        <v>0</v>
      </c>
      <c r="V40" s="66">
        <f t="shared" si="48"/>
        <v>0</v>
      </c>
      <c r="W40" s="66">
        <f t="shared" si="49"/>
        <v>0</v>
      </c>
      <c r="X40" s="68">
        <v>1250.0</v>
      </c>
      <c r="Y40" s="66">
        <f t="shared" si="50"/>
        <v>0</v>
      </c>
      <c r="Z40" s="69">
        <f t="shared" si="51"/>
        <v>1250</v>
      </c>
      <c r="AA40" s="70" t="str">
        <f t="shared" si="90"/>
        <v>#DIV/0!</v>
      </c>
      <c r="AB40" s="71">
        <f t="shared" si="91"/>
        <v>-1250</v>
      </c>
      <c r="AC40" s="66">
        <f t="shared" si="92"/>
        <v>0</v>
      </c>
      <c r="AD40" s="78"/>
      <c r="AE40" s="73" t="str">
        <f t="shared" si="93"/>
        <v>#DIV/0!</v>
      </c>
      <c r="AF40" s="76"/>
      <c r="AG40" s="75"/>
      <c r="AH40" s="66">
        <f t="shared" si="94"/>
        <v>0</v>
      </c>
      <c r="AI40" s="66">
        <f t="shared" si="95"/>
        <v>0</v>
      </c>
      <c r="AJ40" s="66">
        <f t="shared" si="96"/>
        <v>0</v>
      </c>
      <c r="AK40" s="66">
        <f t="shared" si="97"/>
        <v>0</v>
      </c>
      <c r="AL40" s="68">
        <v>1250.0</v>
      </c>
      <c r="AM40" s="66">
        <f t="shared" si="98"/>
        <v>0</v>
      </c>
      <c r="AN40" s="69">
        <f t="shared" si="99"/>
        <v>1250</v>
      </c>
      <c r="AO40" s="70" t="str">
        <f t="shared" si="100"/>
        <v>#DIV/0!</v>
      </c>
      <c r="AP40" s="71">
        <f t="shared" si="101"/>
        <v>-1250</v>
      </c>
      <c r="AQ40" s="66">
        <f t="shared" si="102"/>
        <v>0</v>
      </c>
      <c r="AR40" s="78"/>
      <c r="AS40" s="73" t="str">
        <f t="shared" si="103"/>
        <v>#DIV/0!</v>
      </c>
    </row>
    <row r="41">
      <c r="A41" s="98" t="s">
        <v>65</v>
      </c>
      <c r="B41" s="66">
        <f>B40+1000</f>
        <v>4000</v>
      </c>
      <c r="C41" s="65">
        <f t="shared" ref="C41:C45" si="105">B41*$C$4</f>
        <v>3280</v>
      </c>
      <c r="D41" s="66">
        <f t="shared" si="67"/>
        <v>2954.954955</v>
      </c>
      <c r="E41" s="96">
        <v>1.0</v>
      </c>
      <c r="F41" s="66">
        <f t="shared" si="36"/>
        <v>1062</v>
      </c>
      <c r="G41" s="66">
        <f t="shared" si="37"/>
        <v>720</v>
      </c>
      <c r="H41" s="66">
        <f t="shared" si="38"/>
        <v>405</v>
      </c>
      <c r="I41" s="66">
        <f t="shared" si="39"/>
        <v>162</v>
      </c>
      <c r="J41" s="68">
        <v>1250.0</v>
      </c>
      <c r="K41" s="66">
        <f t="shared" si="40"/>
        <v>262.4</v>
      </c>
      <c r="L41" s="69">
        <f t="shared" si="41"/>
        <v>6816.354955</v>
      </c>
      <c r="M41" s="70">
        <f t="shared" si="86"/>
        <v>0.1593162222</v>
      </c>
      <c r="N41" s="71">
        <f t="shared" si="87"/>
        <v>1291.753153</v>
      </c>
      <c r="O41" s="66">
        <f t="shared" si="88"/>
        <v>8108.108108</v>
      </c>
      <c r="P41" s="78">
        <v>9000.0</v>
      </c>
      <c r="Q41" s="73">
        <f t="shared" si="89"/>
        <v>9000</v>
      </c>
      <c r="R41" s="74"/>
      <c r="S41" s="75"/>
      <c r="T41" s="66">
        <f t="shared" si="46"/>
        <v>0</v>
      </c>
      <c r="U41" s="66">
        <f t="shared" si="47"/>
        <v>0</v>
      </c>
      <c r="V41" s="66">
        <f t="shared" si="48"/>
        <v>0</v>
      </c>
      <c r="W41" s="66">
        <f t="shared" si="49"/>
        <v>0</v>
      </c>
      <c r="X41" s="68">
        <v>1250.0</v>
      </c>
      <c r="Y41" s="66">
        <f t="shared" si="50"/>
        <v>0</v>
      </c>
      <c r="Z41" s="69">
        <f t="shared" si="51"/>
        <v>1250</v>
      </c>
      <c r="AA41" s="70" t="str">
        <f t="shared" si="90"/>
        <v>#DIV/0!</v>
      </c>
      <c r="AB41" s="71">
        <f t="shared" si="91"/>
        <v>-1250</v>
      </c>
      <c r="AC41" s="66">
        <f t="shared" si="92"/>
        <v>0</v>
      </c>
      <c r="AD41" s="78"/>
      <c r="AE41" s="73" t="str">
        <f t="shared" si="93"/>
        <v>#DIV/0!</v>
      </c>
      <c r="AF41" s="76"/>
      <c r="AG41" s="75"/>
      <c r="AH41" s="66">
        <f t="shared" si="94"/>
        <v>0</v>
      </c>
      <c r="AI41" s="66">
        <f t="shared" si="95"/>
        <v>0</v>
      </c>
      <c r="AJ41" s="66">
        <f t="shared" si="96"/>
        <v>0</v>
      </c>
      <c r="AK41" s="66">
        <f t="shared" si="97"/>
        <v>0</v>
      </c>
      <c r="AL41" s="68">
        <v>1250.0</v>
      </c>
      <c r="AM41" s="66">
        <f t="shared" si="98"/>
        <v>0</v>
      </c>
      <c r="AN41" s="69">
        <f t="shared" si="99"/>
        <v>1250</v>
      </c>
      <c r="AO41" s="70" t="str">
        <f t="shared" si="100"/>
        <v>#DIV/0!</v>
      </c>
      <c r="AP41" s="71">
        <f t="shared" si="101"/>
        <v>-1250</v>
      </c>
      <c r="AQ41" s="66">
        <f t="shared" si="102"/>
        <v>0</v>
      </c>
      <c r="AR41" s="78"/>
      <c r="AS41" s="73" t="str">
        <f t="shared" si="103"/>
        <v>#DIV/0!</v>
      </c>
    </row>
    <row r="42" hidden="1">
      <c r="A42" s="98" t="s">
        <v>66</v>
      </c>
      <c r="B42" s="66">
        <f>B7+B40</f>
        <v>7100</v>
      </c>
      <c r="C42" s="65">
        <f t="shared" si="105"/>
        <v>5822</v>
      </c>
      <c r="D42" s="66">
        <f t="shared" si="67"/>
        <v>5245.045045</v>
      </c>
      <c r="E42" s="96">
        <v>1.0</v>
      </c>
      <c r="F42" s="66">
        <f t="shared" si="36"/>
        <v>1475</v>
      </c>
      <c r="G42" s="66">
        <f t="shared" si="37"/>
        <v>1000</v>
      </c>
      <c r="H42" s="66">
        <f t="shared" si="38"/>
        <v>562.5</v>
      </c>
      <c r="I42" s="66">
        <f t="shared" si="39"/>
        <v>225</v>
      </c>
      <c r="J42" s="68">
        <v>1250.0</v>
      </c>
      <c r="K42" s="66">
        <f t="shared" si="40"/>
        <v>465.76</v>
      </c>
      <c r="L42" s="69">
        <f t="shared" si="41"/>
        <v>10223.30505</v>
      </c>
      <c r="M42" s="70">
        <f t="shared" si="86"/>
        <v>0.092170512</v>
      </c>
      <c r="N42" s="71">
        <f t="shared" si="87"/>
        <v>1037.956216</v>
      </c>
      <c r="O42" s="66">
        <f t="shared" si="88"/>
        <v>11261.26126</v>
      </c>
      <c r="P42" s="78">
        <v>12500.0</v>
      </c>
      <c r="Q42" s="73">
        <f t="shared" si="89"/>
        <v>12500</v>
      </c>
      <c r="R42" s="74"/>
      <c r="S42" s="75"/>
      <c r="T42" s="66">
        <f t="shared" si="46"/>
        <v>0</v>
      </c>
      <c r="U42" s="66">
        <f t="shared" si="47"/>
        <v>0</v>
      </c>
      <c r="V42" s="66">
        <f t="shared" si="48"/>
        <v>0</v>
      </c>
      <c r="W42" s="66">
        <f t="shared" si="49"/>
        <v>0</v>
      </c>
      <c r="X42" s="68">
        <v>1250.0</v>
      </c>
      <c r="Y42" s="66">
        <f t="shared" si="50"/>
        <v>0</v>
      </c>
      <c r="Z42" s="69">
        <f t="shared" si="51"/>
        <v>1250</v>
      </c>
      <c r="AA42" s="70" t="str">
        <f t="shared" si="90"/>
        <v>#DIV/0!</v>
      </c>
      <c r="AB42" s="71">
        <f t="shared" si="91"/>
        <v>-1250</v>
      </c>
      <c r="AC42" s="66">
        <f t="shared" si="92"/>
        <v>0</v>
      </c>
      <c r="AD42" s="78"/>
      <c r="AE42" s="73" t="str">
        <f t="shared" si="93"/>
        <v>#DIV/0!</v>
      </c>
      <c r="AF42" s="76"/>
      <c r="AG42" s="75"/>
      <c r="AH42" s="66">
        <f t="shared" si="94"/>
        <v>0</v>
      </c>
      <c r="AI42" s="66">
        <f t="shared" si="95"/>
        <v>0</v>
      </c>
      <c r="AJ42" s="66">
        <f t="shared" si="96"/>
        <v>0</v>
      </c>
      <c r="AK42" s="66">
        <f t="shared" si="97"/>
        <v>0</v>
      </c>
      <c r="AL42" s="68">
        <v>1250.0</v>
      </c>
      <c r="AM42" s="66">
        <f t="shared" si="98"/>
        <v>0</v>
      </c>
      <c r="AN42" s="69">
        <f t="shared" si="99"/>
        <v>1250</v>
      </c>
      <c r="AO42" s="70" t="str">
        <f t="shared" si="100"/>
        <v>#DIV/0!</v>
      </c>
      <c r="AP42" s="71">
        <f t="shared" si="101"/>
        <v>-1250</v>
      </c>
      <c r="AQ42" s="66">
        <f t="shared" si="102"/>
        <v>0</v>
      </c>
      <c r="AR42" s="78"/>
      <c r="AS42" s="73" t="str">
        <f t="shared" si="103"/>
        <v>#DIV/0!</v>
      </c>
    </row>
    <row r="43" hidden="1">
      <c r="A43" s="98" t="s">
        <v>67</v>
      </c>
      <c r="B43" s="66">
        <f>B7+B41</f>
        <v>8100</v>
      </c>
      <c r="C43" s="65">
        <f t="shared" si="105"/>
        <v>6642</v>
      </c>
      <c r="D43" s="66">
        <f t="shared" si="67"/>
        <v>5983.783784</v>
      </c>
      <c r="E43" s="96">
        <v>1.0</v>
      </c>
      <c r="F43" s="66">
        <f t="shared" si="36"/>
        <v>1593</v>
      </c>
      <c r="G43" s="66">
        <f t="shared" si="37"/>
        <v>1080</v>
      </c>
      <c r="H43" s="66">
        <f t="shared" si="38"/>
        <v>607.5</v>
      </c>
      <c r="I43" s="66">
        <f t="shared" si="39"/>
        <v>243</v>
      </c>
      <c r="J43" s="68">
        <v>1250.0</v>
      </c>
      <c r="K43" s="66">
        <f t="shared" si="40"/>
        <v>531.36</v>
      </c>
      <c r="L43" s="69">
        <f t="shared" si="41"/>
        <v>11288.64378</v>
      </c>
      <c r="M43" s="70">
        <f t="shared" si="86"/>
        <v>0.07182262222</v>
      </c>
      <c r="N43" s="71">
        <f t="shared" si="87"/>
        <v>873.5183784</v>
      </c>
      <c r="O43" s="66">
        <f t="shared" si="88"/>
        <v>12162.16216</v>
      </c>
      <c r="P43" s="78">
        <v>13500.0</v>
      </c>
      <c r="Q43" s="73">
        <f t="shared" si="89"/>
        <v>13500</v>
      </c>
      <c r="R43" s="74"/>
      <c r="S43" s="75"/>
      <c r="T43" s="66">
        <f t="shared" si="46"/>
        <v>0</v>
      </c>
      <c r="U43" s="66">
        <f t="shared" si="47"/>
        <v>0</v>
      </c>
      <c r="V43" s="66">
        <f t="shared" si="48"/>
        <v>0</v>
      </c>
      <c r="W43" s="66">
        <f t="shared" si="49"/>
        <v>0</v>
      </c>
      <c r="X43" s="68">
        <v>1250.0</v>
      </c>
      <c r="Y43" s="66">
        <f t="shared" si="50"/>
        <v>0</v>
      </c>
      <c r="Z43" s="69">
        <f t="shared" si="51"/>
        <v>1250</v>
      </c>
      <c r="AA43" s="70" t="str">
        <f t="shared" si="90"/>
        <v>#DIV/0!</v>
      </c>
      <c r="AB43" s="71">
        <f t="shared" si="91"/>
        <v>-1250</v>
      </c>
      <c r="AC43" s="66">
        <f t="shared" si="92"/>
        <v>0</v>
      </c>
      <c r="AD43" s="78"/>
      <c r="AE43" s="73" t="str">
        <f t="shared" si="93"/>
        <v>#DIV/0!</v>
      </c>
      <c r="AF43" s="76"/>
      <c r="AG43" s="75"/>
      <c r="AH43" s="66">
        <f t="shared" si="94"/>
        <v>0</v>
      </c>
      <c r="AI43" s="66">
        <f t="shared" si="95"/>
        <v>0</v>
      </c>
      <c r="AJ43" s="66">
        <f t="shared" si="96"/>
        <v>0</v>
      </c>
      <c r="AK43" s="66">
        <f t="shared" si="97"/>
        <v>0</v>
      </c>
      <c r="AL43" s="68">
        <v>1250.0</v>
      </c>
      <c r="AM43" s="66">
        <f t="shared" si="98"/>
        <v>0</v>
      </c>
      <c r="AN43" s="69">
        <f t="shared" si="99"/>
        <v>1250</v>
      </c>
      <c r="AO43" s="70" t="str">
        <f t="shared" si="100"/>
        <v>#DIV/0!</v>
      </c>
      <c r="AP43" s="71">
        <f t="shared" si="101"/>
        <v>-1250</v>
      </c>
      <c r="AQ43" s="66">
        <f t="shared" si="102"/>
        <v>0</v>
      </c>
      <c r="AR43" s="78"/>
      <c r="AS43" s="73" t="str">
        <f t="shared" si="103"/>
        <v>#DIV/0!</v>
      </c>
    </row>
    <row r="44">
      <c r="A44" s="98" t="s">
        <v>68</v>
      </c>
      <c r="B44" s="66">
        <f>B7*5+B40</f>
        <v>23500</v>
      </c>
      <c r="C44" s="65">
        <f t="shared" si="105"/>
        <v>19270</v>
      </c>
      <c r="D44" s="66">
        <f t="shared" si="67"/>
        <v>17360.36036</v>
      </c>
      <c r="E44" s="96">
        <v>1.0</v>
      </c>
      <c r="F44" s="66">
        <f t="shared" si="36"/>
        <v>3929.046</v>
      </c>
      <c r="G44" s="66">
        <f t="shared" si="37"/>
        <v>2663.76</v>
      </c>
      <c r="H44" s="66">
        <f t="shared" si="38"/>
        <v>1498.365</v>
      </c>
      <c r="I44" s="66">
        <f t="shared" si="39"/>
        <v>599.346</v>
      </c>
      <c r="J44" s="68">
        <v>1250.0</v>
      </c>
      <c r="K44" s="66">
        <f t="shared" si="40"/>
        <v>1541.6</v>
      </c>
      <c r="L44" s="69">
        <f t="shared" si="41"/>
        <v>28842.47736</v>
      </c>
      <c r="M44" s="70">
        <f t="shared" si="86"/>
        <v>0.03849746614</v>
      </c>
      <c r="N44" s="71">
        <f t="shared" si="87"/>
        <v>1154.819937</v>
      </c>
      <c r="O44" s="66">
        <f t="shared" si="88"/>
        <v>29997.2973</v>
      </c>
      <c r="P44" s="78">
        <v>33297.0</v>
      </c>
      <c r="Q44" s="73">
        <f t="shared" si="89"/>
        <v>33297</v>
      </c>
      <c r="R44" s="74"/>
      <c r="S44" s="75"/>
      <c r="T44" s="66">
        <f t="shared" si="46"/>
        <v>0</v>
      </c>
      <c r="U44" s="66">
        <f t="shared" si="47"/>
        <v>0</v>
      </c>
      <c r="V44" s="66">
        <f t="shared" si="48"/>
        <v>0</v>
      </c>
      <c r="W44" s="66">
        <f t="shared" si="49"/>
        <v>0</v>
      </c>
      <c r="X44" s="68">
        <v>1250.0</v>
      </c>
      <c r="Y44" s="66">
        <f t="shared" si="50"/>
        <v>0</v>
      </c>
      <c r="Z44" s="69">
        <f t="shared" si="51"/>
        <v>1250</v>
      </c>
      <c r="AA44" s="70" t="str">
        <f t="shared" si="90"/>
        <v>#DIV/0!</v>
      </c>
      <c r="AB44" s="71">
        <f t="shared" si="91"/>
        <v>-1250</v>
      </c>
      <c r="AC44" s="66">
        <f t="shared" si="92"/>
        <v>0</v>
      </c>
      <c r="AD44" s="78"/>
      <c r="AE44" s="73" t="str">
        <f t="shared" si="93"/>
        <v>#DIV/0!</v>
      </c>
      <c r="AF44" s="76"/>
      <c r="AG44" s="75"/>
      <c r="AH44" s="66">
        <f t="shared" si="94"/>
        <v>0</v>
      </c>
      <c r="AI44" s="66">
        <f t="shared" si="95"/>
        <v>0</v>
      </c>
      <c r="AJ44" s="66">
        <f t="shared" si="96"/>
        <v>0</v>
      </c>
      <c r="AK44" s="66">
        <f t="shared" si="97"/>
        <v>0</v>
      </c>
      <c r="AL44" s="68">
        <v>1250.0</v>
      </c>
      <c r="AM44" s="66">
        <f t="shared" si="98"/>
        <v>0</v>
      </c>
      <c r="AN44" s="69">
        <f t="shared" si="99"/>
        <v>1250</v>
      </c>
      <c r="AO44" s="70" t="str">
        <f t="shared" si="100"/>
        <v>#DIV/0!</v>
      </c>
      <c r="AP44" s="71">
        <f t="shared" si="101"/>
        <v>-1250</v>
      </c>
      <c r="AQ44" s="66">
        <f t="shared" si="102"/>
        <v>0</v>
      </c>
      <c r="AR44" s="78"/>
      <c r="AS44" s="73" t="str">
        <f t="shared" si="103"/>
        <v>#DIV/0!</v>
      </c>
    </row>
    <row r="45" hidden="1">
      <c r="A45" s="98" t="s">
        <v>69</v>
      </c>
      <c r="B45" s="66">
        <f>B7*5+B41</f>
        <v>24500</v>
      </c>
      <c r="C45" s="65">
        <f t="shared" si="105"/>
        <v>20090</v>
      </c>
      <c r="D45" s="66">
        <f t="shared" si="67"/>
        <v>18099.0991</v>
      </c>
      <c r="E45" s="96">
        <v>1.0</v>
      </c>
      <c r="F45" s="66">
        <f t="shared" si="36"/>
        <v>4147.7</v>
      </c>
      <c r="G45" s="66">
        <f t="shared" si="37"/>
        <v>2812</v>
      </c>
      <c r="H45" s="66">
        <f t="shared" si="38"/>
        <v>1581.75</v>
      </c>
      <c r="I45" s="66">
        <f t="shared" si="39"/>
        <v>632.7</v>
      </c>
      <c r="J45" s="68">
        <v>1250.0</v>
      </c>
      <c r="K45" s="66">
        <f t="shared" si="40"/>
        <v>1607.2</v>
      </c>
      <c r="L45" s="69">
        <f t="shared" si="41"/>
        <v>30130.4491</v>
      </c>
      <c r="M45" s="70">
        <f t="shared" si="86"/>
        <v>0.04851213371</v>
      </c>
      <c r="N45" s="71">
        <f t="shared" si="87"/>
        <v>1536.217568</v>
      </c>
      <c r="O45" s="66">
        <f t="shared" si="88"/>
        <v>31666.66667</v>
      </c>
      <c r="P45" s="78">
        <v>35150.0</v>
      </c>
      <c r="Q45" s="73">
        <f t="shared" si="89"/>
        <v>35150</v>
      </c>
      <c r="R45" s="74"/>
      <c r="S45" s="75"/>
      <c r="T45" s="66">
        <f t="shared" si="46"/>
        <v>0</v>
      </c>
      <c r="U45" s="66">
        <f t="shared" si="47"/>
        <v>0</v>
      </c>
      <c r="V45" s="66">
        <f t="shared" si="48"/>
        <v>0</v>
      </c>
      <c r="W45" s="66">
        <f t="shared" si="49"/>
        <v>0</v>
      </c>
      <c r="X45" s="68">
        <v>1250.0</v>
      </c>
      <c r="Y45" s="66">
        <f t="shared" si="50"/>
        <v>0</v>
      </c>
      <c r="Z45" s="69">
        <f t="shared" si="51"/>
        <v>1250</v>
      </c>
      <c r="AA45" s="70" t="str">
        <f t="shared" si="90"/>
        <v>#DIV/0!</v>
      </c>
      <c r="AB45" s="71">
        <f t="shared" si="91"/>
        <v>-1250</v>
      </c>
      <c r="AC45" s="66">
        <f t="shared" si="92"/>
        <v>0</v>
      </c>
      <c r="AD45" s="78"/>
      <c r="AE45" s="73" t="str">
        <f t="shared" si="93"/>
        <v>#DIV/0!</v>
      </c>
      <c r="AF45" s="76"/>
      <c r="AG45" s="75"/>
      <c r="AH45" s="66">
        <f t="shared" si="94"/>
        <v>0</v>
      </c>
      <c r="AI45" s="66">
        <f t="shared" si="95"/>
        <v>0</v>
      </c>
      <c r="AJ45" s="66">
        <f t="shared" si="96"/>
        <v>0</v>
      </c>
      <c r="AK45" s="66">
        <f t="shared" si="97"/>
        <v>0</v>
      </c>
      <c r="AL45" s="68">
        <v>1250.0</v>
      </c>
      <c r="AM45" s="66">
        <f t="shared" si="98"/>
        <v>0</v>
      </c>
      <c r="AN45" s="69">
        <f t="shared" si="99"/>
        <v>1250</v>
      </c>
      <c r="AO45" s="70" t="str">
        <f t="shared" si="100"/>
        <v>#DIV/0!</v>
      </c>
      <c r="AP45" s="71">
        <f t="shared" si="101"/>
        <v>-1250</v>
      </c>
      <c r="AQ45" s="66">
        <f t="shared" si="102"/>
        <v>0</v>
      </c>
      <c r="AR45" s="78"/>
      <c r="AS45" s="73" t="str">
        <f t="shared" si="103"/>
        <v>#DIV/0!</v>
      </c>
    </row>
    <row r="46">
      <c r="A46" s="99" t="s">
        <v>70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1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76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</row>
    <row r="47">
      <c r="A47" s="95" t="s">
        <v>71</v>
      </c>
      <c r="B47" s="66">
        <f t="shared" ref="B47:B49" si="106">B5</f>
        <v>3350</v>
      </c>
      <c r="C47" s="65">
        <f t="shared" ref="C47:C72" si="107">B47*$C$4</f>
        <v>2747</v>
      </c>
      <c r="D47" s="66">
        <f t="shared" ref="D47:D72" si="108">C47/$D$4</f>
        <v>2474.774775</v>
      </c>
      <c r="E47" s="67">
        <v>6.0</v>
      </c>
      <c r="F47" s="66">
        <f t="shared" ref="F47:F70" si="109">P47*$F$3</f>
        <v>3304</v>
      </c>
      <c r="G47" s="66">
        <f t="shared" ref="G47:G70" si="110">P47*$G$3</f>
        <v>2240</v>
      </c>
      <c r="H47" s="66">
        <f t="shared" ref="H47:H70" si="111">P47*$H$3</f>
        <v>1260</v>
      </c>
      <c r="I47" s="66">
        <f t="shared" ref="I47:I70" si="112">P47*$I$3</f>
        <v>504</v>
      </c>
      <c r="J47" s="68">
        <v>1250.0</v>
      </c>
      <c r="K47" s="66">
        <f t="shared" ref="K47:K70" si="113">C47*$K$3*E47</f>
        <v>1318.56</v>
      </c>
      <c r="L47" s="69">
        <f t="shared" ref="L47:L70" si="114">(D47*E47)+F47+G47+H47+I47+J47+K47</f>
        <v>24725.20865</v>
      </c>
      <c r="M47" s="70">
        <f t="shared" ref="M47:M70" si="115">N47/O47</f>
        <v>0.01982208571</v>
      </c>
      <c r="N47" s="71">
        <f t="shared" ref="N47:N70" si="116">O47-L47</f>
        <v>500.0165766</v>
      </c>
      <c r="O47" s="66">
        <f t="shared" ref="O47:O70" si="117">P47/$O$4</f>
        <v>25225.22523</v>
      </c>
      <c r="P47" s="72">
        <v>28000.0</v>
      </c>
      <c r="Q47" s="73">
        <f t="shared" ref="Q47:Q70" si="118">P47/E47</f>
        <v>4666.666667</v>
      </c>
      <c r="R47" s="74"/>
      <c r="S47" s="75"/>
      <c r="T47" s="66">
        <f t="shared" ref="T47:T50" si="119">AD47*$T$3</f>
        <v>0</v>
      </c>
      <c r="U47" s="66">
        <f t="shared" ref="U47:U50" si="120">AD47*$U$3</f>
        <v>0</v>
      </c>
      <c r="V47" s="66">
        <f t="shared" ref="V47:V50" si="121">AD47*$V$3</f>
        <v>0</v>
      </c>
      <c r="W47" s="66">
        <f t="shared" ref="W47:W50" si="122">AD47*$W$3</f>
        <v>0</v>
      </c>
      <c r="X47" s="68">
        <v>1250.0</v>
      </c>
      <c r="Y47" s="66">
        <f t="shared" ref="Y47:Y50" si="123">R47*$Y$3</f>
        <v>0</v>
      </c>
      <c r="Z47" s="69">
        <f t="shared" ref="Z47:Z61" si="124">(D47*S47)+T47+U47+V47+W47+X47+Y47</f>
        <v>1250</v>
      </c>
      <c r="AA47" s="70" t="str">
        <f t="shared" ref="AA47:AA50" si="125">AB47/AC47</f>
        <v>#DIV/0!</v>
      </c>
      <c r="AB47" s="71">
        <f t="shared" ref="AB47:AB50" si="126">AC47-Z47</f>
        <v>-1250</v>
      </c>
      <c r="AC47" s="66">
        <f t="shared" ref="AC47:AC50" si="127">AD47/$O$4</f>
        <v>0</v>
      </c>
      <c r="AD47" s="78"/>
      <c r="AE47" s="73" t="str">
        <f t="shared" ref="AE47:AE50" si="128">AD47/S47</f>
        <v>#DIV/0!</v>
      </c>
      <c r="AF47" s="76"/>
      <c r="AG47" s="75"/>
      <c r="AH47" s="66">
        <f t="shared" ref="AH47:AH50" si="129">AR47*$AH$3</f>
        <v>0</v>
      </c>
      <c r="AI47" s="66">
        <f t="shared" ref="AI47:AI50" si="130">AR47*$AI$3</f>
        <v>0</v>
      </c>
      <c r="AJ47" s="66">
        <f t="shared" ref="AJ47:AJ50" si="131">AR47*$AJ$3</f>
        <v>0</v>
      </c>
      <c r="AK47" s="66">
        <f t="shared" ref="AK47:AK50" si="132">AR47*$AK$3</f>
        <v>0</v>
      </c>
      <c r="AL47" s="68">
        <v>1250.0</v>
      </c>
      <c r="AM47" s="66">
        <f t="shared" ref="AM47:AM50" si="133">AF47*$AM$3</f>
        <v>0</v>
      </c>
      <c r="AN47" s="69">
        <f t="shared" ref="AN47:AN50" si="134">(R47*AG47)+AH47+AI47+AJ47+AK47+AL47+AM47</f>
        <v>1250</v>
      </c>
      <c r="AO47" s="70" t="str">
        <f t="shared" ref="AO47:AO50" si="135">AP47/AQ47</f>
        <v>#DIV/0!</v>
      </c>
      <c r="AP47" s="71">
        <f t="shared" ref="AP47:AP50" si="136">AQ47-AN47</f>
        <v>-1250</v>
      </c>
      <c r="AQ47" s="66">
        <f t="shared" ref="AQ47:AQ50" si="137">AR47/$O$4</f>
        <v>0</v>
      </c>
      <c r="AR47" s="78"/>
      <c r="AS47" s="73" t="str">
        <f t="shared" ref="AS47:AS50" si="138">AR47/AG47</f>
        <v>#DIV/0!</v>
      </c>
    </row>
    <row r="48">
      <c r="A48" s="95" t="s">
        <v>72</v>
      </c>
      <c r="B48" s="66">
        <f t="shared" si="106"/>
        <v>3500</v>
      </c>
      <c r="C48" s="65">
        <f t="shared" si="107"/>
        <v>2870</v>
      </c>
      <c r="D48" s="66">
        <f t="shared" si="108"/>
        <v>2585.585586</v>
      </c>
      <c r="E48" s="67">
        <v>6.0</v>
      </c>
      <c r="F48" s="66">
        <f t="shared" si="109"/>
        <v>3481</v>
      </c>
      <c r="G48" s="66">
        <f t="shared" si="110"/>
        <v>2360</v>
      </c>
      <c r="H48" s="66">
        <f t="shared" si="111"/>
        <v>1327.5</v>
      </c>
      <c r="I48" s="66">
        <f t="shared" si="112"/>
        <v>531</v>
      </c>
      <c r="J48" s="68">
        <v>1250.0</v>
      </c>
      <c r="K48" s="66">
        <f t="shared" si="113"/>
        <v>1377.6</v>
      </c>
      <c r="L48" s="69">
        <f t="shared" si="114"/>
        <v>25840.61351</v>
      </c>
      <c r="M48" s="70">
        <f t="shared" si="115"/>
        <v>0.02769216949</v>
      </c>
      <c r="N48" s="71">
        <f t="shared" si="116"/>
        <v>735.9630631</v>
      </c>
      <c r="O48" s="66">
        <f t="shared" si="117"/>
        <v>26576.57658</v>
      </c>
      <c r="P48" s="72">
        <v>29500.0</v>
      </c>
      <c r="Q48" s="73">
        <f t="shared" si="118"/>
        <v>4916.666667</v>
      </c>
      <c r="R48" s="74"/>
      <c r="S48" s="75"/>
      <c r="T48" s="66">
        <f t="shared" si="119"/>
        <v>0</v>
      </c>
      <c r="U48" s="66">
        <f t="shared" si="120"/>
        <v>0</v>
      </c>
      <c r="V48" s="66">
        <f t="shared" si="121"/>
        <v>0</v>
      </c>
      <c r="W48" s="66">
        <f t="shared" si="122"/>
        <v>0</v>
      </c>
      <c r="X48" s="68">
        <v>1250.0</v>
      </c>
      <c r="Y48" s="66">
        <f t="shared" si="123"/>
        <v>0</v>
      </c>
      <c r="Z48" s="69">
        <f t="shared" si="124"/>
        <v>1250</v>
      </c>
      <c r="AA48" s="70" t="str">
        <f t="shared" si="125"/>
        <v>#DIV/0!</v>
      </c>
      <c r="AB48" s="71">
        <f t="shared" si="126"/>
        <v>-1250</v>
      </c>
      <c r="AC48" s="66">
        <f t="shared" si="127"/>
        <v>0</v>
      </c>
      <c r="AD48" s="78"/>
      <c r="AE48" s="73" t="str">
        <f t="shared" si="128"/>
        <v>#DIV/0!</v>
      </c>
      <c r="AF48" s="76"/>
      <c r="AG48" s="75"/>
      <c r="AH48" s="66">
        <f t="shared" si="129"/>
        <v>0</v>
      </c>
      <c r="AI48" s="66">
        <f t="shared" si="130"/>
        <v>0</v>
      </c>
      <c r="AJ48" s="66">
        <f t="shared" si="131"/>
        <v>0</v>
      </c>
      <c r="AK48" s="66">
        <f t="shared" si="132"/>
        <v>0</v>
      </c>
      <c r="AL48" s="68">
        <v>1250.0</v>
      </c>
      <c r="AM48" s="66">
        <f t="shared" si="133"/>
        <v>0</v>
      </c>
      <c r="AN48" s="69">
        <f t="shared" si="134"/>
        <v>1250</v>
      </c>
      <c r="AO48" s="70" t="str">
        <f t="shared" si="135"/>
        <v>#DIV/0!</v>
      </c>
      <c r="AP48" s="71">
        <f t="shared" si="136"/>
        <v>-1250</v>
      </c>
      <c r="AQ48" s="66">
        <f t="shared" si="137"/>
        <v>0</v>
      </c>
      <c r="AR48" s="78"/>
      <c r="AS48" s="73" t="str">
        <f t="shared" si="138"/>
        <v>#DIV/0!</v>
      </c>
    </row>
    <row r="49">
      <c r="A49" s="95" t="s">
        <v>73</v>
      </c>
      <c r="B49" s="66">
        <f t="shared" si="106"/>
        <v>4100</v>
      </c>
      <c r="C49" s="65">
        <f t="shared" si="107"/>
        <v>3362</v>
      </c>
      <c r="D49" s="66">
        <f t="shared" si="108"/>
        <v>3028.828829</v>
      </c>
      <c r="E49" s="67">
        <v>6.0</v>
      </c>
      <c r="F49" s="66">
        <f t="shared" si="109"/>
        <v>4030.29</v>
      </c>
      <c r="G49" s="66">
        <f t="shared" si="110"/>
        <v>2732.4</v>
      </c>
      <c r="H49" s="66">
        <f t="shared" si="111"/>
        <v>1536.975</v>
      </c>
      <c r="I49" s="66">
        <f t="shared" si="112"/>
        <v>614.79</v>
      </c>
      <c r="J49" s="68">
        <v>1250.0</v>
      </c>
      <c r="K49" s="66">
        <f t="shared" si="113"/>
        <v>1613.76</v>
      </c>
      <c r="L49" s="69">
        <f t="shared" si="114"/>
        <v>29951.18797</v>
      </c>
      <c r="M49" s="70">
        <f t="shared" si="115"/>
        <v>0.02661927536</v>
      </c>
      <c r="N49" s="71">
        <f t="shared" si="116"/>
        <v>819.0822973</v>
      </c>
      <c r="O49" s="66">
        <f t="shared" si="117"/>
        <v>30770.27027</v>
      </c>
      <c r="P49" s="78">
        <v>34155.0</v>
      </c>
      <c r="Q49" s="73">
        <f t="shared" si="118"/>
        <v>5692.5</v>
      </c>
      <c r="R49" s="74"/>
      <c r="S49" s="75"/>
      <c r="T49" s="66">
        <f t="shared" si="119"/>
        <v>0</v>
      </c>
      <c r="U49" s="66">
        <f t="shared" si="120"/>
        <v>0</v>
      </c>
      <c r="V49" s="66">
        <f t="shared" si="121"/>
        <v>0</v>
      </c>
      <c r="W49" s="66">
        <f t="shared" si="122"/>
        <v>0</v>
      </c>
      <c r="X49" s="68">
        <v>1250.0</v>
      </c>
      <c r="Y49" s="66">
        <f t="shared" si="123"/>
        <v>0</v>
      </c>
      <c r="Z49" s="69">
        <f t="shared" si="124"/>
        <v>1250</v>
      </c>
      <c r="AA49" s="70" t="str">
        <f t="shared" si="125"/>
        <v>#DIV/0!</v>
      </c>
      <c r="AB49" s="71">
        <f t="shared" si="126"/>
        <v>-1250</v>
      </c>
      <c r="AC49" s="66">
        <f t="shared" si="127"/>
        <v>0</v>
      </c>
      <c r="AD49" s="78"/>
      <c r="AE49" s="73" t="str">
        <f t="shared" si="128"/>
        <v>#DIV/0!</v>
      </c>
      <c r="AF49" s="76"/>
      <c r="AG49" s="75"/>
      <c r="AH49" s="66">
        <f t="shared" si="129"/>
        <v>0</v>
      </c>
      <c r="AI49" s="66">
        <f t="shared" si="130"/>
        <v>0</v>
      </c>
      <c r="AJ49" s="66">
        <f t="shared" si="131"/>
        <v>0</v>
      </c>
      <c r="AK49" s="66">
        <f t="shared" si="132"/>
        <v>0</v>
      </c>
      <c r="AL49" s="68">
        <v>1250.0</v>
      </c>
      <c r="AM49" s="66">
        <f t="shared" si="133"/>
        <v>0</v>
      </c>
      <c r="AN49" s="69">
        <f t="shared" si="134"/>
        <v>1250</v>
      </c>
      <c r="AO49" s="70" t="str">
        <f t="shared" si="135"/>
        <v>#DIV/0!</v>
      </c>
      <c r="AP49" s="71">
        <f t="shared" si="136"/>
        <v>-1250</v>
      </c>
      <c r="AQ49" s="66">
        <f t="shared" si="137"/>
        <v>0</v>
      </c>
      <c r="AR49" s="78"/>
      <c r="AS49" s="73" t="str">
        <f t="shared" si="138"/>
        <v>#DIV/0!</v>
      </c>
    </row>
    <row r="50">
      <c r="A50" s="97" t="s">
        <v>74</v>
      </c>
      <c r="B50" s="66">
        <f>B17</f>
        <v>3850</v>
      </c>
      <c r="C50" s="65">
        <f t="shared" si="107"/>
        <v>3157</v>
      </c>
      <c r="D50" s="66">
        <f t="shared" si="108"/>
        <v>2844.144144</v>
      </c>
      <c r="E50" s="67">
        <v>6.0</v>
      </c>
      <c r="F50" s="66">
        <f t="shared" si="109"/>
        <v>3835</v>
      </c>
      <c r="G50" s="66">
        <f t="shared" si="110"/>
        <v>2600</v>
      </c>
      <c r="H50" s="66">
        <f t="shared" si="111"/>
        <v>1462.5</v>
      </c>
      <c r="I50" s="66">
        <f t="shared" si="112"/>
        <v>585</v>
      </c>
      <c r="J50" s="68">
        <v>1250.0</v>
      </c>
      <c r="K50" s="66">
        <f t="shared" si="113"/>
        <v>1515.36</v>
      </c>
      <c r="L50" s="69">
        <f t="shared" si="114"/>
        <v>28312.72486</v>
      </c>
      <c r="M50" s="70">
        <f t="shared" si="115"/>
        <v>0.03301155077</v>
      </c>
      <c r="N50" s="71">
        <f t="shared" si="116"/>
        <v>966.5544144</v>
      </c>
      <c r="O50" s="66">
        <f t="shared" si="117"/>
        <v>29279.27928</v>
      </c>
      <c r="P50" s="78">
        <v>32500.0</v>
      </c>
      <c r="Q50" s="73">
        <f t="shared" si="118"/>
        <v>5416.666667</v>
      </c>
      <c r="R50" s="74"/>
      <c r="S50" s="75"/>
      <c r="T50" s="66">
        <f t="shared" si="119"/>
        <v>0</v>
      </c>
      <c r="U50" s="66">
        <f t="shared" si="120"/>
        <v>0</v>
      </c>
      <c r="V50" s="66">
        <f t="shared" si="121"/>
        <v>0</v>
      </c>
      <c r="W50" s="66">
        <f t="shared" si="122"/>
        <v>0</v>
      </c>
      <c r="X50" s="68">
        <v>1250.0</v>
      </c>
      <c r="Y50" s="66">
        <f t="shared" si="123"/>
        <v>0</v>
      </c>
      <c r="Z50" s="69">
        <f t="shared" si="124"/>
        <v>1250</v>
      </c>
      <c r="AA50" s="70" t="str">
        <f t="shared" si="125"/>
        <v>#DIV/0!</v>
      </c>
      <c r="AB50" s="71">
        <f t="shared" si="126"/>
        <v>-1250</v>
      </c>
      <c r="AC50" s="66">
        <f t="shared" si="127"/>
        <v>0</v>
      </c>
      <c r="AD50" s="78"/>
      <c r="AE50" s="73" t="str">
        <f t="shared" si="128"/>
        <v>#DIV/0!</v>
      </c>
      <c r="AF50" s="76"/>
      <c r="AG50" s="75"/>
      <c r="AH50" s="66">
        <f t="shared" si="129"/>
        <v>0</v>
      </c>
      <c r="AI50" s="66">
        <f t="shared" si="130"/>
        <v>0</v>
      </c>
      <c r="AJ50" s="66">
        <f t="shared" si="131"/>
        <v>0</v>
      </c>
      <c r="AK50" s="66">
        <f t="shared" si="132"/>
        <v>0</v>
      </c>
      <c r="AL50" s="68">
        <v>1250.0</v>
      </c>
      <c r="AM50" s="66">
        <f t="shared" si="133"/>
        <v>0</v>
      </c>
      <c r="AN50" s="69">
        <f t="shared" si="134"/>
        <v>1250</v>
      </c>
      <c r="AO50" s="70" t="str">
        <f t="shared" si="135"/>
        <v>#DIV/0!</v>
      </c>
      <c r="AP50" s="71">
        <f t="shared" si="136"/>
        <v>-1250</v>
      </c>
      <c r="AQ50" s="66">
        <f t="shared" si="137"/>
        <v>0</v>
      </c>
      <c r="AR50" s="78"/>
      <c r="AS50" s="73" t="str">
        <f t="shared" si="138"/>
        <v>#DIV/0!</v>
      </c>
    </row>
    <row r="51">
      <c r="A51" s="103" t="s">
        <v>75</v>
      </c>
      <c r="B51" s="66">
        <f>B5*3+B6*2+B7</f>
        <v>21150</v>
      </c>
      <c r="C51" s="65">
        <f t="shared" si="107"/>
        <v>17343</v>
      </c>
      <c r="D51" s="66">
        <f t="shared" si="108"/>
        <v>15624.32432</v>
      </c>
      <c r="E51" s="67">
        <v>1.0</v>
      </c>
      <c r="F51" s="66">
        <f t="shared" si="109"/>
        <v>0</v>
      </c>
      <c r="G51" s="66">
        <f t="shared" si="110"/>
        <v>0</v>
      </c>
      <c r="H51" s="66">
        <f t="shared" si="111"/>
        <v>0</v>
      </c>
      <c r="I51" s="66">
        <f t="shared" si="112"/>
        <v>0</v>
      </c>
      <c r="J51" s="68">
        <v>1250.0</v>
      </c>
      <c r="K51" s="66">
        <f t="shared" si="113"/>
        <v>1387.44</v>
      </c>
      <c r="L51" s="69">
        <f t="shared" si="114"/>
        <v>18261.76432</v>
      </c>
      <c r="M51" s="70" t="str">
        <f t="shared" si="115"/>
        <v>#DIV/0!</v>
      </c>
      <c r="N51" s="71">
        <f t="shared" si="116"/>
        <v>-18261.76432</v>
      </c>
      <c r="O51" s="66">
        <f t="shared" si="117"/>
        <v>0</v>
      </c>
      <c r="P51" s="78"/>
      <c r="Q51" s="73">
        <f t="shared" si="118"/>
        <v>0</v>
      </c>
      <c r="R51" s="74"/>
      <c r="S51" s="75"/>
      <c r="T51" s="66"/>
      <c r="U51" s="66"/>
      <c r="V51" s="66"/>
      <c r="W51" s="66"/>
      <c r="X51" s="68"/>
      <c r="Y51" s="66"/>
      <c r="Z51" s="69">
        <f t="shared" si="124"/>
        <v>0</v>
      </c>
      <c r="AA51" s="70"/>
      <c r="AB51" s="71"/>
      <c r="AC51" s="66"/>
      <c r="AD51" s="78"/>
      <c r="AE51" s="73"/>
      <c r="AF51" s="76"/>
      <c r="AG51" s="75"/>
      <c r="AH51" s="66"/>
      <c r="AI51" s="66"/>
      <c r="AJ51" s="66"/>
      <c r="AK51" s="66"/>
      <c r="AL51" s="68"/>
      <c r="AM51" s="66"/>
      <c r="AN51" s="69"/>
      <c r="AO51" s="70"/>
      <c r="AP51" s="71"/>
      <c r="AQ51" s="66"/>
      <c r="AR51" s="78"/>
      <c r="AS51" s="73"/>
    </row>
    <row r="52">
      <c r="A52" s="104" t="s">
        <v>76</v>
      </c>
      <c r="B52" s="66">
        <f t="shared" ref="B52:B53" si="139">B5*3+B6*3</f>
        <v>20550</v>
      </c>
      <c r="C52" s="65">
        <f t="shared" si="107"/>
        <v>16851</v>
      </c>
      <c r="D52" s="66">
        <f t="shared" si="108"/>
        <v>15181.08108</v>
      </c>
      <c r="E52" s="67">
        <v>1.0</v>
      </c>
      <c r="F52" s="66">
        <f t="shared" si="109"/>
        <v>0</v>
      </c>
      <c r="G52" s="66">
        <f t="shared" si="110"/>
        <v>0</v>
      </c>
      <c r="H52" s="66">
        <f t="shared" si="111"/>
        <v>0</v>
      </c>
      <c r="I52" s="66">
        <f t="shared" si="112"/>
        <v>0</v>
      </c>
      <c r="J52" s="68">
        <v>1250.0</v>
      </c>
      <c r="K52" s="66">
        <f t="shared" si="113"/>
        <v>1348.08</v>
      </c>
      <c r="L52" s="69">
        <f t="shared" si="114"/>
        <v>17779.16108</v>
      </c>
      <c r="M52" s="70" t="str">
        <f t="shared" si="115"/>
        <v>#DIV/0!</v>
      </c>
      <c r="N52" s="71">
        <f t="shared" si="116"/>
        <v>-17779.16108</v>
      </c>
      <c r="O52" s="66">
        <f t="shared" si="117"/>
        <v>0</v>
      </c>
      <c r="P52" s="78"/>
      <c r="Q52" s="73">
        <f t="shared" si="118"/>
        <v>0</v>
      </c>
      <c r="R52" s="74"/>
      <c r="S52" s="75"/>
      <c r="T52" s="66"/>
      <c r="U52" s="66"/>
      <c r="V52" s="66"/>
      <c r="W52" s="66"/>
      <c r="X52" s="68"/>
      <c r="Y52" s="66"/>
      <c r="Z52" s="69">
        <f t="shared" si="124"/>
        <v>0</v>
      </c>
      <c r="AA52" s="70"/>
      <c r="AB52" s="71"/>
      <c r="AC52" s="66"/>
      <c r="AD52" s="78"/>
      <c r="AE52" s="73"/>
      <c r="AF52" s="76"/>
      <c r="AG52" s="75"/>
      <c r="AH52" s="66"/>
      <c r="AI52" s="66"/>
      <c r="AJ52" s="66"/>
      <c r="AK52" s="66"/>
      <c r="AL52" s="68"/>
      <c r="AM52" s="66"/>
      <c r="AN52" s="69"/>
      <c r="AO52" s="70"/>
      <c r="AP52" s="71"/>
      <c r="AQ52" s="66"/>
      <c r="AR52" s="78"/>
      <c r="AS52" s="73"/>
    </row>
    <row r="53">
      <c r="A53" s="104" t="s">
        <v>77</v>
      </c>
      <c r="B53" s="66">
        <f t="shared" si="139"/>
        <v>22800</v>
      </c>
      <c r="C53" s="65">
        <f t="shared" si="107"/>
        <v>18696</v>
      </c>
      <c r="D53" s="66">
        <f t="shared" si="108"/>
        <v>16843.24324</v>
      </c>
      <c r="E53" s="67">
        <v>1.0</v>
      </c>
      <c r="F53" s="66">
        <f t="shared" si="109"/>
        <v>0</v>
      </c>
      <c r="G53" s="66">
        <f t="shared" si="110"/>
        <v>0</v>
      </c>
      <c r="H53" s="66">
        <f t="shared" si="111"/>
        <v>0</v>
      </c>
      <c r="I53" s="66">
        <f t="shared" si="112"/>
        <v>0</v>
      </c>
      <c r="J53" s="68">
        <v>1250.0</v>
      </c>
      <c r="K53" s="66">
        <f t="shared" si="113"/>
        <v>1495.68</v>
      </c>
      <c r="L53" s="69">
        <f t="shared" si="114"/>
        <v>19588.92324</v>
      </c>
      <c r="M53" s="70" t="str">
        <f t="shared" si="115"/>
        <v>#DIV/0!</v>
      </c>
      <c r="N53" s="71">
        <f t="shared" si="116"/>
        <v>-19588.92324</v>
      </c>
      <c r="O53" s="66">
        <f t="shared" si="117"/>
        <v>0</v>
      </c>
      <c r="P53" s="78"/>
      <c r="Q53" s="73">
        <f t="shared" si="118"/>
        <v>0</v>
      </c>
      <c r="R53" s="74"/>
      <c r="S53" s="75"/>
      <c r="T53" s="66"/>
      <c r="U53" s="66"/>
      <c r="V53" s="66"/>
      <c r="W53" s="66"/>
      <c r="X53" s="68"/>
      <c r="Y53" s="66"/>
      <c r="Z53" s="69">
        <f t="shared" si="124"/>
        <v>0</v>
      </c>
      <c r="AA53" s="70"/>
      <c r="AB53" s="71"/>
      <c r="AC53" s="66"/>
      <c r="AD53" s="78"/>
      <c r="AE53" s="73"/>
      <c r="AF53" s="76"/>
      <c r="AG53" s="75"/>
      <c r="AH53" s="66"/>
      <c r="AI53" s="66"/>
      <c r="AJ53" s="66"/>
      <c r="AK53" s="66"/>
      <c r="AL53" s="68"/>
      <c r="AM53" s="66"/>
      <c r="AN53" s="69"/>
      <c r="AO53" s="70"/>
      <c r="AP53" s="71"/>
      <c r="AQ53" s="66"/>
      <c r="AR53" s="78"/>
      <c r="AS53" s="73"/>
    </row>
    <row r="54">
      <c r="A54" s="104" t="s">
        <v>78</v>
      </c>
      <c r="B54" s="66">
        <f>B9*3+B5*3</f>
        <v>40050</v>
      </c>
      <c r="C54" s="65">
        <f t="shared" si="107"/>
        <v>32841</v>
      </c>
      <c r="D54" s="66">
        <f t="shared" si="108"/>
        <v>29586.48649</v>
      </c>
      <c r="E54" s="67">
        <v>1.0</v>
      </c>
      <c r="F54" s="66">
        <f t="shared" si="109"/>
        <v>6313</v>
      </c>
      <c r="G54" s="66">
        <f t="shared" si="110"/>
        <v>4280</v>
      </c>
      <c r="H54" s="66">
        <f t="shared" si="111"/>
        <v>2407.5</v>
      </c>
      <c r="I54" s="66">
        <f t="shared" si="112"/>
        <v>963</v>
      </c>
      <c r="J54" s="68">
        <v>1250.0</v>
      </c>
      <c r="K54" s="66">
        <f t="shared" si="113"/>
        <v>2627.28</v>
      </c>
      <c r="L54" s="69">
        <f t="shared" si="114"/>
        <v>47427.26649</v>
      </c>
      <c r="M54" s="70">
        <f t="shared" si="115"/>
        <v>0.01599503178</v>
      </c>
      <c r="N54" s="71">
        <f t="shared" si="116"/>
        <v>770.9317117</v>
      </c>
      <c r="O54" s="66">
        <f t="shared" si="117"/>
        <v>48198.1982</v>
      </c>
      <c r="P54" s="78">
        <v>53500.0</v>
      </c>
      <c r="Q54" s="73">
        <f t="shared" si="118"/>
        <v>53500</v>
      </c>
      <c r="R54" s="74"/>
      <c r="S54" s="75"/>
      <c r="T54" s="66"/>
      <c r="U54" s="66"/>
      <c r="V54" s="66"/>
      <c r="W54" s="66"/>
      <c r="X54" s="68"/>
      <c r="Y54" s="66"/>
      <c r="Z54" s="69">
        <f t="shared" si="124"/>
        <v>0</v>
      </c>
      <c r="AA54" s="70"/>
      <c r="AB54" s="71"/>
      <c r="AC54" s="66"/>
      <c r="AD54" s="78"/>
      <c r="AE54" s="73"/>
      <c r="AF54" s="76"/>
      <c r="AG54" s="75"/>
      <c r="AH54" s="66"/>
      <c r="AI54" s="66"/>
      <c r="AJ54" s="66"/>
      <c r="AK54" s="66"/>
      <c r="AL54" s="68"/>
      <c r="AM54" s="66"/>
      <c r="AN54" s="69"/>
      <c r="AO54" s="70"/>
      <c r="AP54" s="71"/>
      <c r="AQ54" s="66"/>
      <c r="AR54" s="78"/>
      <c r="AS54" s="73"/>
    </row>
    <row r="55">
      <c r="A55" s="104" t="s">
        <v>79</v>
      </c>
      <c r="B55" s="66">
        <f>B9*3+B5*3</f>
        <v>40050</v>
      </c>
      <c r="C55" s="65">
        <f t="shared" si="107"/>
        <v>32841</v>
      </c>
      <c r="D55" s="66">
        <f t="shared" si="108"/>
        <v>29586.48649</v>
      </c>
      <c r="E55" s="67">
        <v>1.0</v>
      </c>
      <c r="F55" s="66">
        <f t="shared" si="109"/>
        <v>6431</v>
      </c>
      <c r="G55" s="66">
        <f t="shared" si="110"/>
        <v>4360</v>
      </c>
      <c r="H55" s="66">
        <f t="shared" si="111"/>
        <v>2452.5</v>
      </c>
      <c r="I55" s="66">
        <f t="shared" si="112"/>
        <v>981</v>
      </c>
      <c r="J55" s="68">
        <v>1250.0</v>
      </c>
      <c r="K55" s="66">
        <f t="shared" si="113"/>
        <v>2627.28</v>
      </c>
      <c r="L55" s="69">
        <f t="shared" si="114"/>
        <v>47688.26649</v>
      </c>
      <c r="M55" s="70">
        <f t="shared" si="115"/>
        <v>0.02873438899</v>
      </c>
      <c r="N55" s="71">
        <f t="shared" si="116"/>
        <v>1410.832613</v>
      </c>
      <c r="O55" s="66">
        <f t="shared" si="117"/>
        <v>49099.0991</v>
      </c>
      <c r="P55" s="78">
        <v>54500.0</v>
      </c>
      <c r="Q55" s="73">
        <f t="shared" si="118"/>
        <v>54500</v>
      </c>
      <c r="R55" s="74"/>
      <c r="S55" s="75"/>
      <c r="T55" s="66"/>
      <c r="U55" s="66"/>
      <c r="V55" s="66"/>
      <c r="W55" s="66"/>
      <c r="X55" s="68"/>
      <c r="Y55" s="66"/>
      <c r="Z55" s="69">
        <f t="shared" si="124"/>
        <v>0</v>
      </c>
      <c r="AA55" s="70"/>
      <c r="AB55" s="71"/>
      <c r="AC55" s="66"/>
      <c r="AD55" s="78"/>
      <c r="AE55" s="73"/>
      <c r="AF55" s="76"/>
      <c r="AG55" s="75"/>
      <c r="AH55" s="66"/>
      <c r="AI55" s="66"/>
      <c r="AJ55" s="66"/>
      <c r="AK55" s="66"/>
      <c r="AL55" s="68"/>
      <c r="AM55" s="66"/>
      <c r="AN55" s="69"/>
      <c r="AO55" s="70"/>
      <c r="AP55" s="71"/>
      <c r="AQ55" s="66"/>
      <c r="AR55" s="78"/>
      <c r="AS55" s="73"/>
    </row>
    <row r="56">
      <c r="A56" s="104" t="s">
        <v>80</v>
      </c>
      <c r="B56" s="66">
        <f>B9*3+B7*3</f>
        <v>42300</v>
      </c>
      <c r="C56" s="65">
        <f t="shared" si="107"/>
        <v>34686</v>
      </c>
      <c r="D56" s="66">
        <f t="shared" si="108"/>
        <v>31248.64865</v>
      </c>
      <c r="E56" s="67">
        <v>1.0</v>
      </c>
      <c r="F56" s="66">
        <f t="shared" si="109"/>
        <v>6749.6</v>
      </c>
      <c r="G56" s="66">
        <f t="shared" si="110"/>
        <v>4576</v>
      </c>
      <c r="H56" s="66">
        <f t="shared" si="111"/>
        <v>2574</v>
      </c>
      <c r="I56" s="66">
        <f t="shared" si="112"/>
        <v>1029.6</v>
      </c>
      <c r="J56" s="68">
        <v>1250.0</v>
      </c>
      <c r="K56" s="66">
        <f t="shared" si="113"/>
        <v>2774.88</v>
      </c>
      <c r="L56" s="69">
        <f t="shared" si="114"/>
        <v>50202.72865</v>
      </c>
      <c r="M56" s="70">
        <f t="shared" si="115"/>
        <v>0.02578620979</v>
      </c>
      <c r="N56" s="71">
        <f t="shared" si="116"/>
        <v>1328.802883</v>
      </c>
      <c r="O56" s="66">
        <f t="shared" si="117"/>
        <v>51531.53153</v>
      </c>
      <c r="P56" s="78">
        <v>57200.0</v>
      </c>
      <c r="Q56" s="73">
        <f t="shared" si="118"/>
        <v>57200</v>
      </c>
      <c r="R56" s="74"/>
      <c r="S56" s="75"/>
      <c r="T56" s="66"/>
      <c r="U56" s="66"/>
      <c r="V56" s="66"/>
      <c r="W56" s="66"/>
      <c r="X56" s="68"/>
      <c r="Y56" s="66"/>
      <c r="Z56" s="69">
        <f t="shared" si="124"/>
        <v>0</v>
      </c>
      <c r="AA56" s="70"/>
      <c r="AB56" s="71"/>
      <c r="AC56" s="66"/>
      <c r="AD56" s="78"/>
      <c r="AE56" s="73"/>
      <c r="AF56" s="76"/>
      <c r="AG56" s="75"/>
      <c r="AH56" s="66"/>
      <c r="AI56" s="66"/>
      <c r="AJ56" s="66"/>
      <c r="AK56" s="66"/>
      <c r="AL56" s="68"/>
      <c r="AM56" s="66"/>
      <c r="AN56" s="69"/>
      <c r="AO56" s="70"/>
      <c r="AP56" s="71"/>
      <c r="AQ56" s="66"/>
      <c r="AR56" s="78"/>
      <c r="AS56" s="73"/>
    </row>
    <row r="57">
      <c r="A57" s="104" t="s">
        <v>81</v>
      </c>
      <c r="B57" s="66">
        <f>B9*4+B13</f>
        <v>45900</v>
      </c>
      <c r="C57" s="65">
        <f t="shared" si="107"/>
        <v>37638</v>
      </c>
      <c r="D57" s="66">
        <f t="shared" si="108"/>
        <v>33908.10811</v>
      </c>
      <c r="E57" s="67">
        <v>1.0</v>
      </c>
      <c r="F57" s="66">
        <f t="shared" si="109"/>
        <v>7257</v>
      </c>
      <c r="G57" s="66">
        <f t="shared" si="110"/>
        <v>4920</v>
      </c>
      <c r="H57" s="66">
        <f t="shared" si="111"/>
        <v>2767.5</v>
      </c>
      <c r="I57" s="66">
        <f t="shared" si="112"/>
        <v>1107</v>
      </c>
      <c r="J57" s="68">
        <v>1250.0</v>
      </c>
      <c r="K57" s="66">
        <f t="shared" si="113"/>
        <v>3011.04</v>
      </c>
      <c r="L57" s="69">
        <f t="shared" si="114"/>
        <v>54220.64811</v>
      </c>
      <c r="M57" s="70">
        <f t="shared" si="115"/>
        <v>0.02138342439</v>
      </c>
      <c r="N57" s="71">
        <f t="shared" si="116"/>
        <v>1184.757297</v>
      </c>
      <c r="O57" s="66">
        <f t="shared" si="117"/>
        <v>55405.40541</v>
      </c>
      <c r="P57" s="78">
        <v>61500.0</v>
      </c>
      <c r="Q57" s="73">
        <f t="shared" si="118"/>
        <v>61500</v>
      </c>
      <c r="R57" s="74"/>
      <c r="S57" s="75"/>
      <c r="T57" s="66"/>
      <c r="U57" s="66"/>
      <c r="V57" s="66"/>
      <c r="W57" s="66"/>
      <c r="X57" s="68"/>
      <c r="Y57" s="66"/>
      <c r="Z57" s="69">
        <f t="shared" si="124"/>
        <v>0</v>
      </c>
      <c r="AA57" s="70"/>
      <c r="AB57" s="71"/>
      <c r="AC57" s="66"/>
      <c r="AD57" s="78"/>
      <c r="AE57" s="73"/>
      <c r="AF57" s="76"/>
      <c r="AG57" s="75"/>
      <c r="AH57" s="66"/>
      <c r="AI57" s="66"/>
      <c r="AJ57" s="66"/>
      <c r="AK57" s="66"/>
      <c r="AL57" s="68"/>
      <c r="AM57" s="66"/>
      <c r="AN57" s="69"/>
      <c r="AO57" s="70"/>
      <c r="AP57" s="71"/>
      <c r="AQ57" s="66"/>
      <c r="AR57" s="78"/>
      <c r="AS57" s="73"/>
    </row>
    <row r="58">
      <c r="A58" s="104" t="s">
        <v>82</v>
      </c>
      <c r="B58" s="66">
        <f>B8*4+B13</f>
        <v>105900</v>
      </c>
      <c r="C58" s="65">
        <f t="shared" si="107"/>
        <v>86838</v>
      </c>
      <c r="D58" s="66">
        <f t="shared" si="108"/>
        <v>78232.43243</v>
      </c>
      <c r="E58" s="67">
        <v>1.0</v>
      </c>
      <c r="F58" s="66">
        <f t="shared" si="109"/>
        <v>0</v>
      </c>
      <c r="G58" s="66">
        <f t="shared" si="110"/>
        <v>0</v>
      </c>
      <c r="H58" s="66">
        <f t="shared" si="111"/>
        <v>0</v>
      </c>
      <c r="I58" s="66">
        <f t="shared" si="112"/>
        <v>0</v>
      </c>
      <c r="J58" s="68">
        <v>1250.0</v>
      </c>
      <c r="K58" s="66">
        <f t="shared" si="113"/>
        <v>6947.04</v>
      </c>
      <c r="L58" s="69">
        <f t="shared" si="114"/>
        <v>86429.47243</v>
      </c>
      <c r="M58" s="70" t="str">
        <f t="shared" si="115"/>
        <v>#DIV/0!</v>
      </c>
      <c r="N58" s="71">
        <f t="shared" si="116"/>
        <v>-86429.47243</v>
      </c>
      <c r="O58" s="66">
        <f t="shared" si="117"/>
        <v>0</v>
      </c>
      <c r="P58" s="78"/>
      <c r="Q58" s="73">
        <f t="shared" si="118"/>
        <v>0</v>
      </c>
      <c r="R58" s="74"/>
      <c r="S58" s="75"/>
      <c r="T58" s="66"/>
      <c r="U58" s="66"/>
      <c r="V58" s="66"/>
      <c r="W58" s="66"/>
      <c r="X58" s="68"/>
      <c r="Y58" s="66"/>
      <c r="Z58" s="69">
        <f t="shared" si="124"/>
        <v>0</v>
      </c>
      <c r="AA58" s="70"/>
      <c r="AB58" s="71"/>
      <c r="AC58" s="66"/>
      <c r="AD58" s="78"/>
      <c r="AE58" s="73"/>
      <c r="AF58" s="76"/>
      <c r="AG58" s="75"/>
      <c r="AH58" s="66"/>
      <c r="AI58" s="66"/>
      <c r="AJ58" s="66"/>
      <c r="AK58" s="66"/>
      <c r="AL58" s="68"/>
      <c r="AM58" s="66"/>
      <c r="AN58" s="69"/>
      <c r="AO58" s="70"/>
      <c r="AP58" s="71"/>
      <c r="AQ58" s="66"/>
      <c r="AR58" s="78"/>
      <c r="AS58" s="73"/>
    </row>
    <row r="59">
      <c r="A59" s="105"/>
      <c r="B59" s="66"/>
      <c r="C59" s="65">
        <f t="shared" si="107"/>
        <v>0</v>
      </c>
      <c r="D59" s="66">
        <f t="shared" si="108"/>
        <v>0</v>
      </c>
      <c r="E59" s="67">
        <v>1.0</v>
      </c>
      <c r="F59" s="66">
        <f t="shared" si="109"/>
        <v>0</v>
      </c>
      <c r="G59" s="66">
        <f t="shared" si="110"/>
        <v>0</v>
      </c>
      <c r="H59" s="66">
        <f t="shared" si="111"/>
        <v>0</v>
      </c>
      <c r="I59" s="66">
        <f t="shared" si="112"/>
        <v>0</v>
      </c>
      <c r="J59" s="68">
        <v>1250.0</v>
      </c>
      <c r="K59" s="66">
        <f t="shared" si="113"/>
        <v>0</v>
      </c>
      <c r="L59" s="69">
        <f t="shared" si="114"/>
        <v>1250</v>
      </c>
      <c r="M59" s="70" t="str">
        <f t="shared" si="115"/>
        <v>#DIV/0!</v>
      </c>
      <c r="N59" s="71">
        <f t="shared" si="116"/>
        <v>-1250</v>
      </c>
      <c r="O59" s="66">
        <f t="shared" si="117"/>
        <v>0</v>
      </c>
      <c r="P59" s="78"/>
      <c r="Q59" s="73">
        <f t="shared" si="118"/>
        <v>0</v>
      </c>
      <c r="R59" s="74"/>
      <c r="S59" s="75"/>
      <c r="T59" s="66"/>
      <c r="U59" s="66"/>
      <c r="V59" s="66"/>
      <c r="W59" s="66"/>
      <c r="X59" s="68"/>
      <c r="Y59" s="66"/>
      <c r="Z59" s="69">
        <f t="shared" si="124"/>
        <v>0</v>
      </c>
      <c r="AA59" s="70"/>
      <c r="AB59" s="71"/>
      <c r="AC59" s="66"/>
      <c r="AD59" s="78"/>
      <c r="AE59" s="73"/>
      <c r="AF59" s="76"/>
      <c r="AG59" s="75"/>
      <c r="AH59" s="66"/>
      <c r="AI59" s="66"/>
      <c r="AJ59" s="66"/>
      <c r="AK59" s="66"/>
      <c r="AL59" s="68"/>
      <c r="AM59" s="66"/>
      <c r="AN59" s="69"/>
      <c r="AO59" s="70"/>
      <c r="AP59" s="71"/>
      <c r="AQ59" s="66"/>
      <c r="AR59" s="78"/>
      <c r="AS59" s="73"/>
    </row>
    <row r="60">
      <c r="A60" s="104" t="s">
        <v>83</v>
      </c>
      <c r="B60" s="66">
        <f>B9*5+B13</f>
        <v>55900</v>
      </c>
      <c r="C60" s="65">
        <f t="shared" si="107"/>
        <v>45838</v>
      </c>
      <c r="D60" s="66">
        <f t="shared" si="108"/>
        <v>41295.4955</v>
      </c>
      <c r="E60" s="67">
        <v>1.0</v>
      </c>
      <c r="F60" s="66">
        <f t="shared" si="109"/>
        <v>0</v>
      </c>
      <c r="G60" s="66">
        <f t="shared" si="110"/>
        <v>0</v>
      </c>
      <c r="H60" s="66">
        <f t="shared" si="111"/>
        <v>0</v>
      </c>
      <c r="I60" s="66">
        <f t="shared" si="112"/>
        <v>0</v>
      </c>
      <c r="J60" s="68">
        <v>1250.0</v>
      </c>
      <c r="K60" s="66">
        <f t="shared" si="113"/>
        <v>3667.04</v>
      </c>
      <c r="L60" s="69">
        <f t="shared" si="114"/>
        <v>46212.5355</v>
      </c>
      <c r="M60" s="70" t="str">
        <f t="shared" si="115"/>
        <v>#DIV/0!</v>
      </c>
      <c r="N60" s="71">
        <f t="shared" si="116"/>
        <v>-46212.5355</v>
      </c>
      <c r="O60" s="66">
        <f t="shared" si="117"/>
        <v>0</v>
      </c>
      <c r="P60" s="78"/>
      <c r="Q60" s="73">
        <f t="shared" si="118"/>
        <v>0</v>
      </c>
      <c r="R60" s="74"/>
      <c r="S60" s="75"/>
      <c r="T60" s="66"/>
      <c r="U60" s="66"/>
      <c r="V60" s="66"/>
      <c r="W60" s="66"/>
      <c r="X60" s="68"/>
      <c r="Y60" s="66"/>
      <c r="Z60" s="69">
        <f t="shared" si="124"/>
        <v>0</v>
      </c>
      <c r="AA60" s="70"/>
      <c r="AB60" s="71"/>
      <c r="AC60" s="66"/>
      <c r="AD60" s="78"/>
      <c r="AE60" s="73"/>
      <c r="AF60" s="76"/>
      <c r="AG60" s="75"/>
      <c r="AH60" s="66"/>
      <c r="AI60" s="66"/>
      <c r="AJ60" s="66"/>
      <c r="AK60" s="66"/>
      <c r="AL60" s="68"/>
      <c r="AM60" s="66"/>
      <c r="AN60" s="69"/>
      <c r="AO60" s="70"/>
      <c r="AP60" s="71"/>
      <c r="AQ60" s="66"/>
      <c r="AR60" s="78"/>
      <c r="AS60" s="73"/>
    </row>
    <row r="61">
      <c r="A61" s="104" t="s">
        <v>84</v>
      </c>
      <c r="B61" s="66">
        <f>B12*4+B13</f>
        <v>297900</v>
      </c>
      <c r="C61" s="65">
        <f t="shared" si="107"/>
        <v>244278</v>
      </c>
      <c r="D61" s="66">
        <f t="shared" si="108"/>
        <v>220070.2703</v>
      </c>
      <c r="E61" s="67">
        <v>1.0</v>
      </c>
      <c r="F61" s="66">
        <f t="shared" si="109"/>
        <v>0</v>
      </c>
      <c r="G61" s="66">
        <f t="shared" si="110"/>
        <v>0</v>
      </c>
      <c r="H61" s="66">
        <f t="shared" si="111"/>
        <v>0</v>
      </c>
      <c r="I61" s="66">
        <f t="shared" si="112"/>
        <v>0</v>
      </c>
      <c r="J61" s="68">
        <v>1250.0</v>
      </c>
      <c r="K61" s="66">
        <f t="shared" si="113"/>
        <v>19542.24</v>
      </c>
      <c r="L61" s="69">
        <f t="shared" si="114"/>
        <v>240862.5103</v>
      </c>
      <c r="M61" s="70" t="str">
        <f t="shared" si="115"/>
        <v>#DIV/0!</v>
      </c>
      <c r="N61" s="71">
        <f t="shared" si="116"/>
        <v>-240862.5103</v>
      </c>
      <c r="O61" s="66">
        <f t="shared" si="117"/>
        <v>0</v>
      </c>
      <c r="P61" s="78"/>
      <c r="Q61" s="73">
        <f t="shared" si="118"/>
        <v>0</v>
      </c>
      <c r="R61" s="74"/>
      <c r="S61" s="75"/>
      <c r="T61" s="66"/>
      <c r="U61" s="66"/>
      <c r="V61" s="66"/>
      <c r="W61" s="66"/>
      <c r="X61" s="68"/>
      <c r="Y61" s="66"/>
      <c r="Z61" s="69">
        <f t="shared" si="124"/>
        <v>0</v>
      </c>
      <c r="AA61" s="70"/>
      <c r="AB61" s="71"/>
      <c r="AC61" s="66"/>
      <c r="AD61" s="78"/>
      <c r="AE61" s="73"/>
      <c r="AF61" s="76"/>
      <c r="AG61" s="75"/>
      <c r="AH61" s="66"/>
      <c r="AI61" s="66"/>
      <c r="AJ61" s="66"/>
      <c r="AK61" s="66"/>
      <c r="AL61" s="68"/>
      <c r="AM61" s="66"/>
      <c r="AN61" s="69"/>
      <c r="AO61" s="70"/>
      <c r="AP61" s="71"/>
      <c r="AQ61" s="66"/>
      <c r="AR61" s="78"/>
      <c r="AS61" s="73"/>
    </row>
    <row r="62">
      <c r="A62" s="104" t="s">
        <v>85</v>
      </c>
      <c r="B62" s="66">
        <f>B10*4+B13</f>
        <v>65900</v>
      </c>
      <c r="C62" s="65">
        <f t="shared" si="107"/>
        <v>54038</v>
      </c>
      <c r="D62" s="66">
        <f t="shared" si="108"/>
        <v>48682.88288</v>
      </c>
      <c r="E62" s="67">
        <v>1.0</v>
      </c>
      <c r="F62" s="66">
        <f t="shared" si="109"/>
        <v>0</v>
      </c>
      <c r="G62" s="66">
        <f t="shared" si="110"/>
        <v>0</v>
      </c>
      <c r="H62" s="66">
        <f t="shared" si="111"/>
        <v>0</v>
      </c>
      <c r="I62" s="66">
        <f t="shared" si="112"/>
        <v>0</v>
      </c>
      <c r="J62" s="68">
        <v>1250.0</v>
      </c>
      <c r="K62" s="66">
        <f t="shared" si="113"/>
        <v>4323.04</v>
      </c>
      <c r="L62" s="69">
        <f t="shared" si="114"/>
        <v>54255.92288</v>
      </c>
      <c r="M62" s="70" t="str">
        <f t="shared" si="115"/>
        <v>#DIV/0!</v>
      </c>
      <c r="N62" s="71">
        <f t="shared" si="116"/>
        <v>-54255.92288</v>
      </c>
      <c r="O62" s="66">
        <f t="shared" si="117"/>
        <v>0</v>
      </c>
      <c r="P62" s="78"/>
      <c r="Q62" s="73">
        <f t="shared" si="118"/>
        <v>0</v>
      </c>
      <c r="R62" s="74"/>
      <c r="S62" s="75"/>
      <c r="T62" s="66"/>
      <c r="U62" s="66"/>
      <c r="V62" s="66"/>
      <c r="W62" s="66"/>
      <c r="X62" s="68"/>
      <c r="Y62" s="66"/>
      <c r="Z62" s="69"/>
      <c r="AA62" s="70"/>
      <c r="AB62" s="71"/>
      <c r="AC62" s="66"/>
      <c r="AD62" s="78"/>
      <c r="AE62" s="73"/>
      <c r="AF62" s="76"/>
      <c r="AG62" s="75"/>
      <c r="AH62" s="66"/>
      <c r="AI62" s="66"/>
      <c r="AJ62" s="66"/>
      <c r="AK62" s="66"/>
      <c r="AL62" s="68"/>
      <c r="AM62" s="66"/>
      <c r="AN62" s="69"/>
      <c r="AO62" s="70"/>
      <c r="AP62" s="71"/>
      <c r="AQ62" s="66"/>
      <c r="AR62" s="78"/>
      <c r="AS62" s="73"/>
    </row>
    <row r="63">
      <c r="A63" s="104" t="s">
        <v>86</v>
      </c>
      <c r="B63" s="66">
        <f>B11*4+B13</f>
        <v>77900</v>
      </c>
      <c r="C63" s="65">
        <f t="shared" si="107"/>
        <v>63878</v>
      </c>
      <c r="D63" s="66">
        <f t="shared" si="108"/>
        <v>57547.74775</v>
      </c>
      <c r="E63" s="67">
        <v>1.0</v>
      </c>
      <c r="F63" s="66">
        <f t="shared" si="109"/>
        <v>0</v>
      </c>
      <c r="G63" s="66">
        <f t="shared" si="110"/>
        <v>0</v>
      </c>
      <c r="H63" s="66">
        <f t="shared" si="111"/>
        <v>0</v>
      </c>
      <c r="I63" s="66">
        <f t="shared" si="112"/>
        <v>0</v>
      </c>
      <c r="J63" s="68">
        <v>1250.0</v>
      </c>
      <c r="K63" s="66">
        <f t="shared" si="113"/>
        <v>5110.24</v>
      </c>
      <c r="L63" s="69">
        <f t="shared" si="114"/>
        <v>63907.98775</v>
      </c>
      <c r="M63" s="70" t="str">
        <f t="shared" si="115"/>
        <v>#DIV/0!</v>
      </c>
      <c r="N63" s="71">
        <f t="shared" si="116"/>
        <v>-63907.98775</v>
      </c>
      <c r="O63" s="66">
        <f t="shared" si="117"/>
        <v>0</v>
      </c>
      <c r="P63" s="78"/>
      <c r="Q63" s="73">
        <f t="shared" si="118"/>
        <v>0</v>
      </c>
      <c r="R63" s="74"/>
      <c r="S63" s="75"/>
      <c r="T63" s="66"/>
      <c r="U63" s="66"/>
      <c r="V63" s="66"/>
      <c r="W63" s="66"/>
      <c r="X63" s="68"/>
      <c r="Y63" s="66"/>
      <c r="Z63" s="69"/>
      <c r="AA63" s="70"/>
      <c r="AB63" s="71"/>
      <c r="AC63" s="66"/>
      <c r="AD63" s="78"/>
      <c r="AE63" s="73"/>
      <c r="AF63" s="76"/>
      <c r="AG63" s="75"/>
      <c r="AH63" s="66"/>
      <c r="AI63" s="66"/>
      <c r="AJ63" s="66"/>
      <c r="AK63" s="66"/>
      <c r="AL63" s="68"/>
      <c r="AM63" s="66"/>
      <c r="AN63" s="69"/>
      <c r="AO63" s="70"/>
      <c r="AP63" s="71"/>
      <c r="AQ63" s="66"/>
      <c r="AR63" s="78"/>
      <c r="AS63" s="73"/>
    </row>
    <row r="64">
      <c r="A64" s="104"/>
      <c r="B64" s="66"/>
      <c r="C64" s="65">
        <f t="shared" si="107"/>
        <v>0</v>
      </c>
      <c r="D64" s="66">
        <f t="shared" si="108"/>
        <v>0</v>
      </c>
      <c r="E64" s="67">
        <v>1.0</v>
      </c>
      <c r="F64" s="66">
        <f t="shared" si="109"/>
        <v>0</v>
      </c>
      <c r="G64" s="66">
        <f t="shared" si="110"/>
        <v>0</v>
      </c>
      <c r="H64" s="66">
        <f t="shared" si="111"/>
        <v>0</v>
      </c>
      <c r="I64" s="66">
        <f t="shared" si="112"/>
        <v>0</v>
      </c>
      <c r="J64" s="68">
        <v>1250.0</v>
      </c>
      <c r="K64" s="66">
        <f t="shared" si="113"/>
        <v>0</v>
      </c>
      <c r="L64" s="69">
        <f t="shared" si="114"/>
        <v>1250</v>
      </c>
      <c r="M64" s="70" t="str">
        <f t="shared" si="115"/>
        <v>#DIV/0!</v>
      </c>
      <c r="N64" s="71">
        <f t="shared" si="116"/>
        <v>-1250</v>
      </c>
      <c r="O64" s="66">
        <f t="shared" si="117"/>
        <v>0</v>
      </c>
      <c r="P64" s="78"/>
      <c r="Q64" s="73">
        <f t="shared" si="118"/>
        <v>0</v>
      </c>
      <c r="R64" s="74"/>
      <c r="S64" s="75"/>
      <c r="T64" s="66"/>
      <c r="U64" s="66"/>
      <c r="V64" s="66"/>
      <c r="W64" s="66"/>
      <c r="X64" s="68"/>
      <c r="Y64" s="66"/>
      <c r="Z64" s="69"/>
      <c r="AA64" s="70"/>
      <c r="AB64" s="71"/>
      <c r="AC64" s="66"/>
      <c r="AD64" s="78"/>
      <c r="AE64" s="73"/>
      <c r="AF64" s="76"/>
      <c r="AG64" s="75"/>
      <c r="AH64" s="66"/>
      <c r="AI64" s="66"/>
      <c r="AJ64" s="66"/>
      <c r="AK64" s="66"/>
      <c r="AL64" s="68"/>
      <c r="AM64" s="66"/>
      <c r="AN64" s="69"/>
      <c r="AO64" s="70"/>
      <c r="AP64" s="71"/>
      <c r="AQ64" s="66"/>
      <c r="AR64" s="78"/>
      <c r="AS64" s="73"/>
    </row>
    <row r="65">
      <c r="A65" s="104"/>
      <c r="B65" s="66"/>
      <c r="C65" s="65">
        <f t="shared" si="107"/>
        <v>0</v>
      </c>
      <c r="D65" s="66">
        <f t="shared" si="108"/>
        <v>0</v>
      </c>
      <c r="E65" s="67">
        <v>1.0</v>
      </c>
      <c r="F65" s="66">
        <f t="shared" si="109"/>
        <v>0</v>
      </c>
      <c r="G65" s="66">
        <f t="shared" si="110"/>
        <v>0</v>
      </c>
      <c r="H65" s="66">
        <f t="shared" si="111"/>
        <v>0</v>
      </c>
      <c r="I65" s="66">
        <f t="shared" si="112"/>
        <v>0</v>
      </c>
      <c r="J65" s="68">
        <v>1250.0</v>
      </c>
      <c r="K65" s="66">
        <f t="shared" si="113"/>
        <v>0</v>
      </c>
      <c r="L65" s="69">
        <f t="shared" si="114"/>
        <v>1250</v>
      </c>
      <c r="M65" s="70" t="str">
        <f t="shared" si="115"/>
        <v>#DIV/0!</v>
      </c>
      <c r="N65" s="71">
        <f t="shared" si="116"/>
        <v>-1250</v>
      </c>
      <c r="O65" s="66">
        <f t="shared" si="117"/>
        <v>0</v>
      </c>
      <c r="P65" s="78"/>
      <c r="Q65" s="73">
        <f t="shared" si="118"/>
        <v>0</v>
      </c>
      <c r="R65" s="74"/>
      <c r="S65" s="75"/>
      <c r="T65" s="66">
        <f t="shared" ref="T65:T69" si="140">AD65*$T$3</f>
        <v>0</v>
      </c>
      <c r="U65" s="66">
        <f t="shared" ref="U65:U69" si="141">AD65*$U$3</f>
        <v>0</v>
      </c>
      <c r="V65" s="66">
        <f t="shared" ref="V65:V69" si="142">AD65*$V$3</f>
        <v>0</v>
      </c>
      <c r="W65" s="66">
        <f t="shared" ref="W65:W69" si="143">AD65*$W$3</f>
        <v>0</v>
      </c>
      <c r="X65" s="68">
        <v>1250.0</v>
      </c>
      <c r="Y65" s="66">
        <f t="shared" ref="Y65:Y69" si="144">R65*$Y$3</f>
        <v>0</v>
      </c>
      <c r="Z65" s="69">
        <f t="shared" ref="Z65:Z69" si="145">(D65*S65)+T65+U65+V65+W65+X65+Y65</f>
        <v>1250</v>
      </c>
      <c r="AA65" s="70" t="str">
        <f t="shared" ref="AA65:AA69" si="146">AB65/AC65</f>
        <v>#DIV/0!</v>
      </c>
      <c r="AB65" s="71">
        <f t="shared" ref="AB65:AB69" si="147">AC65-Z65</f>
        <v>-1250</v>
      </c>
      <c r="AC65" s="66">
        <f t="shared" ref="AC65:AC69" si="148">AD65/$O$4</f>
        <v>0</v>
      </c>
      <c r="AD65" s="78"/>
      <c r="AE65" s="73" t="str">
        <f t="shared" ref="AE65:AE69" si="149">AD65/S65</f>
        <v>#DIV/0!</v>
      </c>
      <c r="AF65" s="76"/>
      <c r="AG65" s="75"/>
      <c r="AH65" s="66">
        <f t="shared" ref="AH65:AH70" si="150">AR65*$AH$3</f>
        <v>0</v>
      </c>
      <c r="AI65" s="66">
        <f t="shared" ref="AI65:AI70" si="151">AR65*$AI$3</f>
        <v>0</v>
      </c>
      <c r="AJ65" s="66">
        <f t="shared" ref="AJ65:AJ70" si="152">AR65*$AJ$3</f>
        <v>0</v>
      </c>
      <c r="AK65" s="66">
        <f t="shared" ref="AK65:AK70" si="153">AR65*$AK$3</f>
        <v>0</v>
      </c>
      <c r="AL65" s="68">
        <v>1250.0</v>
      </c>
      <c r="AM65" s="66">
        <f t="shared" ref="AM65:AM70" si="154">AF65*$AM$3</f>
        <v>0</v>
      </c>
      <c r="AN65" s="69">
        <f t="shared" ref="AN65:AN70" si="155">(R65*AG65)+AH65+AI65+AJ65+AK65+AL65+AM65</f>
        <v>1250</v>
      </c>
      <c r="AO65" s="70" t="str">
        <f t="shared" ref="AO65:AO70" si="156">AP65/AQ65</f>
        <v>#DIV/0!</v>
      </c>
      <c r="AP65" s="71">
        <f t="shared" ref="AP65:AP70" si="157">AQ65-AN65</f>
        <v>-1250</v>
      </c>
      <c r="AQ65" s="66">
        <f t="shared" ref="AQ65:AQ70" si="158">AR65/$O$4</f>
        <v>0</v>
      </c>
      <c r="AR65" s="78"/>
      <c r="AS65" s="73" t="str">
        <f t="shared" ref="AS65:AS70" si="159">AR65/AG65</f>
        <v>#DIV/0!</v>
      </c>
    </row>
    <row r="66">
      <c r="A66" s="106" t="s">
        <v>87</v>
      </c>
      <c r="B66" s="66">
        <f>B6</f>
        <v>3500</v>
      </c>
      <c r="C66" s="65">
        <f t="shared" si="107"/>
        <v>2870</v>
      </c>
      <c r="D66" s="66">
        <f t="shared" si="108"/>
        <v>2585.585586</v>
      </c>
      <c r="E66" s="107">
        <v>55.0</v>
      </c>
      <c r="F66" s="66">
        <f t="shared" si="109"/>
        <v>29913</v>
      </c>
      <c r="G66" s="66">
        <f t="shared" si="110"/>
        <v>20280</v>
      </c>
      <c r="H66" s="66">
        <f t="shared" si="111"/>
        <v>11407.5</v>
      </c>
      <c r="I66" s="66">
        <f t="shared" si="112"/>
        <v>4563</v>
      </c>
      <c r="J66" s="68">
        <v>1250.0</v>
      </c>
      <c r="K66" s="66">
        <f t="shared" si="113"/>
        <v>12628</v>
      </c>
      <c r="L66" s="69">
        <f t="shared" si="114"/>
        <v>222248.7072</v>
      </c>
      <c r="M66" s="70">
        <f t="shared" si="115"/>
        <v>0.02683998028</v>
      </c>
      <c r="N66" s="71">
        <f t="shared" si="116"/>
        <v>6129.671171</v>
      </c>
      <c r="O66" s="66">
        <f t="shared" si="117"/>
        <v>228378.3784</v>
      </c>
      <c r="P66" s="72">
        <v>253500.0</v>
      </c>
      <c r="Q66" s="73">
        <f t="shared" si="118"/>
        <v>4609.090909</v>
      </c>
      <c r="R66" s="74"/>
      <c r="S66" s="75"/>
      <c r="T66" s="66">
        <f t="shared" si="140"/>
        <v>0</v>
      </c>
      <c r="U66" s="66">
        <f t="shared" si="141"/>
        <v>0</v>
      </c>
      <c r="V66" s="66">
        <f t="shared" si="142"/>
        <v>0</v>
      </c>
      <c r="W66" s="66">
        <f t="shared" si="143"/>
        <v>0</v>
      </c>
      <c r="X66" s="68">
        <v>1250.0</v>
      </c>
      <c r="Y66" s="66">
        <f t="shared" si="144"/>
        <v>0</v>
      </c>
      <c r="Z66" s="69">
        <f t="shared" si="145"/>
        <v>1250</v>
      </c>
      <c r="AA66" s="70" t="str">
        <f t="shared" si="146"/>
        <v>#DIV/0!</v>
      </c>
      <c r="AB66" s="71">
        <f t="shared" si="147"/>
        <v>-1250</v>
      </c>
      <c r="AC66" s="66">
        <f t="shared" si="148"/>
        <v>0</v>
      </c>
      <c r="AD66" s="78"/>
      <c r="AE66" s="73" t="str">
        <f t="shared" si="149"/>
        <v>#DIV/0!</v>
      </c>
      <c r="AF66" s="76"/>
      <c r="AG66" s="75"/>
      <c r="AH66" s="66">
        <f t="shared" si="150"/>
        <v>0</v>
      </c>
      <c r="AI66" s="66">
        <f t="shared" si="151"/>
        <v>0</v>
      </c>
      <c r="AJ66" s="66">
        <f t="shared" si="152"/>
        <v>0</v>
      </c>
      <c r="AK66" s="66">
        <f t="shared" si="153"/>
        <v>0</v>
      </c>
      <c r="AL66" s="68">
        <v>1250.0</v>
      </c>
      <c r="AM66" s="66">
        <f t="shared" si="154"/>
        <v>0</v>
      </c>
      <c r="AN66" s="69">
        <f t="shared" si="155"/>
        <v>1250</v>
      </c>
      <c r="AO66" s="70" t="str">
        <f t="shared" si="156"/>
        <v>#DIV/0!</v>
      </c>
      <c r="AP66" s="71">
        <f t="shared" si="157"/>
        <v>-1250</v>
      </c>
      <c r="AQ66" s="66">
        <f t="shared" si="158"/>
        <v>0</v>
      </c>
      <c r="AR66" s="78"/>
      <c r="AS66" s="73" t="str">
        <f t="shared" si="159"/>
        <v>#DIV/0!</v>
      </c>
    </row>
    <row r="67">
      <c r="A67" s="106" t="s">
        <v>88</v>
      </c>
      <c r="B67" s="108">
        <f>B7*25+B13*2</f>
        <v>114300</v>
      </c>
      <c r="C67" s="65">
        <f t="shared" si="107"/>
        <v>93726</v>
      </c>
      <c r="D67" s="66">
        <f t="shared" si="108"/>
        <v>84437.83784</v>
      </c>
      <c r="E67" s="109">
        <v>1.0</v>
      </c>
      <c r="F67" s="66">
        <f t="shared" si="109"/>
        <v>17936</v>
      </c>
      <c r="G67" s="66">
        <f t="shared" si="110"/>
        <v>12160</v>
      </c>
      <c r="H67" s="66">
        <f t="shared" si="111"/>
        <v>6840</v>
      </c>
      <c r="I67" s="66">
        <f t="shared" si="112"/>
        <v>2736</v>
      </c>
      <c r="J67" s="68">
        <v>1250.0</v>
      </c>
      <c r="K67" s="66">
        <f t="shared" si="113"/>
        <v>7498.08</v>
      </c>
      <c r="L67" s="69">
        <f t="shared" si="114"/>
        <v>132857.9178</v>
      </c>
      <c r="M67" s="70">
        <f t="shared" si="115"/>
        <v>0.02978757368</v>
      </c>
      <c r="N67" s="71">
        <f t="shared" si="116"/>
        <v>4079.019099</v>
      </c>
      <c r="O67" s="66">
        <f t="shared" si="117"/>
        <v>136936.9369</v>
      </c>
      <c r="P67" s="78">
        <v>152000.0</v>
      </c>
      <c r="Q67" s="73">
        <f t="shared" si="118"/>
        <v>152000</v>
      </c>
      <c r="R67" s="74"/>
      <c r="S67" s="75"/>
      <c r="T67" s="66">
        <f t="shared" si="140"/>
        <v>0</v>
      </c>
      <c r="U67" s="66">
        <f t="shared" si="141"/>
        <v>0</v>
      </c>
      <c r="V67" s="66">
        <f t="shared" si="142"/>
        <v>0</v>
      </c>
      <c r="W67" s="66">
        <f t="shared" si="143"/>
        <v>0</v>
      </c>
      <c r="X67" s="68">
        <v>1250.0</v>
      </c>
      <c r="Y67" s="66">
        <f t="shared" si="144"/>
        <v>0</v>
      </c>
      <c r="Z67" s="69">
        <f t="shared" si="145"/>
        <v>1250</v>
      </c>
      <c r="AA67" s="70" t="str">
        <f t="shared" si="146"/>
        <v>#DIV/0!</v>
      </c>
      <c r="AB67" s="71">
        <f t="shared" si="147"/>
        <v>-1250</v>
      </c>
      <c r="AC67" s="66">
        <f t="shared" si="148"/>
        <v>0</v>
      </c>
      <c r="AD67" s="78"/>
      <c r="AE67" s="73" t="str">
        <f t="shared" si="149"/>
        <v>#DIV/0!</v>
      </c>
      <c r="AF67" s="76"/>
      <c r="AG67" s="75"/>
      <c r="AH67" s="66">
        <f t="shared" si="150"/>
        <v>0</v>
      </c>
      <c r="AI67" s="66">
        <f t="shared" si="151"/>
        <v>0</v>
      </c>
      <c r="AJ67" s="66">
        <f t="shared" si="152"/>
        <v>0</v>
      </c>
      <c r="AK67" s="66">
        <f t="shared" si="153"/>
        <v>0</v>
      </c>
      <c r="AL67" s="68">
        <v>1250.0</v>
      </c>
      <c r="AM67" s="66">
        <f t="shared" si="154"/>
        <v>0</v>
      </c>
      <c r="AN67" s="69">
        <f t="shared" si="155"/>
        <v>1250</v>
      </c>
      <c r="AO67" s="70" t="str">
        <f t="shared" si="156"/>
        <v>#DIV/0!</v>
      </c>
      <c r="AP67" s="71">
        <f t="shared" si="157"/>
        <v>-1250</v>
      </c>
      <c r="AQ67" s="66">
        <f t="shared" si="158"/>
        <v>0</v>
      </c>
      <c r="AR67" s="78"/>
      <c r="AS67" s="73" t="str">
        <f t="shared" si="159"/>
        <v>#DIV/0!</v>
      </c>
    </row>
    <row r="68">
      <c r="A68" s="106" t="s">
        <v>89</v>
      </c>
      <c r="B68" s="66">
        <f>B15</f>
        <v>3500</v>
      </c>
      <c r="C68" s="65">
        <f t="shared" si="107"/>
        <v>2870</v>
      </c>
      <c r="D68" s="66">
        <f t="shared" si="108"/>
        <v>2585.585586</v>
      </c>
      <c r="E68" s="107">
        <v>55.0</v>
      </c>
      <c r="F68" s="66">
        <f t="shared" si="109"/>
        <v>29913</v>
      </c>
      <c r="G68" s="66">
        <f t="shared" si="110"/>
        <v>20280</v>
      </c>
      <c r="H68" s="66">
        <f t="shared" si="111"/>
        <v>11407.5</v>
      </c>
      <c r="I68" s="66">
        <f t="shared" si="112"/>
        <v>4563</v>
      </c>
      <c r="J68" s="68">
        <v>1250.0</v>
      </c>
      <c r="K68" s="66">
        <f t="shared" si="113"/>
        <v>12628</v>
      </c>
      <c r="L68" s="69">
        <f t="shared" si="114"/>
        <v>222248.7072</v>
      </c>
      <c r="M68" s="70">
        <f t="shared" si="115"/>
        <v>0.02683998028</v>
      </c>
      <c r="N68" s="71">
        <f t="shared" si="116"/>
        <v>6129.671171</v>
      </c>
      <c r="O68" s="66">
        <f t="shared" si="117"/>
        <v>228378.3784</v>
      </c>
      <c r="P68" s="78">
        <v>253500.0</v>
      </c>
      <c r="Q68" s="73">
        <f t="shared" si="118"/>
        <v>4609.090909</v>
      </c>
      <c r="R68" s="74"/>
      <c r="S68" s="75"/>
      <c r="T68" s="66">
        <f t="shared" si="140"/>
        <v>0</v>
      </c>
      <c r="U68" s="66">
        <f t="shared" si="141"/>
        <v>0</v>
      </c>
      <c r="V68" s="66">
        <f t="shared" si="142"/>
        <v>0</v>
      </c>
      <c r="W68" s="66">
        <f t="shared" si="143"/>
        <v>0</v>
      </c>
      <c r="X68" s="68">
        <v>1250.0</v>
      </c>
      <c r="Y68" s="66">
        <f t="shared" si="144"/>
        <v>0</v>
      </c>
      <c r="Z68" s="69">
        <f t="shared" si="145"/>
        <v>1250</v>
      </c>
      <c r="AA68" s="70" t="str">
        <f t="shared" si="146"/>
        <v>#DIV/0!</v>
      </c>
      <c r="AB68" s="71">
        <f t="shared" si="147"/>
        <v>-1250</v>
      </c>
      <c r="AC68" s="66">
        <f t="shared" si="148"/>
        <v>0</v>
      </c>
      <c r="AD68" s="78"/>
      <c r="AE68" s="73" t="str">
        <f t="shared" si="149"/>
        <v>#DIV/0!</v>
      </c>
      <c r="AF68" s="76"/>
      <c r="AG68" s="75"/>
      <c r="AH68" s="66">
        <f t="shared" si="150"/>
        <v>0</v>
      </c>
      <c r="AI68" s="66">
        <f t="shared" si="151"/>
        <v>0</v>
      </c>
      <c r="AJ68" s="66">
        <f t="shared" si="152"/>
        <v>0</v>
      </c>
      <c r="AK68" s="66">
        <f t="shared" si="153"/>
        <v>0</v>
      </c>
      <c r="AL68" s="68">
        <v>1250.0</v>
      </c>
      <c r="AM68" s="66">
        <f t="shared" si="154"/>
        <v>0</v>
      </c>
      <c r="AN68" s="69">
        <f t="shared" si="155"/>
        <v>1250</v>
      </c>
      <c r="AO68" s="70" t="str">
        <f t="shared" si="156"/>
        <v>#DIV/0!</v>
      </c>
      <c r="AP68" s="71">
        <f t="shared" si="157"/>
        <v>-1250</v>
      </c>
      <c r="AQ68" s="66">
        <f t="shared" si="158"/>
        <v>0</v>
      </c>
      <c r="AR68" s="78"/>
      <c r="AS68" s="73" t="str">
        <f t="shared" si="159"/>
        <v>#DIV/0!</v>
      </c>
    </row>
    <row r="69">
      <c r="A69" s="106" t="s">
        <v>90</v>
      </c>
      <c r="B69" s="66">
        <f>B14</f>
        <v>3500</v>
      </c>
      <c r="C69" s="65">
        <f t="shared" si="107"/>
        <v>2870</v>
      </c>
      <c r="D69" s="66">
        <f t="shared" si="108"/>
        <v>2585.585586</v>
      </c>
      <c r="E69" s="107">
        <v>55.0</v>
      </c>
      <c r="F69" s="66">
        <f t="shared" si="109"/>
        <v>29913</v>
      </c>
      <c r="G69" s="66">
        <f t="shared" si="110"/>
        <v>20280</v>
      </c>
      <c r="H69" s="66">
        <f t="shared" si="111"/>
        <v>11407.5</v>
      </c>
      <c r="I69" s="66">
        <f t="shared" si="112"/>
        <v>4563</v>
      </c>
      <c r="J69" s="68">
        <v>1250.0</v>
      </c>
      <c r="K69" s="66">
        <f t="shared" si="113"/>
        <v>12628</v>
      </c>
      <c r="L69" s="69">
        <f t="shared" si="114"/>
        <v>222248.7072</v>
      </c>
      <c r="M69" s="70">
        <f t="shared" si="115"/>
        <v>0.02683998028</v>
      </c>
      <c r="N69" s="71">
        <f t="shared" si="116"/>
        <v>6129.671171</v>
      </c>
      <c r="O69" s="66">
        <f t="shared" si="117"/>
        <v>228378.3784</v>
      </c>
      <c r="P69" s="78">
        <v>253500.0</v>
      </c>
      <c r="Q69" s="73">
        <f t="shared" si="118"/>
        <v>4609.090909</v>
      </c>
      <c r="R69" s="74"/>
      <c r="S69" s="75"/>
      <c r="T69" s="66">
        <f t="shared" si="140"/>
        <v>0</v>
      </c>
      <c r="U69" s="66">
        <f t="shared" si="141"/>
        <v>0</v>
      </c>
      <c r="V69" s="66">
        <f t="shared" si="142"/>
        <v>0</v>
      </c>
      <c r="W69" s="66">
        <f t="shared" si="143"/>
        <v>0</v>
      </c>
      <c r="X69" s="68">
        <v>1250.0</v>
      </c>
      <c r="Y69" s="66">
        <f t="shared" si="144"/>
        <v>0</v>
      </c>
      <c r="Z69" s="69">
        <f t="shared" si="145"/>
        <v>1250</v>
      </c>
      <c r="AA69" s="70" t="str">
        <f t="shared" si="146"/>
        <v>#DIV/0!</v>
      </c>
      <c r="AB69" s="71">
        <f t="shared" si="147"/>
        <v>-1250</v>
      </c>
      <c r="AC69" s="66">
        <f t="shared" si="148"/>
        <v>0</v>
      </c>
      <c r="AD69" s="78"/>
      <c r="AE69" s="73" t="str">
        <f t="shared" si="149"/>
        <v>#DIV/0!</v>
      </c>
      <c r="AF69" s="76"/>
      <c r="AG69" s="75"/>
      <c r="AH69" s="66">
        <f t="shared" si="150"/>
        <v>0</v>
      </c>
      <c r="AI69" s="66">
        <f t="shared" si="151"/>
        <v>0</v>
      </c>
      <c r="AJ69" s="66">
        <f t="shared" si="152"/>
        <v>0</v>
      </c>
      <c r="AK69" s="66">
        <f t="shared" si="153"/>
        <v>0</v>
      </c>
      <c r="AL69" s="68">
        <v>1250.0</v>
      </c>
      <c r="AM69" s="66">
        <f t="shared" si="154"/>
        <v>0</v>
      </c>
      <c r="AN69" s="69">
        <f t="shared" si="155"/>
        <v>1250</v>
      </c>
      <c r="AO69" s="70" t="str">
        <f t="shared" si="156"/>
        <v>#DIV/0!</v>
      </c>
      <c r="AP69" s="71">
        <f t="shared" si="157"/>
        <v>-1250</v>
      </c>
      <c r="AQ69" s="66">
        <f t="shared" si="158"/>
        <v>0</v>
      </c>
      <c r="AR69" s="78"/>
      <c r="AS69" s="73" t="str">
        <f t="shared" si="159"/>
        <v>#DIV/0!</v>
      </c>
    </row>
    <row r="70">
      <c r="A70" s="110" t="s">
        <v>91</v>
      </c>
      <c r="B70" s="111">
        <v>900.0</v>
      </c>
      <c r="C70" s="65">
        <f t="shared" si="107"/>
        <v>738</v>
      </c>
      <c r="D70" s="66">
        <f t="shared" si="108"/>
        <v>664.8648649</v>
      </c>
      <c r="E70" s="107">
        <v>1.0</v>
      </c>
      <c r="F70" s="66">
        <f t="shared" si="109"/>
        <v>590</v>
      </c>
      <c r="G70" s="66">
        <f t="shared" si="110"/>
        <v>400</v>
      </c>
      <c r="H70" s="66">
        <f t="shared" si="111"/>
        <v>225</v>
      </c>
      <c r="I70" s="66">
        <f t="shared" si="112"/>
        <v>90</v>
      </c>
      <c r="J70" s="68">
        <v>1250.0</v>
      </c>
      <c r="K70" s="66">
        <f t="shared" si="113"/>
        <v>59.04</v>
      </c>
      <c r="L70" s="69">
        <f t="shared" si="114"/>
        <v>3278.904865</v>
      </c>
      <c r="M70" s="70">
        <f t="shared" si="115"/>
        <v>0.27208312</v>
      </c>
      <c r="N70" s="71">
        <f t="shared" si="116"/>
        <v>1225.59964</v>
      </c>
      <c r="O70" s="66">
        <f t="shared" si="117"/>
        <v>4504.504505</v>
      </c>
      <c r="P70" s="78">
        <v>5000.0</v>
      </c>
      <c r="Q70" s="73">
        <f t="shared" si="118"/>
        <v>5000</v>
      </c>
      <c r="R70" s="74"/>
      <c r="S70" s="112"/>
      <c r="AF70" s="76"/>
      <c r="AG70" s="75"/>
      <c r="AH70" s="66">
        <f t="shared" si="150"/>
        <v>0</v>
      </c>
      <c r="AI70" s="66">
        <f t="shared" si="151"/>
        <v>0</v>
      </c>
      <c r="AJ70" s="66">
        <f t="shared" si="152"/>
        <v>0</v>
      </c>
      <c r="AK70" s="66">
        <f t="shared" si="153"/>
        <v>0</v>
      </c>
      <c r="AL70" s="68">
        <v>1250.0</v>
      </c>
      <c r="AM70" s="66">
        <f t="shared" si="154"/>
        <v>0</v>
      </c>
      <c r="AN70" s="69">
        <f t="shared" si="155"/>
        <v>1250</v>
      </c>
      <c r="AO70" s="70" t="str">
        <f t="shared" si="156"/>
        <v>#DIV/0!</v>
      </c>
      <c r="AP70" s="71">
        <f t="shared" si="157"/>
        <v>-1250</v>
      </c>
      <c r="AQ70" s="66">
        <f t="shared" si="158"/>
        <v>0</v>
      </c>
      <c r="AR70" s="78"/>
      <c r="AS70" s="73" t="str">
        <f t="shared" si="159"/>
        <v>#DIV/0!</v>
      </c>
    </row>
    <row r="71">
      <c r="A71" s="110"/>
      <c r="C71" s="65">
        <f t="shared" si="107"/>
        <v>0</v>
      </c>
      <c r="D71" s="66">
        <f t="shared" si="108"/>
        <v>0</v>
      </c>
      <c r="E71" s="113"/>
      <c r="F71" s="66"/>
      <c r="G71" s="66"/>
      <c r="H71" s="66"/>
      <c r="I71" s="66"/>
      <c r="J71" s="68"/>
      <c r="K71" s="66"/>
      <c r="L71" s="69"/>
      <c r="M71" s="70"/>
      <c r="N71" s="71"/>
      <c r="O71" s="66"/>
      <c r="P71" s="78"/>
      <c r="Q71" s="73"/>
      <c r="R71" s="74"/>
      <c r="S71" s="112"/>
      <c r="AF71" s="76"/>
      <c r="AG71" s="75"/>
      <c r="AH71" s="66"/>
      <c r="AI71" s="66"/>
      <c r="AJ71" s="66"/>
      <c r="AK71" s="66"/>
      <c r="AL71" s="68"/>
      <c r="AM71" s="66"/>
      <c r="AN71" s="69"/>
      <c r="AO71" s="70"/>
      <c r="AP71" s="71"/>
      <c r="AQ71" s="66"/>
      <c r="AR71" s="78"/>
      <c r="AS71" s="73"/>
    </row>
    <row r="72">
      <c r="A72" s="110"/>
      <c r="B72" s="111"/>
      <c r="C72" s="65">
        <f t="shared" si="107"/>
        <v>0</v>
      </c>
      <c r="D72" s="66">
        <f t="shared" si="108"/>
        <v>0</v>
      </c>
      <c r="E72" s="113"/>
      <c r="F72" s="66"/>
      <c r="G72" s="66"/>
      <c r="H72" s="66"/>
      <c r="I72" s="66"/>
      <c r="J72" s="68"/>
      <c r="K72" s="66"/>
      <c r="L72" s="69"/>
      <c r="M72" s="70"/>
      <c r="N72" s="71"/>
      <c r="O72" s="66"/>
      <c r="P72" s="78"/>
      <c r="Q72" s="73"/>
      <c r="R72" s="74"/>
      <c r="S72" s="112"/>
      <c r="AF72" s="76"/>
      <c r="AG72" s="75"/>
      <c r="AH72" s="66"/>
      <c r="AI72" s="66"/>
      <c r="AJ72" s="66"/>
      <c r="AK72" s="66"/>
      <c r="AL72" s="68"/>
      <c r="AM72" s="66"/>
      <c r="AN72" s="69"/>
      <c r="AO72" s="70"/>
      <c r="AP72" s="71"/>
      <c r="AQ72" s="66"/>
      <c r="AR72" s="78"/>
      <c r="AS72" s="73"/>
    </row>
    <row r="73" ht="33.0" customHeight="1">
      <c r="A73" s="114" t="s">
        <v>92</v>
      </c>
      <c r="B73" s="115"/>
      <c r="C73" s="116"/>
      <c r="D73" s="117"/>
      <c r="E73" s="118"/>
      <c r="F73" s="117"/>
      <c r="G73" s="117"/>
      <c r="H73" s="117"/>
      <c r="I73" s="117"/>
      <c r="J73" s="119"/>
      <c r="K73" s="117"/>
      <c r="L73" s="117"/>
      <c r="M73" s="120"/>
      <c r="N73" s="117"/>
      <c r="O73" s="117"/>
      <c r="P73" s="119"/>
      <c r="Q73" s="117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15"/>
      <c r="AH73" s="117"/>
      <c r="AI73" s="117"/>
      <c r="AJ73" s="117"/>
      <c r="AK73" s="117"/>
      <c r="AL73" s="119"/>
      <c r="AM73" s="117"/>
      <c r="AN73" s="117"/>
      <c r="AO73" s="120"/>
      <c r="AP73" s="117"/>
      <c r="AQ73" s="117"/>
      <c r="AR73" s="119"/>
      <c r="AS73" s="117"/>
      <c r="AT73" s="121"/>
      <c r="AU73" s="121"/>
      <c r="AV73" s="121"/>
      <c r="AW73" s="121"/>
      <c r="AX73" s="121"/>
      <c r="AY73" s="121"/>
      <c r="AZ73" s="121"/>
      <c r="BA73" s="121"/>
      <c r="BB73" s="121"/>
      <c r="BC73" s="121"/>
    </row>
    <row r="74">
      <c r="A74" s="122"/>
      <c r="B74" s="66"/>
      <c r="C74" s="65"/>
      <c r="D74" s="123"/>
      <c r="E74" s="124"/>
      <c r="L74" s="125"/>
      <c r="N74" s="126"/>
      <c r="P74" s="127"/>
      <c r="Q74" s="128"/>
      <c r="R74" s="74"/>
      <c r="S74" s="112"/>
      <c r="AF74" s="76"/>
    </row>
    <row r="75">
      <c r="A75" s="122" t="s">
        <v>93</v>
      </c>
      <c r="B75" s="66">
        <f>175000/50+2000</f>
        <v>5500</v>
      </c>
      <c r="C75" s="65">
        <f t="shared" ref="C75:C78" si="160">B75</f>
        <v>5500</v>
      </c>
      <c r="D75" s="66">
        <f t="shared" ref="D75:D78" si="161">C75/$D$4</f>
        <v>4954.954955</v>
      </c>
      <c r="E75" s="107">
        <v>10.0</v>
      </c>
      <c r="F75" s="66">
        <f t="shared" ref="F75:F78" si="162">P75*$F$3</f>
        <v>9794</v>
      </c>
      <c r="G75" s="66">
        <f t="shared" ref="G75:G78" si="163">P75*$G$3</f>
        <v>6640</v>
      </c>
      <c r="H75" s="66">
        <f t="shared" ref="H75:H78" si="164">P75*$H$3</f>
        <v>3735</v>
      </c>
      <c r="I75" s="66">
        <f t="shared" ref="I75:I78" si="165">P75*$I$3</f>
        <v>1494</v>
      </c>
      <c r="J75" s="68">
        <v>1250.0</v>
      </c>
      <c r="K75" s="66">
        <f t="shared" ref="K75:K78" si="166">D75*$K$3</f>
        <v>396.3963964</v>
      </c>
      <c r="L75" s="69">
        <f t="shared" ref="L75:L78" si="167">(D75*E75)+F75+G75+H75+I75+J75+K75</f>
        <v>72858.94595</v>
      </c>
      <c r="M75" s="70">
        <f t="shared" ref="M75:M78" si="168">N75/O75</f>
        <v>0.0256213253</v>
      </c>
      <c r="N75" s="71">
        <f t="shared" ref="N75:N78" si="169">O75-L75</f>
        <v>1915.828829</v>
      </c>
      <c r="O75" s="66">
        <f t="shared" ref="O75:O78" si="170">P75/$O$4</f>
        <v>74774.77477</v>
      </c>
      <c r="P75" s="78">
        <v>83000.0</v>
      </c>
      <c r="Q75" s="73">
        <f t="shared" ref="Q75:Q79" si="171">P75/E75</f>
        <v>8300</v>
      </c>
      <c r="R75" s="74"/>
      <c r="S75" s="112"/>
      <c r="AF75" s="76"/>
    </row>
    <row r="76">
      <c r="A76" s="122" t="s">
        <v>94</v>
      </c>
      <c r="B76" s="66">
        <f>187500/25+2000</f>
        <v>9500</v>
      </c>
      <c r="C76" s="65">
        <f t="shared" si="160"/>
        <v>9500</v>
      </c>
      <c r="D76" s="66">
        <f t="shared" si="161"/>
        <v>8558.558559</v>
      </c>
      <c r="E76" s="107">
        <v>10.0</v>
      </c>
      <c r="F76" s="66">
        <f t="shared" si="162"/>
        <v>16402</v>
      </c>
      <c r="G76" s="66">
        <f t="shared" si="163"/>
        <v>11120</v>
      </c>
      <c r="H76" s="66">
        <f t="shared" si="164"/>
        <v>6255</v>
      </c>
      <c r="I76" s="66">
        <f t="shared" si="165"/>
        <v>2502</v>
      </c>
      <c r="J76" s="68">
        <v>1250.0</v>
      </c>
      <c r="K76" s="66">
        <f t="shared" si="166"/>
        <v>684.6846847</v>
      </c>
      <c r="L76" s="69">
        <f t="shared" si="167"/>
        <v>123799.2703</v>
      </c>
      <c r="M76" s="70">
        <f t="shared" si="168"/>
        <v>0.0113871223</v>
      </c>
      <c r="N76" s="71">
        <f t="shared" si="169"/>
        <v>1425.954955</v>
      </c>
      <c r="O76" s="66">
        <f t="shared" si="170"/>
        <v>125225.2252</v>
      </c>
      <c r="P76" s="78">
        <v>139000.0</v>
      </c>
      <c r="Q76" s="73">
        <f t="shared" si="171"/>
        <v>13900</v>
      </c>
      <c r="R76" s="74"/>
      <c r="S76" s="112"/>
      <c r="AF76" s="76"/>
    </row>
    <row r="77">
      <c r="A77" s="110" t="s">
        <v>95</v>
      </c>
      <c r="B77" s="66">
        <f t="shared" ref="B77:B78" si="172">9900/10</f>
        <v>990</v>
      </c>
      <c r="C77" s="65">
        <f t="shared" si="160"/>
        <v>990</v>
      </c>
      <c r="D77" s="66">
        <f t="shared" si="161"/>
        <v>891.8918919</v>
      </c>
      <c r="E77" s="107">
        <v>2.0</v>
      </c>
      <c r="F77" s="66">
        <f t="shared" si="162"/>
        <v>2006</v>
      </c>
      <c r="G77" s="66">
        <f t="shared" si="163"/>
        <v>1360</v>
      </c>
      <c r="H77" s="66">
        <f t="shared" si="164"/>
        <v>765</v>
      </c>
      <c r="I77" s="66">
        <f t="shared" si="165"/>
        <v>306</v>
      </c>
      <c r="J77" s="68">
        <v>1250.0</v>
      </c>
      <c r="K77" s="66">
        <f t="shared" si="166"/>
        <v>71.35135135</v>
      </c>
      <c r="L77" s="69">
        <f t="shared" si="167"/>
        <v>7542.135135</v>
      </c>
      <c r="M77" s="70">
        <f t="shared" si="168"/>
        <v>0.5075429412</v>
      </c>
      <c r="N77" s="71">
        <f t="shared" si="169"/>
        <v>7773.18018</v>
      </c>
      <c r="O77" s="66">
        <f t="shared" si="170"/>
        <v>15315.31532</v>
      </c>
      <c r="P77" s="78">
        <v>17000.0</v>
      </c>
      <c r="Q77" s="73">
        <f t="shared" si="171"/>
        <v>8500</v>
      </c>
      <c r="R77" s="74"/>
      <c r="S77" s="112"/>
      <c r="AF77" s="76"/>
      <c r="AG77" s="75"/>
      <c r="AH77" s="66"/>
      <c r="AI77" s="66"/>
      <c r="AJ77" s="66"/>
      <c r="AK77" s="66"/>
      <c r="AL77" s="68"/>
      <c r="AM77" s="66"/>
      <c r="AN77" s="69"/>
      <c r="AO77" s="70"/>
      <c r="AP77" s="71"/>
      <c r="AQ77" s="66"/>
      <c r="AR77" s="78"/>
      <c r="AS77" s="73"/>
    </row>
    <row r="78">
      <c r="A78" s="110" t="s">
        <v>96</v>
      </c>
      <c r="B78" s="66">
        <f t="shared" si="172"/>
        <v>990</v>
      </c>
      <c r="C78" s="65">
        <f t="shared" si="160"/>
        <v>990</v>
      </c>
      <c r="D78" s="66">
        <f t="shared" si="161"/>
        <v>891.8918919</v>
      </c>
      <c r="E78" s="107">
        <v>2.0</v>
      </c>
      <c r="F78" s="66">
        <f t="shared" si="162"/>
        <v>2006</v>
      </c>
      <c r="G78" s="66">
        <f t="shared" si="163"/>
        <v>1360</v>
      </c>
      <c r="H78" s="66">
        <f t="shared" si="164"/>
        <v>765</v>
      </c>
      <c r="I78" s="66">
        <f t="shared" si="165"/>
        <v>306</v>
      </c>
      <c r="J78" s="68">
        <v>1250.0</v>
      </c>
      <c r="K78" s="66">
        <f t="shared" si="166"/>
        <v>71.35135135</v>
      </c>
      <c r="L78" s="69">
        <f t="shared" si="167"/>
        <v>7542.135135</v>
      </c>
      <c r="M78" s="70">
        <f t="shared" si="168"/>
        <v>0.5075429412</v>
      </c>
      <c r="N78" s="71">
        <f t="shared" si="169"/>
        <v>7773.18018</v>
      </c>
      <c r="O78" s="66">
        <f t="shared" si="170"/>
        <v>15315.31532</v>
      </c>
      <c r="P78" s="78">
        <v>17000.0</v>
      </c>
      <c r="Q78" s="73">
        <f t="shared" si="171"/>
        <v>8500</v>
      </c>
      <c r="R78" s="74"/>
      <c r="S78" s="112"/>
      <c r="AF78" s="76"/>
      <c r="AG78" s="75"/>
      <c r="AH78" s="66"/>
      <c r="AI78" s="66"/>
      <c r="AJ78" s="66"/>
      <c r="AK78" s="66"/>
      <c r="AL78" s="68"/>
      <c r="AM78" s="66"/>
      <c r="AN78" s="69"/>
      <c r="AO78" s="70"/>
      <c r="AP78" s="71"/>
      <c r="AQ78" s="66"/>
      <c r="AR78" s="78"/>
      <c r="AS78" s="73"/>
    </row>
    <row r="79">
      <c r="A79" s="110"/>
      <c r="B79" s="111"/>
      <c r="C79" s="129"/>
      <c r="D79" s="66"/>
      <c r="E79" s="113"/>
      <c r="F79" s="66"/>
      <c r="G79" s="66"/>
      <c r="H79" s="66"/>
      <c r="I79" s="66"/>
      <c r="J79" s="68"/>
      <c r="K79" s="66"/>
      <c r="L79" s="69"/>
      <c r="M79" s="70"/>
      <c r="N79" s="71"/>
      <c r="O79" s="66"/>
      <c r="P79" s="78"/>
      <c r="Q79" s="73" t="str">
        <f t="shared" si="171"/>
        <v>#DIV/0!</v>
      </c>
      <c r="R79" s="74"/>
      <c r="S79" s="112"/>
      <c r="AF79" s="76"/>
      <c r="AG79" s="75"/>
      <c r="AH79" s="66"/>
      <c r="AI79" s="66"/>
      <c r="AJ79" s="66"/>
      <c r="AK79" s="66"/>
      <c r="AL79" s="68"/>
      <c r="AM79" s="66"/>
      <c r="AN79" s="69"/>
      <c r="AO79" s="70"/>
      <c r="AP79" s="71"/>
      <c r="AQ79" s="66"/>
      <c r="AR79" s="78"/>
      <c r="AS79" s="73"/>
    </row>
    <row r="80">
      <c r="A80" s="110"/>
      <c r="B80" s="111"/>
      <c r="C80" s="129"/>
      <c r="D80" s="66"/>
      <c r="E80" s="113"/>
      <c r="F80" s="66"/>
      <c r="G80" s="66"/>
      <c r="H80" s="66"/>
      <c r="I80" s="66"/>
      <c r="J80" s="68"/>
      <c r="K80" s="66"/>
      <c r="L80" s="69"/>
      <c r="M80" s="70"/>
      <c r="N80" s="71"/>
      <c r="O80" s="66"/>
      <c r="P80" s="78"/>
      <c r="Q80" s="73"/>
      <c r="R80" s="74"/>
      <c r="S80" s="112"/>
      <c r="AF80" s="76"/>
      <c r="AG80" s="75"/>
      <c r="AH80" s="66"/>
      <c r="AI80" s="66"/>
      <c r="AJ80" s="66"/>
      <c r="AK80" s="66"/>
      <c r="AL80" s="68"/>
      <c r="AM80" s="66"/>
      <c r="AN80" s="69"/>
      <c r="AO80" s="70"/>
      <c r="AP80" s="71"/>
      <c r="AQ80" s="66"/>
      <c r="AR80" s="78"/>
      <c r="AS80" s="73"/>
    </row>
    <row r="81">
      <c r="A81" s="110"/>
      <c r="B81" s="111"/>
      <c r="C81" s="129"/>
      <c r="D81" s="66"/>
      <c r="E81" s="113"/>
      <c r="F81" s="66"/>
      <c r="G81" s="66"/>
      <c r="H81" s="66"/>
      <c r="I81" s="66"/>
      <c r="J81" s="68"/>
      <c r="K81" s="66"/>
      <c r="L81" s="69"/>
      <c r="M81" s="70"/>
      <c r="N81" s="71"/>
      <c r="O81" s="66"/>
      <c r="P81" s="78"/>
      <c r="Q81" s="73"/>
      <c r="R81" s="74"/>
      <c r="S81" s="112"/>
      <c r="AF81" s="76"/>
      <c r="AG81" s="75"/>
      <c r="AH81" s="66"/>
      <c r="AI81" s="66"/>
      <c r="AJ81" s="66"/>
      <c r="AK81" s="66"/>
      <c r="AL81" s="68"/>
      <c r="AM81" s="66"/>
      <c r="AN81" s="69"/>
      <c r="AO81" s="70"/>
      <c r="AP81" s="71"/>
      <c r="AQ81" s="66"/>
      <c r="AR81" s="78"/>
      <c r="AS81" s="73"/>
    </row>
    <row r="82">
      <c r="A82" s="110"/>
      <c r="B82" s="111"/>
      <c r="C82" s="129"/>
      <c r="D82" s="66"/>
      <c r="E82" s="113"/>
      <c r="F82" s="66"/>
      <c r="G82" s="66"/>
      <c r="H82" s="66"/>
      <c r="I82" s="66"/>
      <c r="J82" s="68"/>
      <c r="K82" s="66"/>
      <c r="L82" s="69"/>
      <c r="M82" s="70"/>
      <c r="N82" s="71"/>
      <c r="O82" s="66"/>
      <c r="P82" s="78"/>
      <c r="Q82" s="73"/>
      <c r="R82" s="74"/>
      <c r="S82" s="112"/>
      <c r="AF82" s="76"/>
      <c r="AG82" s="75"/>
      <c r="AH82" s="66"/>
      <c r="AI82" s="66"/>
      <c r="AJ82" s="66"/>
      <c r="AK82" s="66"/>
      <c r="AL82" s="68"/>
      <c r="AM82" s="66"/>
      <c r="AN82" s="69"/>
      <c r="AO82" s="70"/>
      <c r="AP82" s="71"/>
      <c r="AQ82" s="66"/>
      <c r="AR82" s="78"/>
      <c r="AS82" s="73"/>
    </row>
    <row r="83" ht="25.5" customHeight="1">
      <c r="A83" s="130" t="s">
        <v>97</v>
      </c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74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76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</row>
    <row r="84">
      <c r="A84" s="106" t="s">
        <v>98</v>
      </c>
      <c r="B84" s="65">
        <v>1951.0</v>
      </c>
      <c r="C84" s="65">
        <f t="shared" ref="C84:C89" si="173">B84*$C$4</f>
        <v>1599.82</v>
      </c>
      <c r="D84" s="66">
        <f t="shared" ref="D84:D89" si="174">C84/$D$4</f>
        <v>1441.279279</v>
      </c>
      <c r="E84" s="124">
        <v>5.0</v>
      </c>
      <c r="F84" s="66">
        <f t="shared" ref="F84:F97" si="175">P84*$F$3</f>
        <v>1888</v>
      </c>
      <c r="G84" s="66">
        <f t="shared" ref="G84:G97" si="176">P84*$G$3</f>
        <v>1280</v>
      </c>
      <c r="H84" s="66">
        <f t="shared" ref="H84:H97" si="177">P84*$H$3</f>
        <v>720</v>
      </c>
      <c r="I84" s="66">
        <f t="shared" ref="I84:I97" si="178">P84*$I$3</f>
        <v>288</v>
      </c>
      <c r="J84" s="68">
        <v>1250.0</v>
      </c>
      <c r="K84" s="66">
        <f t="shared" ref="K84:K97" si="179">C84*$K$3*E84</f>
        <v>639.928</v>
      </c>
      <c r="L84" s="69">
        <f t="shared" ref="L84:L97" si="180">(D84*E84)+F84+G84+H84+I84+J84+K84</f>
        <v>13272.3244</v>
      </c>
      <c r="M84" s="70">
        <f t="shared" ref="M84:M89" si="181">N84/O84</f>
        <v>0.079232495</v>
      </c>
      <c r="N84" s="71">
        <f t="shared" ref="N84:N89" si="182">O84-L84</f>
        <v>1142.090018</v>
      </c>
      <c r="O84" s="66">
        <f t="shared" ref="O84:O89" si="183">P84/$O$4</f>
        <v>14414.41441</v>
      </c>
      <c r="P84" s="78">
        <v>16000.0</v>
      </c>
      <c r="Q84" s="73">
        <f t="shared" ref="Q84:Q89" si="184">P84/E84</f>
        <v>3200</v>
      </c>
      <c r="R84" s="74"/>
      <c r="S84" s="75">
        <v>50.0</v>
      </c>
      <c r="T84" s="66">
        <f t="shared" ref="T84:T97" si="185">AD84*$T$3</f>
        <v>18135</v>
      </c>
      <c r="U84" s="66">
        <f t="shared" ref="U84:U97" si="186">AD84*$U$3</f>
        <v>12400</v>
      </c>
      <c r="V84" s="66">
        <f t="shared" ref="V84:V97" si="187">AD84*$V$3</f>
        <v>6975</v>
      </c>
      <c r="W84" s="66">
        <f t="shared" ref="W84:W97" si="188">AD84*$W$3</f>
        <v>2790</v>
      </c>
      <c r="X84" s="68">
        <v>1250.0</v>
      </c>
      <c r="Y84" s="66">
        <f t="shared" ref="Y84:Y97" si="189">C84*$Y$3*S84</f>
        <v>6399.28</v>
      </c>
      <c r="Z84" s="69">
        <f t="shared" ref="Z84:Z97" si="190">(D84*S84)+T84+U84+V84+W84+X84+Y84</f>
        <v>120013.244</v>
      </c>
      <c r="AA84" s="70">
        <f t="shared" ref="AA84:AA89" si="191">AB84/AC84</f>
        <v>0.1405503174</v>
      </c>
      <c r="AB84" s="71">
        <f t="shared" ref="AB84:AB89" si="192">AC84-Z84</f>
        <v>19626.39568</v>
      </c>
      <c r="AC84" s="66">
        <f t="shared" ref="AC84:AC89" si="193">AD84/$O$4</f>
        <v>139639.6396</v>
      </c>
      <c r="AD84" s="78">
        <v>155000.0</v>
      </c>
      <c r="AE84" s="73">
        <f t="shared" ref="AE84:AE89" si="194">AD84/S84</f>
        <v>3100</v>
      </c>
      <c r="AF84" s="76"/>
      <c r="AG84" s="75"/>
      <c r="AH84" s="66">
        <f t="shared" ref="AH84:AH89" si="195">AR84*$AH$3</f>
        <v>0</v>
      </c>
      <c r="AI84" s="66">
        <f t="shared" ref="AI84:AI89" si="196">AR84*$AI$3</f>
        <v>0</v>
      </c>
      <c r="AJ84" s="66">
        <f t="shared" ref="AJ84:AJ89" si="197">AR84*$AJ$3</f>
        <v>0</v>
      </c>
      <c r="AK84" s="66">
        <f t="shared" ref="AK84:AK89" si="198">AR84*$AK$3</f>
        <v>0</v>
      </c>
      <c r="AL84" s="68">
        <v>1250.0</v>
      </c>
      <c r="AM84" s="66">
        <f t="shared" ref="AM84:AM89" si="199">AF84*$AM$3</f>
        <v>0</v>
      </c>
      <c r="AN84" s="69">
        <f t="shared" ref="AN84:AN89" si="200">(R84*AG84)+AH84+AI84+AJ84+AK84+AL84+AM84</f>
        <v>1250</v>
      </c>
      <c r="AO84" s="70" t="str">
        <f t="shared" ref="AO84:AO89" si="201">AP84/AQ84</f>
        <v>#DIV/0!</v>
      </c>
      <c r="AP84" s="71">
        <f t="shared" ref="AP84:AP89" si="202">AQ84-AN84</f>
        <v>-1250</v>
      </c>
      <c r="AQ84" s="66">
        <f t="shared" ref="AQ84:AQ89" si="203">AR84/$O$4</f>
        <v>0</v>
      </c>
      <c r="AR84" s="78"/>
      <c r="AS84" s="73" t="str">
        <f t="shared" ref="AS84:AS89" si="204">AR84/AG84</f>
        <v>#DIV/0!</v>
      </c>
    </row>
    <row r="85">
      <c r="A85" s="106" t="s">
        <v>99</v>
      </c>
      <c r="B85" s="65">
        <v>2700.0</v>
      </c>
      <c r="C85" s="65">
        <f t="shared" si="173"/>
        <v>2214</v>
      </c>
      <c r="D85" s="66">
        <f t="shared" si="174"/>
        <v>1994.594595</v>
      </c>
      <c r="E85" s="124">
        <v>5.0</v>
      </c>
      <c r="F85" s="66">
        <f t="shared" si="175"/>
        <v>2360</v>
      </c>
      <c r="G85" s="66">
        <f t="shared" si="176"/>
        <v>1600</v>
      </c>
      <c r="H85" s="66">
        <f t="shared" si="177"/>
        <v>900</v>
      </c>
      <c r="I85" s="66">
        <f t="shared" si="178"/>
        <v>360</v>
      </c>
      <c r="J85" s="68">
        <v>1250.0</v>
      </c>
      <c r="K85" s="66">
        <f t="shared" si="179"/>
        <v>885.6</v>
      </c>
      <c r="L85" s="69">
        <f t="shared" si="180"/>
        <v>17328.57297</v>
      </c>
      <c r="M85" s="70">
        <f t="shared" si="181"/>
        <v>0.0382642</v>
      </c>
      <c r="N85" s="71">
        <f t="shared" si="182"/>
        <v>689.445045</v>
      </c>
      <c r="O85" s="66">
        <f t="shared" si="183"/>
        <v>18018.01802</v>
      </c>
      <c r="P85" s="78">
        <v>20000.0</v>
      </c>
      <c r="Q85" s="73">
        <f t="shared" si="184"/>
        <v>4000</v>
      </c>
      <c r="R85" s="74"/>
      <c r="S85" s="75">
        <v>50.0</v>
      </c>
      <c r="T85" s="66">
        <f t="shared" si="185"/>
        <v>20896.2</v>
      </c>
      <c r="U85" s="66">
        <f t="shared" si="186"/>
        <v>14288</v>
      </c>
      <c r="V85" s="66">
        <f t="shared" si="187"/>
        <v>8037</v>
      </c>
      <c r="W85" s="66">
        <f t="shared" si="188"/>
        <v>3214.8</v>
      </c>
      <c r="X85" s="68">
        <v>1250.0</v>
      </c>
      <c r="Y85" s="66">
        <f t="shared" si="189"/>
        <v>8856</v>
      </c>
      <c r="Z85" s="69">
        <f t="shared" si="190"/>
        <v>156271.7297</v>
      </c>
      <c r="AA85" s="70">
        <f t="shared" si="191"/>
        <v>0.02877032475</v>
      </c>
      <c r="AB85" s="71">
        <f t="shared" si="192"/>
        <v>4629.171171</v>
      </c>
      <c r="AC85" s="66">
        <f t="shared" si="193"/>
        <v>160900.9009</v>
      </c>
      <c r="AD85" s="78">
        <v>178600.0</v>
      </c>
      <c r="AE85" s="73">
        <f t="shared" si="194"/>
        <v>3572</v>
      </c>
      <c r="AF85" s="76"/>
      <c r="AG85" s="75"/>
      <c r="AH85" s="66">
        <f t="shared" si="195"/>
        <v>0</v>
      </c>
      <c r="AI85" s="66">
        <f t="shared" si="196"/>
        <v>0</v>
      </c>
      <c r="AJ85" s="66">
        <f t="shared" si="197"/>
        <v>0</v>
      </c>
      <c r="AK85" s="66">
        <f t="shared" si="198"/>
        <v>0</v>
      </c>
      <c r="AL85" s="68">
        <v>1250.0</v>
      </c>
      <c r="AM85" s="66">
        <f t="shared" si="199"/>
        <v>0</v>
      </c>
      <c r="AN85" s="69">
        <f t="shared" si="200"/>
        <v>1250</v>
      </c>
      <c r="AO85" s="70" t="str">
        <f t="shared" si="201"/>
        <v>#DIV/0!</v>
      </c>
      <c r="AP85" s="71">
        <f t="shared" si="202"/>
        <v>-1250</v>
      </c>
      <c r="AQ85" s="66">
        <f t="shared" si="203"/>
        <v>0</v>
      </c>
      <c r="AR85" s="78"/>
      <c r="AS85" s="73" t="str">
        <f t="shared" si="204"/>
        <v>#DIV/0!</v>
      </c>
    </row>
    <row r="86">
      <c r="A86" s="106" t="s">
        <v>100</v>
      </c>
      <c r="B86" s="65">
        <v>3700.0</v>
      </c>
      <c r="C86" s="65">
        <f t="shared" si="173"/>
        <v>3034</v>
      </c>
      <c r="D86" s="66">
        <f t="shared" si="174"/>
        <v>2733.333333</v>
      </c>
      <c r="E86" s="124">
        <v>3.0</v>
      </c>
      <c r="F86" s="66">
        <f t="shared" si="175"/>
        <v>2100.4</v>
      </c>
      <c r="G86" s="66">
        <f t="shared" si="176"/>
        <v>1424</v>
      </c>
      <c r="H86" s="66">
        <f t="shared" si="177"/>
        <v>801</v>
      </c>
      <c r="I86" s="66">
        <f t="shared" si="178"/>
        <v>320.4</v>
      </c>
      <c r="J86" s="68">
        <v>1250.0</v>
      </c>
      <c r="K86" s="66">
        <f t="shared" si="179"/>
        <v>728.16</v>
      </c>
      <c r="L86" s="69">
        <f t="shared" si="180"/>
        <v>14823.96</v>
      </c>
      <c r="M86" s="70">
        <f t="shared" si="181"/>
        <v>0.07558451685</v>
      </c>
      <c r="N86" s="71">
        <f t="shared" si="182"/>
        <v>1212.076036</v>
      </c>
      <c r="O86" s="66">
        <f t="shared" si="183"/>
        <v>16036.03604</v>
      </c>
      <c r="P86" s="78">
        <v>17800.0</v>
      </c>
      <c r="Q86" s="73">
        <f t="shared" si="184"/>
        <v>5933.333333</v>
      </c>
      <c r="R86" s="74"/>
      <c r="S86" s="75">
        <v>50.0</v>
      </c>
      <c r="T86" s="66">
        <f t="shared" si="185"/>
        <v>29016</v>
      </c>
      <c r="U86" s="66">
        <f t="shared" si="186"/>
        <v>19840</v>
      </c>
      <c r="V86" s="66">
        <f t="shared" si="187"/>
        <v>11160</v>
      </c>
      <c r="W86" s="66">
        <f t="shared" si="188"/>
        <v>4464</v>
      </c>
      <c r="X86" s="68">
        <v>1250.0</v>
      </c>
      <c r="Y86" s="66">
        <f t="shared" si="189"/>
        <v>12136</v>
      </c>
      <c r="Z86" s="69">
        <f t="shared" si="190"/>
        <v>214532.6667</v>
      </c>
      <c r="AA86" s="70">
        <f t="shared" si="191"/>
        <v>0.03979330645</v>
      </c>
      <c r="AB86" s="71">
        <f t="shared" si="192"/>
        <v>8890.756757</v>
      </c>
      <c r="AC86" s="66">
        <f t="shared" si="193"/>
        <v>223423.4234</v>
      </c>
      <c r="AD86" s="78">
        <v>248000.0</v>
      </c>
      <c r="AE86" s="73">
        <f t="shared" si="194"/>
        <v>4960</v>
      </c>
      <c r="AF86" s="76"/>
      <c r="AG86" s="75"/>
      <c r="AH86" s="66">
        <f t="shared" si="195"/>
        <v>0</v>
      </c>
      <c r="AI86" s="66">
        <f t="shared" si="196"/>
        <v>0</v>
      </c>
      <c r="AJ86" s="66">
        <f t="shared" si="197"/>
        <v>0</v>
      </c>
      <c r="AK86" s="66">
        <f t="shared" si="198"/>
        <v>0</v>
      </c>
      <c r="AL86" s="68">
        <v>1250.0</v>
      </c>
      <c r="AM86" s="66">
        <f t="shared" si="199"/>
        <v>0</v>
      </c>
      <c r="AN86" s="69">
        <f t="shared" si="200"/>
        <v>1250</v>
      </c>
      <c r="AO86" s="70" t="str">
        <f t="shared" si="201"/>
        <v>#DIV/0!</v>
      </c>
      <c r="AP86" s="71">
        <f t="shared" si="202"/>
        <v>-1250</v>
      </c>
      <c r="AQ86" s="66">
        <f t="shared" si="203"/>
        <v>0</v>
      </c>
      <c r="AR86" s="78"/>
      <c r="AS86" s="73" t="str">
        <f t="shared" si="204"/>
        <v>#DIV/0!</v>
      </c>
    </row>
    <row r="87">
      <c r="A87" s="106" t="s">
        <v>101</v>
      </c>
      <c r="B87" s="65">
        <f>B86+2000</f>
        <v>5700</v>
      </c>
      <c r="C87" s="65">
        <f t="shared" si="173"/>
        <v>4674</v>
      </c>
      <c r="D87" s="66">
        <f t="shared" si="174"/>
        <v>4210.810811</v>
      </c>
      <c r="E87" s="124">
        <v>5.0</v>
      </c>
      <c r="F87" s="66">
        <f t="shared" si="175"/>
        <v>5310</v>
      </c>
      <c r="G87" s="66">
        <f t="shared" si="176"/>
        <v>3600</v>
      </c>
      <c r="H87" s="66">
        <f t="shared" si="177"/>
        <v>2025</v>
      </c>
      <c r="I87" s="66">
        <f t="shared" si="178"/>
        <v>810</v>
      </c>
      <c r="J87" s="68">
        <v>1250.0</v>
      </c>
      <c r="K87" s="66">
        <f t="shared" si="179"/>
        <v>1869.6</v>
      </c>
      <c r="L87" s="69">
        <f t="shared" si="180"/>
        <v>35918.65405</v>
      </c>
      <c r="M87" s="70">
        <f t="shared" si="181"/>
        <v>0.1140065333</v>
      </c>
      <c r="N87" s="71">
        <f t="shared" si="182"/>
        <v>4621.886486</v>
      </c>
      <c r="O87" s="66">
        <f t="shared" si="183"/>
        <v>40540.54054</v>
      </c>
      <c r="P87" s="78">
        <v>45000.0</v>
      </c>
      <c r="Q87" s="73">
        <f t="shared" si="184"/>
        <v>9000</v>
      </c>
      <c r="R87" s="74"/>
      <c r="S87" s="75">
        <v>50.0</v>
      </c>
      <c r="T87" s="66">
        <f t="shared" si="185"/>
        <v>45513</v>
      </c>
      <c r="U87" s="66">
        <f t="shared" si="186"/>
        <v>31120</v>
      </c>
      <c r="V87" s="66">
        <f t="shared" si="187"/>
        <v>17505</v>
      </c>
      <c r="W87" s="66">
        <f t="shared" si="188"/>
        <v>7002</v>
      </c>
      <c r="X87" s="68">
        <v>1250.0</v>
      </c>
      <c r="Y87" s="66">
        <f t="shared" si="189"/>
        <v>18696</v>
      </c>
      <c r="Z87" s="69">
        <f t="shared" si="190"/>
        <v>331626.5405</v>
      </c>
      <c r="AA87" s="70">
        <f t="shared" si="191"/>
        <v>0.05371347044</v>
      </c>
      <c r="AB87" s="71">
        <f t="shared" si="192"/>
        <v>18823.90991</v>
      </c>
      <c r="AC87" s="66">
        <f t="shared" si="193"/>
        <v>350450.4505</v>
      </c>
      <c r="AD87" s="78">
        <v>389000.0</v>
      </c>
      <c r="AE87" s="73">
        <f t="shared" si="194"/>
        <v>7780</v>
      </c>
      <c r="AF87" s="76"/>
      <c r="AG87" s="75"/>
      <c r="AH87" s="66">
        <f t="shared" si="195"/>
        <v>0</v>
      </c>
      <c r="AI87" s="66">
        <f t="shared" si="196"/>
        <v>0</v>
      </c>
      <c r="AJ87" s="66">
        <f t="shared" si="197"/>
        <v>0</v>
      </c>
      <c r="AK87" s="66">
        <f t="shared" si="198"/>
        <v>0</v>
      </c>
      <c r="AL87" s="68">
        <v>1250.0</v>
      </c>
      <c r="AM87" s="66">
        <f t="shared" si="199"/>
        <v>0</v>
      </c>
      <c r="AN87" s="69">
        <f t="shared" si="200"/>
        <v>1250</v>
      </c>
      <c r="AO87" s="70" t="str">
        <f t="shared" si="201"/>
        <v>#DIV/0!</v>
      </c>
      <c r="AP87" s="71">
        <f t="shared" si="202"/>
        <v>-1250</v>
      </c>
      <c r="AQ87" s="66">
        <f t="shared" si="203"/>
        <v>0</v>
      </c>
      <c r="AR87" s="78"/>
      <c r="AS87" s="73" t="str">
        <f t="shared" si="204"/>
        <v>#DIV/0!</v>
      </c>
    </row>
    <row r="88">
      <c r="A88" s="106" t="s">
        <v>102</v>
      </c>
      <c r="B88" s="65">
        <v>6500.0</v>
      </c>
      <c r="C88" s="65">
        <f t="shared" si="173"/>
        <v>5330</v>
      </c>
      <c r="D88" s="66">
        <f t="shared" si="174"/>
        <v>4801.801802</v>
      </c>
      <c r="E88" s="124">
        <v>1.0</v>
      </c>
      <c r="F88" s="66">
        <f t="shared" si="175"/>
        <v>1357</v>
      </c>
      <c r="G88" s="66">
        <f t="shared" si="176"/>
        <v>920</v>
      </c>
      <c r="H88" s="66">
        <f t="shared" si="177"/>
        <v>517.5</v>
      </c>
      <c r="I88" s="66">
        <f t="shared" si="178"/>
        <v>207</v>
      </c>
      <c r="J88" s="68">
        <v>1250.0</v>
      </c>
      <c r="K88" s="66">
        <f t="shared" si="179"/>
        <v>426.4</v>
      </c>
      <c r="L88" s="69">
        <f t="shared" si="180"/>
        <v>9479.701802</v>
      </c>
      <c r="M88" s="70">
        <f t="shared" si="181"/>
        <v>0.08500269565</v>
      </c>
      <c r="N88" s="71">
        <f t="shared" si="182"/>
        <v>880.6585586</v>
      </c>
      <c r="O88" s="66">
        <f t="shared" si="183"/>
        <v>10360.36036</v>
      </c>
      <c r="P88" s="78">
        <v>11500.0</v>
      </c>
      <c r="Q88" s="73">
        <f t="shared" si="184"/>
        <v>11500</v>
      </c>
      <c r="R88" s="74"/>
      <c r="S88" s="75">
        <v>25.0</v>
      </c>
      <c r="T88" s="66">
        <f t="shared" si="185"/>
        <v>24979.5</v>
      </c>
      <c r="U88" s="66">
        <f t="shared" si="186"/>
        <v>17080</v>
      </c>
      <c r="V88" s="66">
        <f t="shared" si="187"/>
        <v>9607.5</v>
      </c>
      <c r="W88" s="66">
        <f t="shared" si="188"/>
        <v>3843</v>
      </c>
      <c r="X88" s="68">
        <v>1250.0</v>
      </c>
      <c r="Y88" s="66">
        <f t="shared" si="189"/>
        <v>10660</v>
      </c>
      <c r="Z88" s="69">
        <f t="shared" si="190"/>
        <v>187465.045</v>
      </c>
      <c r="AA88" s="70">
        <f t="shared" si="191"/>
        <v>0.02535737705</v>
      </c>
      <c r="AB88" s="71">
        <f t="shared" si="192"/>
        <v>4877.297297</v>
      </c>
      <c r="AC88" s="66">
        <f t="shared" si="193"/>
        <v>192342.3423</v>
      </c>
      <c r="AD88" s="78">
        <v>213500.0</v>
      </c>
      <c r="AE88" s="73">
        <f t="shared" si="194"/>
        <v>8540</v>
      </c>
      <c r="AF88" s="76"/>
      <c r="AG88" s="75"/>
      <c r="AH88" s="66">
        <f t="shared" si="195"/>
        <v>0</v>
      </c>
      <c r="AI88" s="66">
        <f t="shared" si="196"/>
        <v>0</v>
      </c>
      <c r="AJ88" s="66">
        <f t="shared" si="197"/>
        <v>0</v>
      </c>
      <c r="AK88" s="66">
        <f t="shared" si="198"/>
        <v>0</v>
      </c>
      <c r="AL88" s="68">
        <v>1250.0</v>
      </c>
      <c r="AM88" s="66">
        <f t="shared" si="199"/>
        <v>0</v>
      </c>
      <c r="AN88" s="69">
        <f t="shared" si="200"/>
        <v>1250</v>
      </c>
      <c r="AO88" s="70" t="str">
        <f t="shared" si="201"/>
        <v>#DIV/0!</v>
      </c>
      <c r="AP88" s="71">
        <f t="shared" si="202"/>
        <v>-1250</v>
      </c>
      <c r="AQ88" s="66">
        <f t="shared" si="203"/>
        <v>0</v>
      </c>
      <c r="AR88" s="78"/>
      <c r="AS88" s="73" t="str">
        <f t="shared" si="204"/>
        <v>#DIV/0!</v>
      </c>
    </row>
    <row r="89">
      <c r="A89" s="106" t="s">
        <v>103</v>
      </c>
      <c r="B89" s="65">
        <v>11500.0</v>
      </c>
      <c r="C89" s="65">
        <f t="shared" si="173"/>
        <v>9430</v>
      </c>
      <c r="D89" s="66">
        <f t="shared" si="174"/>
        <v>8495.495495</v>
      </c>
      <c r="E89" s="124">
        <v>1.0</v>
      </c>
      <c r="F89" s="66">
        <f t="shared" si="175"/>
        <v>2006</v>
      </c>
      <c r="G89" s="66">
        <f t="shared" si="176"/>
        <v>1360</v>
      </c>
      <c r="H89" s="66">
        <f t="shared" si="177"/>
        <v>765</v>
      </c>
      <c r="I89" s="66">
        <f t="shared" si="178"/>
        <v>306</v>
      </c>
      <c r="J89" s="68">
        <v>1250.0</v>
      </c>
      <c r="K89" s="66">
        <f t="shared" si="179"/>
        <v>754.4</v>
      </c>
      <c r="L89" s="69">
        <f t="shared" si="180"/>
        <v>14936.8955</v>
      </c>
      <c r="M89" s="70">
        <f t="shared" si="181"/>
        <v>0.02470858824</v>
      </c>
      <c r="N89" s="71">
        <f t="shared" si="182"/>
        <v>378.4198198</v>
      </c>
      <c r="O89" s="66">
        <f t="shared" si="183"/>
        <v>15315.31532</v>
      </c>
      <c r="P89" s="78">
        <v>17000.0</v>
      </c>
      <c r="Q89" s="73">
        <f t="shared" si="184"/>
        <v>17000</v>
      </c>
      <c r="R89" s="74"/>
      <c r="S89" s="75"/>
      <c r="T89" s="66">
        <f t="shared" si="185"/>
        <v>0</v>
      </c>
      <c r="U89" s="66">
        <f t="shared" si="186"/>
        <v>0</v>
      </c>
      <c r="V89" s="66">
        <f t="shared" si="187"/>
        <v>0</v>
      </c>
      <c r="W89" s="66">
        <f t="shared" si="188"/>
        <v>0</v>
      </c>
      <c r="X89" s="68">
        <v>1250.0</v>
      </c>
      <c r="Y89" s="66">
        <f t="shared" si="189"/>
        <v>0</v>
      </c>
      <c r="Z89" s="69">
        <f t="shared" si="190"/>
        <v>1250</v>
      </c>
      <c r="AA89" s="70" t="str">
        <f t="shared" si="191"/>
        <v>#DIV/0!</v>
      </c>
      <c r="AB89" s="71">
        <f t="shared" si="192"/>
        <v>-1250</v>
      </c>
      <c r="AC89" s="66">
        <f t="shared" si="193"/>
        <v>0</v>
      </c>
      <c r="AD89" s="78"/>
      <c r="AE89" s="73" t="str">
        <f t="shared" si="194"/>
        <v>#DIV/0!</v>
      </c>
      <c r="AF89" s="76"/>
      <c r="AG89" s="75"/>
      <c r="AH89" s="66">
        <f t="shared" si="195"/>
        <v>0</v>
      </c>
      <c r="AI89" s="66">
        <f t="shared" si="196"/>
        <v>0</v>
      </c>
      <c r="AJ89" s="66">
        <f t="shared" si="197"/>
        <v>0</v>
      </c>
      <c r="AK89" s="66">
        <f t="shared" si="198"/>
        <v>0</v>
      </c>
      <c r="AL89" s="68">
        <v>1250.0</v>
      </c>
      <c r="AM89" s="66">
        <f t="shared" si="199"/>
        <v>0</v>
      </c>
      <c r="AN89" s="69">
        <f t="shared" si="200"/>
        <v>1250</v>
      </c>
      <c r="AO89" s="70" t="str">
        <f t="shared" si="201"/>
        <v>#DIV/0!</v>
      </c>
      <c r="AP89" s="71">
        <f t="shared" si="202"/>
        <v>-1250</v>
      </c>
      <c r="AQ89" s="66">
        <f t="shared" si="203"/>
        <v>0</v>
      </c>
      <c r="AR89" s="78"/>
      <c r="AS89" s="73" t="str">
        <f t="shared" si="204"/>
        <v>#DIV/0!</v>
      </c>
    </row>
    <row r="90">
      <c r="A90" s="132"/>
      <c r="B90" s="133"/>
      <c r="C90" s="133"/>
      <c r="D90" s="66"/>
      <c r="E90" s="124"/>
      <c r="F90" s="66">
        <f t="shared" si="175"/>
        <v>0</v>
      </c>
      <c r="G90" s="66">
        <f t="shared" si="176"/>
        <v>0</v>
      </c>
      <c r="H90" s="66">
        <f t="shared" si="177"/>
        <v>0</v>
      </c>
      <c r="I90" s="66">
        <f t="shared" si="178"/>
        <v>0</v>
      </c>
      <c r="J90" s="68">
        <v>1250.0</v>
      </c>
      <c r="K90" s="66">
        <f t="shared" si="179"/>
        <v>0</v>
      </c>
      <c r="L90" s="69">
        <f t="shared" si="180"/>
        <v>1250</v>
      </c>
      <c r="M90" s="70"/>
      <c r="N90" s="71"/>
      <c r="O90" s="66"/>
      <c r="P90" s="78"/>
      <c r="Q90" s="73"/>
      <c r="R90" s="74"/>
      <c r="S90" s="75"/>
      <c r="T90" s="66">
        <f t="shared" si="185"/>
        <v>0</v>
      </c>
      <c r="U90" s="66">
        <f t="shared" si="186"/>
        <v>0</v>
      </c>
      <c r="V90" s="66">
        <f t="shared" si="187"/>
        <v>0</v>
      </c>
      <c r="W90" s="66">
        <f t="shared" si="188"/>
        <v>0</v>
      </c>
      <c r="X90" s="68">
        <v>1250.0</v>
      </c>
      <c r="Y90" s="66">
        <f t="shared" si="189"/>
        <v>0</v>
      </c>
      <c r="Z90" s="69">
        <f t="shared" si="190"/>
        <v>1250</v>
      </c>
      <c r="AA90" s="70"/>
      <c r="AB90" s="71"/>
      <c r="AC90" s="66"/>
      <c r="AD90" s="78"/>
      <c r="AE90" s="73"/>
      <c r="AF90" s="76"/>
      <c r="AG90" s="75"/>
      <c r="AH90" s="66"/>
      <c r="AI90" s="66"/>
      <c r="AJ90" s="66"/>
      <c r="AK90" s="66"/>
      <c r="AL90" s="68"/>
      <c r="AM90" s="66"/>
      <c r="AN90" s="69"/>
      <c r="AO90" s="70"/>
      <c r="AP90" s="71"/>
      <c r="AQ90" s="66"/>
      <c r="AR90" s="78"/>
      <c r="AS90" s="73"/>
    </row>
    <row r="91">
      <c r="A91" s="106" t="s">
        <v>104</v>
      </c>
      <c r="B91" s="133">
        <f t="shared" ref="B91:B93" si="205">B84</f>
        <v>1951</v>
      </c>
      <c r="C91" s="65">
        <f t="shared" ref="C91:C97" si="206">B91*$C$4</f>
        <v>1599.82</v>
      </c>
      <c r="D91" s="66">
        <f t="shared" ref="D91:D97" si="207">C91/$D$4</f>
        <v>1441.279279</v>
      </c>
      <c r="E91" s="134">
        <v>6.0</v>
      </c>
      <c r="F91" s="66">
        <f t="shared" si="175"/>
        <v>2088.6</v>
      </c>
      <c r="G91" s="66">
        <f t="shared" si="176"/>
        <v>1416</v>
      </c>
      <c r="H91" s="66">
        <f t="shared" si="177"/>
        <v>796.5</v>
      </c>
      <c r="I91" s="66">
        <f t="shared" si="178"/>
        <v>318.6</v>
      </c>
      <c r="J91" s="68">
        <v>1250.0</v>
      </c>
      <c r="K91" s="66">
        <f t="shared" si="179"/>
        <v>767.9136</v>
      </c>
      <c r="L91" s="69">
        <f t="shared" si="180"/>
        <v>15285.28928</v>
      </c>
      <c r="M91" s="70">
        <f t="shared" ref="M91:M97" si="208">N91/O91</f>
        <v>0.04143101153</v>
      </c>
      <c r="N91" s="71">
        <f t="shared" ref="N91:N97" si="209">O91-L91</f>
        <v>660.6566703</v>
      </c>
      <c r="O91" s="66">
        <f t="shared" ref="O91:O97" si="210">P91/$O$4</f>
        <v>15945.94595</v>
      </c>
      <c r="P91" s="78">
        <v>17700.0</v>
      </c>
      <c r="Q91" s="73">
        <f t="shared" ref="Q91:Q97" si="211">P91/E91</f>
        <v>2950</v>
      </c>
      <c r="R91" s="74"/>
      <c r="S91" s="75"/>
      <c r="T91" s="66">
        <f t="shared" si="185"/>
        <v>0</v>
      </c>
      <c r="U91" s="66">
        <f t="shared" si="186"/>
        <v>0</v>
      </c>
      <c r="V91" s="66">
        <f t="shared" si="187"/>
        <v>0</v>
      </c>
      <c r="W91" s="66">
        <f t="shared" si="188"/>
        <v>0</v>
      </c>
      <c r="X91" s="68">
        <v>1250.0</v>
      </c>
      <c r="Y91" s="66">
        <f t="shared" si="189"/>
        <v>0</v>
      </c>
      <c r="Z91" s="69">
        <f t="shared" si="190"/>
        <v>1250</v>
      </c>
      <c r="AA91" s="70"/>
      <c r="AB91" s="71"/>
      <c r="AC91" s="66"/>
      <c r="AD91" s="78"/>
      <c r="AE91" s="73"/>
      <c r="AF91" s="76"/>
      <c r="AG91" s="75"/>
      <c r="AH91" s="66"/>
      <c r="AI91" s="66"/>
      <c r="AJ91" s="66"/>
      <c r="AK91" s="66"/>
      <c r="AL91" s="68"/>
      <c r="AM91" s="66"/>
      <c r="AN91" s="69"/>
      <c r="AO91" s="70"/>
      <c r="AP91" s="71"/>
      <c r="AQ91" s="66"/>
      <c r="AR91" s="78"/>
      <c r="AS91" s="73"/>
    </row>
    <row r="92">
      <c r="A92" s="106" t="s">
        <v>105</v>
      </c>
      <c r="B92" s="133">
        <f t="shared" si="205"/>
        <v>2700</v>
      </c>
      <c r="C92" s="65">
        <f t="shared" si="206"/>
        <v>2214</v>
      </c>
      <c r="D92" s="66">
        <f t="shared" si="207"/>
        <v>1994.594595</v>
      </c>
      <c r="E92" s="134">
        <v>6.0</v>
      </c>
      <c r="F92" s="66">
        <f t="shared" si="175"/>
        <v>2950</v>
      </c>
      <c r="G92" s="66">
        <f t="shared" si="176"/>
        <v>2000</v>
      </c>
      <c r="H92" s="66">
        <f t="shared" si="177"/>
        <v>1125</v>
      </c>
      <c r="I92" s="66">
        <f t="shared" si="178"/>
        <v>450</v>
      </c>
      <c r="J92" s="68">
        <v>1250.0</v>
      </c>
      <c r="K92" s="66">
        <f t="shared" si="179"/>
        <v>1062.72</v>
      </c>
      <c r="L92" s="69">
        <f t="shared" si="180"/>
        <v>20805.28757</v>
      </c>
      <c r="M92" s="70">
        <f t="shared" si="208"/>
        <v>0.076245232</v>
      </c>
      <c r="N92" s="71">
        <f t="shared" si="209"/>
        <v>1717.234955</v>
      </c>
      <c r="O92" s="66">
        <f t="shared" si="210"/>
        <v>22522.52252</v>
      </c>
      <c r="P92" s="78">
        <v>25000.0</v>
      </c>
      <c r="Q92" s="73">
        <f t="shared" si="211"/>
        <v>4166.666667</v>
      </c>
      <c r="R92" s="74"/>
      <c r="S92" s="75"/>
      <c r="T92" s="66">
        <f t="shared" si="185"/>
        <v>0</v>
      </c>
      <c r="U92" s="66">
        <f t="shared" si="186"/>
        <v>0</v>
      </c>
      <c r="V92" s="66">
        <f t="shared" si="187"/>
        <v>0</v>
      </c>
      <c r="W92" s="66">
        <f t="shared" si="188"/>
        <v>0</v>
      </c>
      <c r="X92" s="68">
        <v>1250.0</v>
      </c>
      <c r="Y92" s="66">
        <f t="shared" si="189"/>
        <v>0</v>
      </c>
      <c r="Z92" s="69">
        <f t="shared" si="190"/>
        <v>1250</v>
      </c>
      <c r="AA92" s="70"/>
      <c r="AB92" s="71"/>
      <c r="AC92" s="66"/>
      <c r="AD92" s="78"/>
      <c r="AE92" s="73"/>
      <c r="AF92" s="76"/>
      <c r="AG92" s="75"/>
      <c r="AH92" s="66"/>
      <c r="AI92" s="66"/>
      <c r="AJ92" s="66"/>
      <c r="AK92" s="66"/>
      <c r="AL92" s="68"/>
      <c r="AM92" s="66"/>
      <c r="AN92" s="69"/>
      <c r="AO92" s="70"/>
      <c r="AP92" s="71"/>
      <c r="AQ92" s="66"/>
      <c r="AR92" s="78"/>
      <c r="AS92" s="73"/>
    </row>
    <row r="93">
      <c r="A93" s="106" t="s">
        <v>106</v>
      </c>
      <c r="B93" s="133">
        <f t="shared" si="205"/>
        <v>3700</v>
      </c>
      <c r="C93" s="65">
        <f t="shared" si="206"/>
        <v>3034</v>
      </c>
      <c r="D93" s="66">
        <f t="shared" si="207"/>
        <v>2733.333333</v>
      </c>
      <c r="E93" s="134">
        <v>6.0</v>
      </c>
      <c r="F93" s="66">
        <f t="shared" si="175"/>
        <v>3776</v>
      </c>
      <c r="G93" s="66">
        <f t="shared" si="176"/>
        <v>2560</v>
      </c>
      <c r="H93" s="66">
        <f t="shared" si="177"/>
        <v>1440</v>
      </c>
      <c r="I93" s="66">
        <f t="shared" si="178"/>
        <v>576</v>
      </c>
      <c r="J93" s="68">
        <v>1250.0</v>
      </c>
      <c r="K93" s="66">
        <f t="shared" si="179"/>
        <v>1456.32</v>
      </c>
      <c r="L93" s="69">
        <f t="shared" si="180"/>
        <v>27458.32</v>
      </c>
      <c r="M93" s="70">
        <f t="shared" si="208"/>
        <v>0.047539525</v>
      </c>
      <c r="N93" s="71">
        <f t="shared" si="209"/>
        <v>1370.508829</v>
      </c>
      <c r="O93" s="66">
        <f t="shared" si="210"/>
        <v>28828.82883</v>
      </c>
      <c r="P93" s="78">
        <v>32000.0</v>
      </c>
      <c r="Q93" s="73">
        <f t="shared" si="211"/>
        <v>5333.333333</v>
      </c>
      <c r="R93" s="74"/>
      <c r="S93" s="75"/>
      <c r="T93" s="66">
        <f t="shared" si="185"/>
        <v>0</v>
      </c>
      <c r="U93" s="66">
        <f t="shared" si="186"/>
        <v>0</v>
      </c>
      <c r="V93" s="66">
        <f t="shared" si="187"/>
        <v>0</v>
      </c>
      <c r="W93" s="66">
        <f t="shared" si="188"/>
        <v>0</v>
      </c>
      <c r="X93" s="68">
        <v>1250.0</v>
      </c>
      <c r="Y93" s="66">
        <f t="shared" si="189"/>
        <v>0</v>
      </c>
      <c r="Z93" s="69">
        <f t="shared" si="190"/>
        <v>1250</v>
      </c>
      <c r="AA93" s="70"/>
      <c r="AB93" s="71"/>
      <c r="AC93" s="66"/>
      <c r="AD93" s="78"/>
      <c r="AE93" s="73"/>
      <c r="AF93" s="76"/>
      <c r="AG93" s="75"/>
      <c r="AH93" s="66"/>
      <c r="AI93" s="66"/>
      <c r="AJ93" s="66"/>
      <c r="AK93" s="66"/>
      <c r="AL93" s="68"/>
      <c r="AM93" s="66"/>
      <c r="AN93" s="69"/>
      <c r="AO93" s="70"/>
      <c r="AP93" s="71"/>
      <c r="AQ93" s="66"/>
      <c r="AR93" s="78"/>
      <c r="AS93" s="73"/>
    </row>
    <row r="94">
      <c r="A94" s="135"/>
      <c r="B94" s="133"/>
      <c r="C94" s="65">
        <f t="shared" si="206"/>
        <v>0</v>
      </c>
      <c r="D94" s="66">
        <f t="shared" si="207"/>
        <v>0</v>
      </c>
      <c r="E94" s="124"/>
      <c r="F94" s="66">
        <f t="shared" si="175"/>
        <v>0</v>
      </c>
      <c r="G94" s="66">
        <f t="shared" si="176"/>
        <v>0</v>
      </c>
      <c r="H94" s="66">
        <f t="shared" si="177"/>
        <v>0</v>
      </c>
      <c r="I94" s="66">
        <f t="shared" si="178"/>
        <v>0</v>
      </c>
      <c r="J94" s="68">
        <v>1250.0</v>
      </c>
      <c r="K94" s="66">
        <f t="shared" si="179"/>
        <v>0</v>
      </c>
      <c r="L94" s="69">
        <f t="shared" si="180"/>
        <v>1250</v>
      </c>
      <c r="M94" s="70" t="str">
        <f t="shared" si="208"/>
        <v>#DIV/0!</v>
      </c>
      <c r="N94" s="71">
        <f t="shared" si="209"/>
        <v>-1250</v>
      </c>
      <c r="O94" s="66">
        <f t="shared" si="210"/>
        <v>0</v>
      </c>
      <c r="P94" s="78"/>
      <c r="Q94" s="73" t="str">
        <f t="shared" si="211"/>
        <v>#DIV/0!</v>
      </c>
      <c r="R94" s="74"/>
      <c r="S94" s="75"/>
      <c r="T94" s="66">
        <f t="shared" si="185"/>
        <v>0</v>
      </c>
      <c r="U94" s="66">
        <f t="shared" si="186"/>
        <v>0</v>
      </c>
      <c r="V94" s="66">
        <f t="shared" si="187"/>
        <v>0</v>
      </c>
      <c r="W94" s="66">
        <f t="shared" si="188"/>
        <v>0</v>
      </c>
      <c r="X94" s="68">
        <v>1250.0</v>
      </c>
      <c r="Y94" s="66">
        <f t="shared" si="189"/>
        <v>0</v>
      </c>
      <c r="Z94" s="69">
        <f t="shared" si="190"/>
        <v>1250</v>
      </c>
      <c r="AA94" s="70"/>
      <c r="AB94" s="71"/>
      <c r="AC94" s="66"/>
      <c r="AD94" s="78"/>
      <c r="AE94" s="73"/>
      <c r="AF94" s="76"/>
      <c r="AG94" s="75"/>
      <c r="AH94" s="66"/>
      <c r="AI94" s="66"/>
      <c r="AJ94" s="66"/>
      <c r="AK94" s="66"/>
      <c r="AL94" s="68"/>
      <c r="AM94" s="66"/>
      <c r="AN94" s="69"/>
      <c r="AO94" s="70"/>
      <c r="AP94" s="71"/>
      <c r="AQ94" s="66"/>
      <c r="AR94" s="78"/>
      <c r="AS94" s="73"/>
    </row>
    <row r="95">
      <c r="A95" s="106" t="s">
        <v>107</v>
      </c>
      <c r="B95" s="133">
        <f>B89*3+B88*3</f>
        <v>54000</v>
      </c>
      <c r="C95" s="65">
        <f t="shared" si="206"/>
        <v>44280</v>
      </c>
      <c r="D95" s="66">
        <f t="shared" si="207"/>
        <v>39891.89189</v>
      </c>
      <c r="E95" s="124">
        <v>1.0</v>
      </c>
      <c r="F95" s="66">
        <f t="shared" si="175"/>
        <v>0</v>
      </c>
      <c r="G95" s="66">
        <f t="shared" si="176"/>
        <v>0</v>
      </c>
      <c r="H95" s="66">
        <f t="shared" si="177"/>
        <v>0</v>
      </c>
      <c r="I95" s="66">
        <f t="shared" si="178"/>
        <v>0</v>
      </c>
      <c r="J95" s="68">
        <v>1250.0</v>
      </c>
      <c r="K95" s="66">
        <f t="shared" si="179"/>
        <v>3542.4</v>
      </c>
      <c r="L95" s="69">
        <f t="shared" si="180"/>
        <v>44684.29189</v>
      </c>
      <c r="M95" s="70" t="str">
        <f t="shared" si="208"/>
        <v>#DIV/0!</v>
      </c>
      <c r="N95" s="71">
        <f t="shared" si="209"/>
        <v>-44684.29189</v>
      </c>
      <c r="O95" s="66">
        <f t="shared" si="210"/>
        <v>0</v>
      </c>
      <c r="P95" s="78"/>
      <c r="Q95" s="73">
        <f t="shared" si="211"/>
        <v>0</v>
      </c>
      <c r="R95" s="74"/>
      <c r="S95" s="75"/>
      <c r="T95" s="66">
        <f t="shared" si="185"/>
        <v>0</v>
      </c>
      <c r="U95" s="66">
        <f t="shared" si="186"/>
        <v>0</v>
      </c>
      <c r="V95" s="66">
        <f t="shared" si="187"/>
        <v>0</v>
      </c>
      <c r="W95" s="66">
        <f t="shared" si="188"/>
        <v>0</v>
      </c>
      <c r="X95" s="68">
        <v>1250.0</v>
      </c>
      <c r="Y95" s="66">
        <f t="shared" si="189"/>
        <v>0</v>
      </c>
      <c r="Z95" s="69">
        <f t="shared" si="190"/>
        <v>1250</v>
      </c>
      <c r="AA95" s="70"/>
      <c r="AB95" s="71"/>
      <c r="AC95" s="66"/>
      <c r="AD95" s="78"/>
      <c r="AE95" s="73"/>
      <c r="AF95" s="76"/>
      <c r="AG95" s="75"/>
      <c r="AH95" s="66"/>
      <c r="AI95" s="66"/>
      <c r="AJ95" s="66"/>
      <c r="AK95" s="66"/>
      <c r="AL95" s="68"/>
      <c r="AM95" s="66"/>
      <c r="AN95" s="69"/>
      <c r="AO95" s="70"/>
      <c r="AP95" s="71"/>
      <c r="AQ95" s="66"/>
      <c r="AR95" s="78"/>
      <c r="AS95" s="73"/>
    </row>
    <row r="96">
      <c r="A96" s="106" t="s">
        <v>108</v>
      </c>
      <c r="B96" s="133">
        <f>B88*3+B84*3</f>
        <v>25353</v>
      </c>
      <c r="C96" s="65">
        <f t="shared" si="206"/>
        <v>20789.46</v>
      </c>
      <c r="D96" s="66">
        <f t="shared" si="207"/>
        <v>18729.24324</v>
      </c>
      <c r="E96" s="124">
        <v>1.0</v>
      </c>
      <c r="F96" s="66">
        <f t="shared" si="175"/>
        <v>0</v>
      </c>
      <c r="G96" s="66">
        <f t="shared" si="176"/>
        <v>0</v>
      </c>
      <c r="H96" s="66">
        <f t="shared" si="177"/>
        <v>0</v>
      </c>
      <c r="I96" s="66">
        <f t="shared" si="178"/>
        <v>0</v>
      </c>
      <c r="J96" s="68">
        <v>1250.0</v>
      </c>
      <c r="K96" s="66">
        <f t="shared" si="179"/>
        <v>1663.1568</v>
      </c>
      <c r="L96" s="69">
        <f t="shared" si="180"/>
        <v>21642.40004</v>
      </c>
      <c r="M96" s="70" t="str">
        <f t="shared" si="208"/>
        <v>#DIV/0!</v>
      </c>
      <c r="N96" s="71">
        <f t="shared" si="209"/>
        <v>-21642.40004</v>
      </c>
      <c r="O96" s="66">
        <f t="shared" si="210"/>
        <v>0</v>
      </c>
      <c r="P96" s="78"/>
      <c r="Q96" s="73">
        <f t="shared" si="211"/>
        <v>0</v>
      </c>
      <c r="R96" s="74"/>
      <c r="S96" s="75"/>
      <c r="T96" s="66">
        <f t="shared" si="185"/>
        <v>0</v>
      </c>
      <c r="U96" s="66">
        <f t="shared" si="186"/>
        <v>0</v>
      </c>
      <c r="V96" s="66">
        <f t="shared" si="187"/>
        <v>0</v>
      </c>
      <c r="W96" s="66">
        <f t="shared" si="188"/>
        <v>0</v>
      </c>
      <c r="X96" s="68">
        <v>1250.0</v>
      </c>
      <c r="Y96" s="66">
        <f t="shared" si="189"/>
        <v>0</v>
      </c>
      <c r="Z96" s="69">
        <f t="shared" si="190"/>
        <v>1250</v>
      </c>
      <c r="AA96" s="70"/>
      <c r="AB96" s="71"/>
      <c r="AC96" s="66"/>
      <c r="AD96" s="78"/>
      <c r="AE96" s="73"/>
      <c r="AF96" s="76"/>
      <c r="AG96" s="75"/>
      <c r="AH96" s="66"/>
      <c r="AI96" s="66"/>
      <c r="AJ96" s="66"/>
      <c r="AK96" s="66"/>
      <c r="AL96" s="68"/>
      <c r="AM96" s="66"/>
      <c r="AN96" s="69"/>
      <c r="AO96" s="70"/>
      <c r="AP96" s="71"/>
      <c r="AQ96" s="66"/>
      <c r="AR96" s="78"/>
      <c r="AS96" s="73"/>
    </row>
    <row r="97">
      <c r="A97" s="106" t="s">
        <v>109</v>
      </c>
      <c r="B97" s="133">
        <f>B88*3+B85*3</f>
        <v>27600</v>
      </c>
      <c r="C97" s="65">
        <f t="shared" si="206"/>
        <v>22632</v>
      </c>
      <c r="D97" s="66">
        <f t="shared" si="207"/>
        <v>20389.18919</v>
      </c>
      <c r="E97" s="124">
        <v>1.0</v>
      </c>
      <c r="F97" s="66">
        <f t="shared" si="175"/>
        <v>0</v>
      </c>
      <c r="G97" s="66">
        <f t="shared" si="176"/>
        <v>0</v>
      </c>
      <c r="H97" s="66">
        <f t="shared" si="177"/>
        <v>0</v>
      </c>
      <c r="I97" s="66">
        <f t="shared" si="178"/>
        <v>0</v>
      </c>
      <c r="J97" s="68">
        <v>1250.0</v>
      </c>
      <c r="K97" s="66">
        <f t="shared" si="179"/>
        <v>1810.56</v>
      </c>
      <c r="L97" s="69">
        <f t="shared" si="180"/>
        <v>23449.74919</v>
      </c>
      <c r="M97" s="70" t="str">
        <f t="shared" si="208"/>
        <v>#DIV/0!</v>
      </c>
      <c r="N97" s="71">
        <f t="shared" si="209"/>
        <v>-23449.74919</v>
      </c>
      <c r="O97" s="66">
        <f t="shared" si="210"/>
        <v>0</v>
      </c>
      <c r="P97" s="78"/>
      <c r="Q97" s="73">
        <f t="shared" si="211"/>
        <v>0</v>
      </c>
      <c r="R97" s="74"/>
      <c r="S97" s="75"/>
      <c r="T97" s="66">
        <f t="shared" si="185"/>
        <v>0</v>
      </c>
      <c r="U97" s="66">
        <f t="shared" si="186"/>
        <v>0</v>
      </c>
      <c r="V97" s="66">
        <f t="shared" si="187"/>
        <v>0</v>
      </c>
      <c r="W97" s="66">
        <f t="shared" si="188"/>
        <v>0</v>
      </c>
      <c r="X97" s="68">
        <v>1250.0</v>
      </c>
      <c r="Y97" s="66">
        <f t="shared" si="189"/>
        <v>0</v>
      </c>
      <c r="Z97" s="69">
        <f t="shared" si="190"/>
        <v>1250</v>
      </c>
      <c r="AA97" s="70"/>
      <c r="AB97" s="71"/>
      <c r="AC97" s="66"/>
      <c r="AD97" s="78"/>
      <c r="AE97" s="73"/>
      <c r="AF97" s="76"/>
      <c r="AG97" s="75"/>
      <c r="AH97" s="66"/>
      <c r="AI97" s="66"/>
      <c r="AJ97" s="66"/>
      <c r="AK97" s="66"/>
      <c r="AL97" s="68"/>
      <c r="AM97" s="66"/>
      <c r="AN97" s="69"/>
      <c r="AO97" s="70"/>
      <c r="AP97" s="71"/>
      <c r="AQ97" s="66"/>
      <c r="AR97" s="78"/>
      <c r="AS97" s="73"/>
    </row>
    <row r="98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7"/>
      <c r="S98" s="136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76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</row>
    <row r="99">
      <c r="A99" s="106" t="s">
        <v>110</v>
      </c>
      <c r="B99" s="65">
        <f t="shared" ref="B99:B101" si="212">B84</f>
        <v>1951</v>
      </c>
      <c r="C99" s="65">
        <f t="shared" ref="C99:C103" si="213">B99*$C$4</f>
        <v>1599.82</v>
      </c>
      <c r="D99" s="66">
        <f t="shared" ref="D99:D103" si="214">C99/$D$4</f>
        <v>1441.279279</v>
      </c>
      <c r="E99" s="134">
        <v>55.0</v>
      </c>
      <c r="F99" s="66">
        <f t="shared" ref="F99:F103" si="215">P99*$F$3</f>
        <v>19169.1</v>
      </c>
      <c r="G99" s="66">
        <f t="shared" ref="G99:G103" si="216">P99*$G$3</f>
        <v>12996</v>
      </c>
      <c r="H99" s="66">
        <f t="shared" ref="H99:H103" si="217">P99*$H$3</f>
        <v>7310.25</v>
      </c>
      <c r="I99" s="66">
        <f t="shared" ref="I99:I103" si="218">P99*$I$3</f>
        <v>2924.1</v>
      </c>
      <c r="J99" s="68">
        <v>1250.0</v>
      </c>
      <c r="K99" s="66">
        <f t="shared" ref="K99:K103" si="219">C99*$K$3*E99</f>
        <v>7039.208</v>
      </c>
      <c r="L99" s="69">
        <f t="shared" ref="L99:L103" si="220">(D99*E99)+F99+G99+H99+I99+J99+K99</f>
        <v>129959.0184</v>
      </c>
      <c r="M99" s="70">
        <f t="shared" ref="M99:M103" si="221">N99/O99</f>
        <v>0.1120067074</v>
      </c>
      <c r="N99" s="71">
        <f t="shared" ref="N99:N103" si="222">O99-L99</f>
        <v>16392.33299</v>
      </c>
      <c r="O99" s="66">
        <f t="shared" ref="O99:O103" si="223">P99/$O$4</f>
        <v>146351.3514</v>
      </c>
      <c r="P99" s="78">
        <v>162450.0</v>
      </c>
      <c r="Q99" s="73">
        <f t="shared" ref="Q99:Q103" si="224">P99/E99</f>
        <v>2953.636364</v>
      </c>
      <c r="R99" s="74"/>
      <c r="S99" s="75"/>
      <c r="T99" s="66">
        <f t="shared" ref="T99:T103" si="225">AD99*$T$3</f>
        <v>0</v>
      </c>
      <c r="U99" s="66">
        <f t="shared" ref="U99:U103" si="226">AD99*$U$3</f>
        <v>0</v>
      </c>
      <c r="V99" s="66">
        <f t="shared" ref="V99:V103" si="227">AD99*$V$3</f>
        <v>0</v>
      </c>
      <c r="W99" s="66">
        <f t="shared" ref="W99:W103" si="228">AD99*$W$3</f>
        <v>0</v>
      </c>
      <c r="X99" s="68">
        <v>1250.0</v>
      </c>
      <c r="Y99" s="66">
        <f t="shared" ref="Y99:Y103" si="229">R99*$Y$3</f>
        <v>0</v>
      </c>
      <c r="Z99" s="69">
        <f t="shared" ref="Z99:Z103" si="230">(D99*S99)+T99+U99+V99+W99+X99+Y99</f>
        <v>1250</v>
      </c>
      <c r="AA99" s="70" t="str">
        <f t="shared" ref="AA99:AA103" si="231">AB99/AC99</f>
        <v>#DIV/0!</v>
      </c>
      <c r="AB99" s="71">
        <f t="shared" ref="AB99:AB103" si="232">AC99-Z99</f>
        <v>-1250</v>
      </c>
      <c r="AC99" s="66">
        <f t="shared" ref="AC99:AC103" si="233">AD99/$O$4</f>
        <v>0</v>
      </c>
      <c r="AD99" s="78"/>
      <c r="AE99" s="73" t="str">
        <f t="shared" ref="AE99:AE103" si="234">AD99/S99</f>
        <v>#DIV/0!</v>
      </c>
      <c r="AF99" s="76"/>
      <c r="AG99" s="75"/>
      <c r="AH99" s="66">
        <f t="shared" ref="AH99:AH103" si="235">AR99*$AH$3</f>
        <v>0</v>
      </c>
      <c r="AI99" s="66">
        <f t="shared" ref="AI99:AI103" si="236">AR99*$AI$3</f>
        <v>0</v>
      </c>
      <c r="AJ99" s="66">
        <f t="shared" ref="AJ99:AJ103" si="237">AR99*$AJ$3</f>
        <v>0</v>
      </c>
      <c r="AK99" s="66">
        <f t="shared" ref="AK99:AK103" si="238">AR99*$AK$3</f>
        <v>0</v>
      </c>
      <c r="AL99" s="68">
        <v>1250.0</v>
      </c>
      <c r="AM99" s="66">
        <f t="shared" ref="AM99:AM103" si="239">AF99*$AM$3</f>
        <v>0</v>
      </c>
      <c r="AN99" s="69">
        <f t="shared" ref="AN99:AN103" si="240">(R99*AG99)+AH99+AI99+AJ99+AK99+AL99+AM99</f>
        <v>1250</v>
      </c>
      <c r="AO99" s="70" t="str">
        <f t="shared" ref="AO99:AO103" si="241">AP99/AQ99</f>
        <v>#DIV/0!</v>
      </c>
      <c r="AP99" s="71">
        <f t="shared" ref="AP99:AP103" si="242">AQ99-AN99</f>
        <v>-1250</v>
      </c>
      <c r="AQ99" s="66">
        <f t="shared" ref="AQ99:AQ103" si="243">AR99/$O$4</f>
        <v>0</v>
      </c>
      <c r="AR99" s="78"/>
      <c r="AS99" s="73" t="str">
        <f t="shared" ref="AS99:AS103" si="244">AR99/AG99</f>
        <v>#DIV/0!</v>
      </c>
    </row>
    <row r="100">
      <c r="A100" s="106" t="s">
        <v>111</v>
      </c>
      <c r="B100" s="65">
        <f t="shared" si="212"/>
        <v>2700</v>
      </c>
      <c r="C100" s="65">
        <f t="shared" si="213"/>
        <v>2214</v>
      </c>
      <c r="D100" s="66">
        <f t="shared" si="214"/>
        <v>1994.594595</v>
      </c>
      <c r="E100" s="134">
        <v>55.0</v>
      </c>
      <c r="F100" s="66">
        <f t="shared" si="215"/>
        <v>23246</v>
      </c>
      <c r="G100" s="66">
        <f t="shared" si="216"/>
        <v>15760</v>
      </c>
      <c r="H100" s="66">
        <f t="shared" si="217"/>
        <v>8865</v>
      </c>
      <c r="I100" s="66">
        <f t="shared" si="218"/>
        <v>3546</v>
      </c>
      <c r="J100" s="68">
        <v>1250.0</v>
      </c>
      <c r="K100" s="66">
        <f t="shared" si="219"/>
        <v>9741.6</v>
      </c>
      <c r="L100" s="69">
        <f t="shared" si="220"/>
        <v>172111.3027</v>
      </c>
      <c r="M100" s="70">
        <f t="shared" si="221"/>
        <v>0.03023580711</v>
      </c>
      <c r="N100" s="71">
        <f t="shared" si="222"/>
        <v>5366.174775</v>
      </c>
      <c r="O100" s="66">
        <f t="shared" si="223"/>
        <v>177477.4775</v>
      </c>
      <c r="P100" s="78">
        <v>197000.0</v>
      </c>
      <c r="Q100" s="73">
        <f t="shared" si="224"/>
        <v>3581.818182</v>
      </c>
      <c r="R100" s="74"/>
      <c r="S100" s="75"/>
      <c r="T100" s="66">
        <f t="shared" si="225"/>
        <v>0</v>
      </c>
      <c r="U100" s="66">
        <f t="shared" si="226"/>
        <v>0</v>
      </c>
      <c r="V100" s="66">
        <f t="shared" si="227"/>
        <v>0</v>
      </c>
      <c r="W100" s="66">
        <f t="shared" si="228"/>
        <v>0</v>
      </c>
      <c r="X100" s="68">
        <v>1250.0</v>
      </c>
      <c r="Y100" s="66">
        <f t="shared" si="229"/>
        <v>0</v>
      </c>
      <c r="Z100" s="69">
        <f t="shared" si="230"/>
        <v>1250</v>
      </c>
      <c r="AA100" s="70" t="str">
        <f t="shared" si="231"/>
        <v>#DIV/0!</v>
      </c>
      <c r="AB100" s="71">
        <f t="shared" si="232"/>
        <v>-1250</v>
      </c>
      <c r="AC100" s="66">
        <f t="shared" si="233"/>
        <v>0</v>
      </c>
      <c r="AD100" s="78"/>
      <c r="AE100" s="73" t="str">
        <f t="shared" si="234"/>
        <v>#DIV/0!</v>
      </c>
      <c r="AF100" s="76"/>
      <c r="AG100" s="75"/>
      <c r="AH100" s="66">
        <f t="shared" si="235"/>
        <v>0</v>
      </c>
      <c r="AI100" s="66">
        <f t="shared" si="236"/>
        <v>0</v>
      </c>
      <c r="AJ100" s="66">
        <f t="shared" si="237"/>
        <v>0</v>
      </c>
      <c r="AK100" s="66">
        <f t="shared" si="238"/>
        <v>0</v>
      </c>
      <c r="AL100" s="68">
        <v>1250.0</v>
      </c>
      <c r="AM100" s="66">
        <f t="shared" si="239"/>
        <v>0</v>
      </c>
      <c r="AN100" s="69">
        <f t="shared" si="240"/>
        <v>1250</v>
      </c>
      <c r="AO100" s="70" t="str">
        <f t="shared" si="241"/>
        <v>#DIV/0!</v>
      </c>
      <c r="AP100" s="71">
        <f t="shared" si="242"/>
        <v>-1250</v>
      </c>
      <c r="AQ100" s="66">
        <f t="shared" si="243"/>
        <v>0</v>
      </c>
      <c r="AR100" s="78"/>
      <c r="AS100" s="73" t="str">
        <f t="shared" si="244"/>
        <v>#DIV/0!</v>
      </c>
    </row>
    <row r="101">
      <c r="A101" s="106" t="s">
        <v>112</v>
      </c>
      <c r="B101" s="65">
        <f t="shared" si="212"/>
        <v>3700</v>
      </c>
      <c r="C101" s="65">
        <f t="shared" si="213"/>
        <v>3034</v>
      </c>
      <c r="D101" s="66">
        <f t="shared" si="214"/>
        <v>2733.333333</v>
      </c>
      <c r="E101" s="134">
        <v>55.0</v>
      </c>
      <c r="F101" s="66">
        <f t="shared" si="215"/>
        <v>31742</v>
      </c>
      <c r="G101" s="66">
        <f t="shared" si="216"/>
        <v>21520</v>
      </c>
      <c r="H101" s="66">
        <f t="shared" si="217"/>
        <v>12105</v>
      </c>
      <c r="I101" s="66">
        <f t="shared" si="218"/>
        <v>4842</v>
      </c>
      <c r="J101" s="68">
        <v>1250.0</v>
      </c>
      <c r="K101" s="66">
        <f t="shared" si="219"/>
        <v>13349.6</v>
      </c>
      <c r="L101" s="69">
        <f t="shared" si="220"/>
        <v>235141.9333</v>
      </c>
      <c r="M101" s="70">
        <f t="shared" si="221"/>
        <v>0.02971172491</v>
      </c>
      <c r="N101" s="71">
        <f t="shared" si="222"/>
        <v>7200.409009</v>
      </c>
      <c r="O101" s="66">
        <f t="shared" si="223"/>
        <v>242342.3423</v>
      </c>
      <c r="P101" s="78">
        <v>269000.0</v>
      </c>
      <c r="Q101" s="73">
        <f t="shared" si="224"/>
        <v>4890.909091</v>
      </c>
      <c r="R101" s="74"/>
      <c r="S101" s="75"/>
      <c r="T101" s="66">
        <f t="shared" si="225"/>
        <v>0</v>
      </c>
      <c r="U101" s="66">
        <f t="shared" si="226"/>
        <v>0</v>
      </c>
      <c r="V101" s="66">
        <f t="shared" si="227"/>
        <v>0</v>
      </c>
      <c r="W101" s="66">
        <f t="shared" si="228"/>
        <v>0</v>
      </c>
      <c r="X101" s="68">
        <v>1250.0</v>
      </c>
      <c r="Y101" s="66">
        <f t="shared" si="229"/>
        <v>0</v>
      </c>
      <c r="Z101" s="69">
        <f t="shared" si="230"/>
        <v>1250</v>
      </c>
      <c r="AA101" s="70" t="str">
        <f t="shared" si="231"/>
        <v>#DIV/0!</v>
      </c>
      <c r="AB101" s="71">
        <f t="shared" si="232"/>
        <v>-1250</v>
      </c>
      <c r="AC101" s="66">
        <f t="shared" si="233"/>
        <v>0</v>
      </c>
      <c r="AD101" s="78"/>
      <c r="AE101" s="73" t="str">
        <f t="shared" si="234"/>
        <v>#DIV/0!</v>
      </c>
      <c r="AF101" s="76"/>
      <c r="AG101" s="75"/>
      <c r="AH101" s="66">
        <f t="shared" si="235"/>
        <v>0</v>
      </c>
      <c r="AI101" s="66">
        <f t="shared" si="236"/>
        <v>0</v>
      </c>
      <c r="AJ101" s="66">
        <f t="shared" si="237"/>
        <v>0</v>
      </c>
      <c r="AK101" s="66">
        <f t="shared" si="238"/>
        <v>0</v>
      </c>
      <c r="AL101" s="68">
        <v>1250.0</v>
      </c>
      <c r="AM101" s="66">
        <f t="shared" si="239"/>
        <v>0</v>
      </c>
      <c r="AN101" s="69">
        <f t="shared" si="240"/>
        <v>1250</v>
      </c>
      <c r="AO101" s="70" t="str">
        <f t="shared" si="241"/>
        <v>#DIV/0!</v>
      </c>
      <c r="AP101" s="71">
        <f t="shared" si="242"/>
        <v>-1250</v>
      </c>
      <c r="AQ101" s="66">
        <f t="shared" si="243"/>
        <v>0</v>
      </c>
      <c r="AR101" s="78"/>
      <c r="AS101" s="73" t="str">
        <f t="shared" si="244"/>
        <v>#DIV/0!</v>
      </c>
    </row>
    <row r="102">
      <c r="A102" s="106" t="s">
        <v>113</v>
      </c>
      <c r="B102" s="65">
        <f t="shared" ref="B102:B103" si="245">B88</f>
        <v>6500</v>
      </c>
      <c r="C102" s="65">
        <f t="shared" si="213"/>
        <v>5330</v>
      </c>
      <c r="D102" s="66">
        <f t="shared" si="214"/>
        <v>4801.801802</v>
      </c>
      <c r="E102" s="134">
        <v>30.0</v>
      </c>
      <c r="F102" s="66">
        <f t="shared" si="215"/>
        <v>30208</v>
      </c>
      <c r="G102" s="66">
        <f t="shared" si="216"/>
        <v>20480</v>
      </c>
      <c r="H102" s="66">
        <f t="shared" si="217"/>
        <v>11520</v>
      </c>
      <c r="I102" s="66">
        <f t="shared" si="218"/>
        <v>4608</v>
      </c>
      <c r="J102" s="68">
        <v>1250.0</v>
      </c>
      <c r="K102" s="66">
        <f t="shared" si="219"/>
        <v>12792</v>
      </c>
      <c r="L102" s="69">
        <f t="shared" si="220"/>
        <v>224912.0541</v>
      </c>
      <c r="M102" s="70">
        <f t="shared" si="221"/>
        <v>0.02479539063</v>
      </c>
      <c r="N102" s="71">
        <f t="shared" si="222"/>
        <v>5718.576577</v>
      </c>
      <c r="O102" s="66">
        <f t="shared" si="223"/>
        <v>230630.6306</v>
      </c>
      <c r="P102" s="78">
        <v>256000.0</v>
      </c>
      <c r="Q102" s="73">
        <f t="shared" si="224"/>
        <v>8533.333333</v>
      </c>
      <c r="R102" s="74"/>
      <c r="S102" s="75"/>
      <c r="T102" s="66">
        <f t="shared" si="225"/>
        <v>0</v>
      </c>
      <c r="U102" s="66">
        <f t="shared" si="226"/>
        <v>0</v>
      </c>
      <c r="V102" s="66">
        <f t="shared" si="227"/>
        <v>0</v>
      </c>
      <c r="W102" s="66">
        <f t="shared" si="228"/>
        <v>0</v>
      </c>
      <c r="X102" s="68">
        <v>1250.0</v>
      </c>
      <c r="Y102" s="66">
        <f t="shared" si="229"/>
        <v>0</v>
      </c>
      <c r="Z102" s="69">
        <f t="shared" si="230"/>
        <v>1250</v>
      </c>
      <c r="AA102" s="70" t="str">
        <f t="shared" si="231"/>
        <v>#DIV/0!</v>
      </c>
      <c r="AB102" s="71">
        <f t="shared" si="232"/>
        <v>-1250</v>
      </c>
      <c r="AC102" s="66">
        <f t="shared" si="233"/>
        <v>0</v>
      </c>
      <c r="AD102" s="78"/>
      <c r="AE102" s="73" t="str">
        <f t="shared" si="234"/>
        <v>#DIV/0!</v>
      </c>
      <c r="AF102" s="76"/>
      <c r="AG102" s="75"/>
      <c r="AH102" s="66">
        <f t="shared" si="235"/>
        <v>0</v>
      </c>
      <c r="AI102" s="66">
        <f t="shared" si="236"/>
        <v>0</v>
      </c>
      <c r="AJ102" s="66">
        <f t="shared" si="237"/>
        <v>0</v>
      </c>
      <c r="AK102" s="66">
        <f t="shared" si="238"/>
        <v>0</v>
      </c>
      <c r="AL102" s="68">
        <v>1250.0</v>
      </c>
      <c r="AM102" s="66">
        <f t="shared" si="239"/>
        <v>0</v>
      </c>
      <c r="AN102" s="69">
        <f t="shared" si="240"/>
        <v>1250</v>
      </c>
      <c r="AO102" s="70" t="str">
        <f t="shared" si="241"/>
        <v>#DIV/0!</v>
      </c>
      <c r="AP102" s="71">
        <f t="shared" si="242"/>
        <v>-1250</v>
      </c>
      <c r="AQ102" s="66">
        <f t="shared" si="243"/>
        <v>0</v>
      </c>
      <c r="AR102" s="78"/>
      <c r="AS102" s="73" t="str">
        <f t="shared" si="244"/>
        <v>#DIV/0!</v>
      </c>
    </row>
    <row r="103">
      <c r="A103" s="106" t="s">
        <v>114</v>
      </c>
      <c r="B103" s="81">
        <f t="shared" si="245"/>
        <v>11500</v>
      </c>
      <c r="C103" s="65">
        <f t="shared" si="213"/>
        <v>9430</v>
      </c>
      <c r="D103" s="66">
        <f t="shared" si="214"/>
        <v>8495.495495</v>
      </c>
      <c r="E103" s="138">
        <v>4.0</v>
      </c>
      <c r="F103" s="66">
        <f t="shared" si="215"/>
        <v>7316</v>
      </c>
      <c r="G103" s="66">
        <f t="shared" si="216"/>
        <v>4960</v>
      </c>
      <c r="H103" s="66">
        <f t="shared" si="217"/>
        <v>2790</v>
      </c>
      <c r="I103" s="66">
        <f t="shared" si="218"/>
        <v>1116</v>
      </c>
      <c r="J103" s="68">
        <v>1250.0</v>
      </c>
      <c r="K103" s="66">
        <f t="shared" si="219"/>
        <v>3017.6</v>
      </c>
      <c r="L103" s="69">
        <f t="shared" si="220"/>
        <v>54431.58198</v>
      </c>
      <c r="M103" s="70">
        <f t="shared" si="221"/>
        <v>0.02549909677</v>
      </c>
      <c r="N103" s="71">
        <f t="shared" si="222"/>
        <v>1424.273874</v>
      </c>
      <c r="O103" s="66">
        <f t="shared" si="223"/>
        <v>55855.85586</v>
      </c>
      <c r="P103" s="78">
        <v>62000.0</v>
      </c>
      <c r="Q103" s="73">
        <f t="shared" si="224"/>
        <v>15500</v>
      </c>
      <c r="R103" s="74"/>
      <c r="S103" s="75"/>
      <c r="T103" s="66">
        <f t="shared" si="225"/>
        <v>0</v>
      </c>
      <c r="U103" s="66">
        <f t="shared" si="226"/>
        <v>0</v>
      </c>
      <c r="V103" s="66">
        <f t="shared" si="227"/>
        <v>0</v>
      </c>
      <c r="W103" s="66">
        <f t="shared" si="228"/>
        <v>0</v>
      </c>
      <c r="X103" s="68">
        <v>1250.0</v>
      </c>
      <c r="Y103" s="66">
        <f t="shared" si="229"/>
        <v>0</v>
      </c>
      <c r="Z103" s="69">
        <f t="shared" si="230"/>
        <v>1250</v>
      </c>
      <c r="AA103" s="70" t="str">
        <f t="shared" si="231"/>
        <v>#DIV/0!</v>
      </c>
      <c r="AB103" s="71">
        <f t="shared" si="232"/>
        <v>-1250</v>
      </c>
      <c r="AC103" s="66">
        <f t="shared" si="233"/>
        <v>0</v>
      </c>
      <c r="AD103" s="78"/>
      <c r="AE103" s="73" t="str">
        <f t="shared" si="234"/>
        <v>#DIV/0!</v>
      </c>
      <c r="AF103" s="76"/>
      <c r="AG103" s="75"/>
      <c r="AH103" s="66">
        <f t="shared" si="235"/>
        <v>0</v>
      </c>
      <c r="AI103" s="66">
        <f t="shared" si="236"/>
        <v>0</v>
      </c>
      <c r="AJ103" s="66">
        <f t="shared" si="237"/>
        <v>0</v>
      </c>
      <c r="AK103" s="66">
        <f t="shared" si="238"/>
        <v>0</v>
      </c>
      <c r="AL103" s="68">
        <v>1250.0</v>
      </c>
      <c r="AM103" s="66">
        <f t="shared" si="239"/>
        <v>0</v>
      </c>
      <c r="AN103" s="69">
        <f t="shared" si="240"/>
        <v>1250</v>
      </c>
      <c r="AO103" s="70" t="str">
        <f t="shared" si="241"/>
        <v>#DIV/0!</v>
      </c>
      <c r="AP103" s="71">
        <f t="shared" si="242"/>
        <v>-1250</v>
      </c>
      <c r="AQ103" s="66">
        <f t="shared" si="243"/>
        <v>0</v>
      </c>
      <c r="AR103" s="78"/>
      <c r="AS103" s="73" t="str">
        <f t="shared" si="244"/>
        <v>#DIV/0!</v>
      </c>
    </row>
    <row r="104">
      <c r="A104" s="139" t="s">
        <v>115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140"/>
      <c r="S104" s="94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76"/>
      <c r="AG104" s="141"/>
      <c r="AH104" s="141"/>
      <c r="AI104" s="141"/>
      <c r="AJ104" s="141"/>
      <c r="AK104" s="141"/>
      <c r="AL104" s="141"/>
      <c r="AM104" s="141"/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  <c r="AY104" s="141"/>
      <c r="AZ104" s="141"/>
      <c r="BA104" s="141"/>
      <c r="BB104" s="141"/>
      <c r="BC104" s="141"/>
    </row>
    <row r="105">
      <c r="A105" s="106" t="s">
        <v>116</v>
      </c>
      <c r="B105" s="82">
        <f>B86*5+B13</f>
        <v>24400</v>
      </c>
      <c r="C105" s="65">
        <f>B105*$C$4</f>
        <v>20008</v>
      </c>
      <c r="D105" s="66">
        <f>C105/$D$4</f>
        <v>18025.22523</v>
      </c>
      <c r="E105" s="142">
        <v>1.0</v>
      </c>
      <c r="F105" s="66">
        <f>P105*$F$3</f>
        <v>4012</v>
      </c>
      <c r="G105" s="66">
        <f>P105*$G$3</f>
        <v>2720</v>
      </c>
      <c r="H105" s="66">
        <f>P105*$H$3</f>
        <v>1530</v>
      </c>
      <c r="I105" s="66">
        <f>P105*$I$3</f>
        <v>612</v>
      </c>
      <c r="J105" s="68">
        <v>1250.0</v>
      </c>
      <c r="K105" s="66">
        <f>C105*$K$3*E105</f>
        <v>1600.64</v>
      </c>
      <c r="L105" s="69">
        <f>(D105*E105)+F105+G105+H105+I105+J105+K105</f>
        <v>29749.86523</v>
      </c>
      <c r="M105" s="70">
        <f>N105/O105</f>
        <v>0.0287544</v>
      </c>
      <c r="N105" s="71">
        <f>O105-L105</f>
        <v>880.7654054</v>
      </c>
      <c r="O105" s="66">
        <f>P105/$O$4</f>
        <v>30630.63063</v>
      </c>
      <c r="P105" s="78">
        <v>34000.0</v>
      </c>
      <c r="Q105" s="73">
        <f>P105/E105</f>
        <v>34000</v>
      </c>
      <c r="R105" s="74"/>
      <c r="AF105" s="76"/>
      <c r="AG105" s="75"/>
      <c r="AH105" s="66">
        <f>AR105*$AH$3</f>
        <v>0</v>
      </c>
      <c r="AI105" s="66">
        <f>AR105*$AI$3</f>
        <v>0</v>
      </c>
      <c r="AJ105" s="66">
        <f>AR105*$AJ$3</f>
        <v>0</v>
      </c>
      <c r="AK105" s="66">
        <f>AR105*$AK$3</f>
        <v>0</v>
      </c>
      <c r="AL105" s="68">
        <v>1250.0</v>
      </c>
      <c r="AM105" s="66">
        <f>AF105*$AM$3</f>
        <v>0</v>
      </c>
      <c r="AN105" s="69">
        <f>(R105*AG105)+AH105+AI105+AJ105+AK105+AL105+AM105</f>
        <v>1250</v>
      </c>
      <c r="AO105" s="70" t="str">
        <f>AP105/AQ105</f>
        <v>#DIV/0!</v>
      </c>
      <c r="AP105" s="71">
        <f>AQ105-AN105</f>
        <v>-1250</v>
      </c>
      <c r="AQ105" s="66">
        <f>AR105/$O$4</f>
        <v>0</v>
      </c>
      <c r="AR105" s="78"/>
      <c r="AS105" s="73" t="str">
        <f>AR105/AG105</f>
        <v>#DIV/0!</v>
      </c>
    </row>
    <row r="106" ht="33.75" customHeight="1">
      <c r="A106" s="143" t="s">
        <v>117</v>
      </c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5"/>
      <c r="AU106" s="145"/>
      <c r="AV106" s="145"/>
      <c r="AW106" s="145"/>
      <c r="AX106" s="145"/>
      <c r="AY106" s="145"/>
      <c r="AZ106" s="145"/>
      <c r="BA106" s="145"/>
      <c r="BB106" s="145"/>
      <c r="BC106" s="145"/>
    </row>
    <row r="107">
      <c r="A107" s="106" t="s">
        <v>118</v>
      </c>
      <c r="B107" s="111">
        <v>3200.0</v>
      </c>
      <c r="C107" s="65">
        <f t="shared" ref="C107:C116" si="246">B107*$C$4</f>
        <v>2624</v>
      </c>
      <c r="D107" s="66">
        <f t="shared" ref="D107:D116" si="247">C107/$D$4</f>
        <v>2363.963964</v>
      </c>
      <c r="E107" s="124">
        <v>4.0</v>
      </c>
      <c r="F107" s="66">
        <f t="shared" ref="F107:F116" si="248">P107*$F$3</f>
        <v>2360</v>
      </c>
      <c r="G107" s="66">
        <f t="shared" ref="G107:G116" si="249">P107*$G$3</f>
        <v>1600</v>
      </c>
      <c r="H107" s="66">
        <f t="shared" ref="H107:H116" si="250">P107*$H$3</f>
        <v>900</v>
      </c>
      <c r="I107" s="66">
        <f t="shared" ref="I107:I116" si="251">P107*$I$3</f>
        <v>360</v>
      </c>
      <c r="J107" s="68">
        <v>1250.0</v>
      </c>
      <c r="K107" s="66">
        <f t="shared" ref="K107:K116" si="252">C107*$K$3*E107</f>
        <v>839.68</v>
      </c>
      <c r="L107" s="69">
        <f t="shared" ref="L107:L116" si="253">(D107*E107)+F107+G107+H107+I107+J107+K107</f>
        <v>16765.53586</v>
      </c>
      <c r="M107" s="70">
        <f t="shared" ref="M107:M116" si="254">N107/O107</f>
        <v>0.06951276</v>
      </c>
      <c r="N107" s="71">
        <f t="shared" ref="N107:N116" si="255">O107-L107</f>
        <v>1252.482162</v>
      </c>
      <c r="O107" s="66">
        <f t="shared" ref="O107:O116" si="256">P107/$O$4</f>
        <v>18018.01802</v>
      </c>
      <c r="P107" s="78">
        <v>20000.0</v>
      </c>
      <c r="Q107" s="73">
        <f t="shared" ref="Q107:Q116" si="257">P107/E107</f>
        <v>5000</v>
      </c>
      <c r="R107" s="74"/>
      <c r="S107" s="75">
        <v>50.0</v>
      </c>
      <c r="T107" s="66">
        <f t="shared" ref="T107:T116" si="258">AD107*$T$3</f>
        <v>24804</v>
      </c>
      <c r="U107" s="66">
        <f t="shared" ref="U107:U116" si="259">AD107*$U$3</f>
        <v>16960</v>
      </c>
      <c r="V107" s="66">
        <f t="shared" ref="V107:V116" si="260">AD107*$V$3</f>
        <v>9540</v>
      </c>
      <c r="W107" s="66">
        <f t="shared" ref="W107:W116" si="261">AD107*$W$3</f>
        <v>3816</v>
      </c>
      <c r="X107" s="68">
        <v>1250.0</v>
      </c>
      <c r="Y107" s="66">
        <f t="shared" ref="Y107:Y116" si="262">C107*$Y$3*S107</f>
        <v>10496</v>
      </c>
      <c r="Z107" s="69">
        <f t="shared" ref="Z107:Z116" si="263">(D107*S107)+T107+U107+V107+W107+X107+Y107</f>
        <v>185064.1982</v>
      </c>
      <c r="AA107" s="70">
        <f t="shared" ref="AA107:AA116" si="264">AB107/AC107</f>
        <v>0.03103179245</v>
      </c>
      <c r="AB107" s="71">
        <f t="shared" ref="AB107:AB116" si="265">AC107-Z107</f>
        <v>5926.792793</v>
      </c>
      <c r="AC107" s="66">
        <f t="shared" ref="AC107:AC116" si="266">AD107/$O$4</f>
        <v>190990.991</v>
      </c>
      <c r="AD107" s="78">
        <v>212000.0</v>
      </c>
      <c r="AE107" s="73">
        <f t="shared" ref="AE107:AE116" si="267">AD107/S107</f>
        <v>4240</v>
      </c>
      <c r="AF107" s="76"/>
      <c r="AG107" s="75"/>
      <c r="AH107" s="66">
        <f t="shared" ref="AH107:AH116" si="268">AR107*$AH$3</f>
        <v>0</v>
      </c>
      <c r="AI107" s="66">
        <f t="shared" ref="AI107:AI116" si="269">AR107*$AI$3</f>
        <v>0</v>
      </c>
      <c r="AJ107" s="66">
        <f t="shared" ref="AJ107:AJ116" si="270">AR107*$AJ$3</f>
        <v>0</v>
      </c>
      <c r="AK107" s="66">
        <f t="shared" ref="AK107:AK116" si="271">AR107*$AK$3</f>
        <v>0</v>
      </c>
      <c r="AL107" s="68">
        <v>1250.0</v>
      </c>
      <c r="AM107" s="66">
        <f t="shared" ref="AM107:AM116" si="272">AF107*$AM$3</f>
        <v>0</v>
      </c>
      <c r="AN107" s="69">
        <f t="shared" ref="AN107:AN116" si="273">(R107*AG107)+AH107+AI107+AJ107+AK107+AL107+AM107</f>
        <v>1250</v>
      </c>
      <c r="AO107" s="70" t="str">
        <f t="shared" ref="AO107:AO116" si="274">AP107/AQ107</f>
        <v>#DIV/0!</v>
      </c>
      <c r="AP107" s="71">
        <f t="shared" ref="AP107:AP116" si="275">AQ107-AN107</f>
        <v>-1250</v>
      </c>
      <c r="AQ107" s="66">
        <f t="shared" ref="AQ107:AQ116" si="276">AR107/$O$4</f>
        <v>0</v>
      </c>
      <c r="AR107" s="78"/>
      <c r="AS107" s="73" t="str">
        <f t="shared" ref="AS107:AS116" si="277">AR107/AG107</f>
        <v>#DIV/0!</v>
      </c>
    </row>
    <row r="108">
      <c r="A108" s="106" t="s">
        <v>119</v>
      </c>
      <c r="B108" s="111">
        <v>3200.0</v>
      </c>
      <c r="C108" s="65">
        <f t="shared" si="246"/>
        <v>2624</v>
      </c>
      <c r="D108" s="66">
        <f t="shared" si="247"/>
        <v>2363.963964</v>
      </c>
      <c r="E108" s="124">
        <v>4.0</v>
      </c>
      <c r="F108" s="66">
        <f t="shared" si="248"/>
        <v>2301</v>
      </c>
      <c r="G108" s="66">
        <f t="shared" si="249"/>
        <v>1560</v>
      </c>
      <c r="H108" s="66">
        <f t="shared" si="250"/>
        <v>877.5</v>
      </c>
      <c r="I108" s="66">
        <f t="shared" si="251"/>
        <v>351</v>
      </c>
      <c r="J108" s="68">
        <v>1250.0</v>
      </c>
      <c r="K108" s="66">
        <f t="shared" si="252"/>
        <v>839.68</v>
      </c>
      <c r="L108" s="69">
        <f t="shared" si="253"/>
        <v>16635.03586</v>
      </c>
      <c r="M108" s="70">
        <f t="shared" si="254"/>
        <v>0.05308257436</v>
      </c>
      <c r="N108" s="71">
        <f t="shared" si="255"/>
        <v>932.5317117</v>
      </c>
      <c r="O108" s="66">
        <f t="shared" si="256"/>
        <v>17567.56757</v>
      </c>
      <c r="P108" s="78">
        <v>19500.0</v>
      </c>
      <c r="Q108" s="73">
        <f t="shared" si="257"/>
        <v>4875</v>
      </c>
      <c r="R108" s="74"/>
      <c r="S108" s="75">
        <v>50.0</v>
      </c>
      <c r="T108" s="66">
        <f t="shared" si="258"/>
        <v>24804</v>
      </c>
      <c r="U108" s="66">
        <f t="shared" si="259"/>
        <v>16960</v>
      </c>
      <c r="V108" s="66">
        <f t="shared" si="260"/>
        <v>9540</v>
      </c>
      <c r="W108" s="66">
        <f t="shared" si="261"/>
        <v>3816</v>
      </c>
      <c r="X108" s="68">
        <v>1250.0</v>
      </c>
      <c r="Y108" s="66">
        <f t="shared" si="262"/>
        <v>10496</v>
      </c>
      <c r="Z108" s="69">
        <f t="shared" si="263"/>
        <v>185064.1982</v>
      </c>
      <c r="AA108" s="70">
        <f t="shared" si="264"/>
        <v>0.03103179245</v>
      </c>
      <c r="AB108" s="71">
        <f t="shared" si="265"/>
        <v>5926.792793</v>
      </c>
      <c r="AC108" s="66">
        <f t="shared" si="266"/>
        <v>190990.991</v>
      </c>
      <c r="AD108" s="78">
        <v>212000.0</v>
      </c>
      <c r="AE108" s="73">
        <f t="shared" si="267"/>
        <v>4240</v>
      </c>
      <c r="AF108" s="76"/>
      <c r="AG108" s="75"/>
      <c r="AH108" s="66">
        <f t="shared" si="268"/>
        <v>0</v>
      </c>
      <c r="AI108" s="66">
        <f t="shared" si="269"/>
        <v>0</v>
      </c>
      <c r="AJ108" s="66">
        <f t="shared" si="270"/>
        <v>0</v>
      </c>
      <c r="AK108" s="66">
        <f t="shared" si="271"/>
        <v>0</v>
      </c>
      <c r="AL108" s="68">
        <v>1250.0</v>
      </c>
      <c r="AM108" s="66">
        <f t="shared" si="272"/>
        <v>0</v>
      </c>
      <c r="AN108" s="69">
        <f t="shared" si="273"/>
        <v>1250</v>
      </c>
      <c r="AO108" s="70" t="str">
        <f t="shared" si="274"/>
        <v>#DIV/0!</v>
      </c>
      <c r="AP108" s="71">
        <f t="shared" si="275"/>
        <v>-1250</v>
      </c>
      <c r="AQ108" s="66">
        <f t="shared" si="276"/>
        <v>0</v>
      </c>
      <c r="AR108" s="78"/>
      <c r="AS108" s="73" t="str">
        <f t="shared" si="277"/>
        <v>#DIV/0!</v>
      </c>
    </row>
    <row r="109">
      <c r="A109" s="106" t="s">
        <v>120</v>
      </c>
      <c r="B109" s="111">
        <v>3100.0</v>
      </c>
      <c r="C109" s="65">
        <f t="shared" si="246"/>
        <v>2542</v>
      </c>
      <c r="D109" s="66">
        <f t="shared" si="247"/>
        <v>2290.09009</v>
      </c>
      <c r="E109" s="134">
        <v>5.0</v>
      </c>
      <c r="F109" s="66">
        <f t="shared" si="248"/>
        <v>2714</v>
      </c>
      <c r="G109" s="66">
        <f t="shared" si="249"/>
        <v>1840</v>
      </c>
      <c r="H109" s="66">
        <f t="shared" si="250"/>
        <v>1035</v>
      </c>
      <c r="I109" s="66">
        <f t="shared" si="251"/>
        <v>414</v>
      </c>
      <c r="J109" s="68">
        <v>1250.0</v>
      </c>
      <c r="K109" s="66">
        <f t="shared" si="252"/>
        <v>1016.8</v>
      </c>
      <c r="L109" s="69">
        <f t="shared" si="253"/>
        <v>19720.25045</v>
      </c>
      <c r="M109" s="70">
        <f t="shared" si="254"/>
        <v>0.04828356522</v>
      </c>
      <c r="N109" s="71">
        <f t="shared" si="255"/>
        <v>1000.47027</v>
      </c>
      <c r="O109" s="66">
        <f t="shared" si="256"/>
        <v>20720.72072</v>
      </c>
      <c r="P109" s="78">
        <v>23000.0</v>
      </c>
      <c r="Q109" s="73">
        <f t="shared" si="257"/>
        <v>4600</v>
      </c>
      <c r="R109" s="74"/>
      <c r="S109" s="75">
        <v>50.0</v>
      </c>
      <c r="T109" s="66">
        <f t="shared" si="258"/>
        <v>25155</v>
      </c>
      <c r="U109" s="66">
        <f t="shared" si="259"/>
        <v>17200</v>
      </c>
      <c r="V109" s="66">
        <f t="shared" si="260"/>
        <v>9675</v>
      </c>
      <c r="W109" s="66">
        <f t="shared" si="261"/>
        <v>3870</v>
      </c>
      <c r="X109" s="68">
        <v>1250.0</v>
      </c>
      <c r="Y109" s="66">
        <f t="shared" si="262"/>
        <v>10168</v>
      </c>
      <c r="Z109" s="69">
        <f t="shared" si="263"/>
        <v>181822.5045</v>
      </c>
      <c r="AA109" s="70">
        <f t="shared" si="264"/>
        <v>0.06128846512</v>
      </c>
      <c r="AB109" s="71">
        <f t="shared" si="265"/>
        <v>11871.18919</v>
      </c>
      <c r="AC109" s="66">
        <f t="shared" si="266"/>
        <v>193693.6937</v>
      </c>
      <c r="AD109" s="78">
        <v>215000.0</v>
      </c>
      <c r="AE109" s="73">
        <f t="shared" si="267"/>
        <v>4300</v>
      </c>
      <c r="AF109" s="76"/>
      <c r="AG109" s="75"/>
      <c r="AH109" s="66">
        <f t="shared" si="268"/>
        <v>0</v>
      </c>
      <c r="AI109" s="66">
        <f t="shared" si="269"/>
        <v>0</v>
      </c>
      <c r="AJ109" s="66">
        <f t="shared" si="270"/>
        <v>0</v>
      </c>
      <c r="AK109" s="66">
        <f t="shared" si="271"/>
        <v>0</v>
      </c>
      <c r="AL109" s="68">
        <v>1250.0</v>
      </c>
      <c r="AM109" s="66">
        <f t="shared" si="272"/>
        <v>0</v>
      </c>
      <c r="AN109" s="69">
        <f t="shared" si="273"/>
        <v>1250</v>
      </c>
      <c r="AO109" s="70" t="str">
        <f t="shared" si="274"/>
        <v>#DIV/0!</v>
      </c>
      <c r="AP109" s="71">
        <f t="shared" si="275"/>
        <v>-1250</v>
      </c>
      <c r="AQ109" s="66">
        <f t="shared" si="276"/>
        <v>0</v>
      </c>
      <c r="AR109" s="78"/>
      <c r="AS109" s="73" t="str">
        <f t="shared" si="277"/>
        <v>#DIV/0!</v>
      </c>
    </row>
    <row r="110">
      <c r="A110" s="106" t="s">
        <v>121</v>
      </c>
      <c r="B110" s="111">
        <v>4000.0</v>
      </c>
      <c r="C110" s="65">
        <f t="shared" si="246"/>
        <v>3280</v>
      </c>
      <c r="D110" s="66">
        <f t="shared" si="247"/>
        <v>2954.954955</v>
      </c>
      <c r="E110" s="134">
        <v>2.0</v>
      </c>
      <c r="F110" s="66">
        <f t="shared" si="248"/>
        <v>1652</v>
      </c>
      <c r="G110" s="66">
        <f t="shared" si="249"/>
        <v>1120</v>
      </c>
      <c r="H110" s="66">
        <f t="shared" si="250"/>
        <v>630</v>
      </c>
      <c r="I110" s="66">
        <f t="shared" si="251"/>
        <v>252</v>
      </c>
      <c r="J110" s="68">
        <v>1250.0</v>
      </c>
      <c r="K110" s="66">
        <f t="shared" si="252"/>
        <v>524.8</v>
      </c>
      <c r="L110" s="69">
        <f t="shared" si="253"/>
        <v>11338.70991</v>
      </c>
      <c r="M110" s="70">
        <f t="shared" si="254"/>
        <v>0.1010022857</v>
      </c>
      <c r="N110" s="71">
        <f t="shared" si="255"/>
        <v>1273.902703</v>
      </c>
      <c r="O110" s="66">
        <f t="shared" si="256"/>
        <v>12612.61261</v>
      </c>
      <c r="P110" s="78">
        <v>14000.0</v>
      </c>
      <c r="Q110" s="73">
        <f t="shared" si="257"/>
        <v>7000</v>
      </c>
      <c r="R110" s="74"/>
      <c r="S110" s="75">
        <v>50.0</v>
      </c>
      <c r="T110" s="66">
        <f t="shared" si="258"/>
        <v>30771</v>
      </c>
      <c r="U110" s="66">
        <f t="shared" si="259"/>
        <v>21040</v>
      </c>
      <c r="V110" s="66">
        <f t="shared" si="260"/>
        <v>11835</v>
      </c>
      <c r="W110" s="66">
        <f t="shared" si="261"/>
        <v>4734</v>
      </c>
      <c r="X110" s="68">
        <v>1250.0</v>
      </c>
      <c r="Y110" s="66">
        <f t="shared" si="262"/>
        <v>13120</v>
      </c>
      <c r="Z110" s="69">
        <f t="shared" si="263"/>
        <v>230497.7477</v>
      </c>
      <c r="AA110" s="70">
        <f t="shared" si="264"/>
        <v>0.02717680608</v>
      </c>
      <c r="AB110" s="71">
        <f t="shared" si="265"/>
        <v>6439.189189</v>
      </c>
      <c r="AC110" s="66">
        <f t="shared" si="266"/>
        <v>236936.9369</v>
      </c>
      <c r="AD110" s="78">
        <v>263000.0</v>
      </c>
      <c r="AE110" s="73">
        <f t="shared" si="267"/>
        <v>5260</v>
      </c>
      <c r="AF110" s="76"/>
      <c r="AG110" s="75"/>
      <c r="AH110" s="66">
        <f t="shared" si="268"/>
        <v>0</v>
      </c>
      <c r="AI110" s="66">
        <f t="shared" si="269"/>
        <v>0</v>
      </c>
      <c r="AJ110" s="66">
        <f t="shared" si="270"/>
        <v>0</v>
      </c>
      <c r="AK110" s="66">
        <f t="shared" si="271"/>
        <v>0</v>
      </c>
      <c r="AL110" s="68">
        <v>1250.0</v>
      </c>
      <c r="AM110" s="66">
        <f t="shared" si="272"/>
        <v>0</v>
      </c>
      <c r="AN110" s="69">
        <f t="shared" si="273"/>
        <v>1250</v>
      </c>
      <c r="AO110" s="70" t="str">
        <f t="shared" si="274"/>
        <v>#DIV/0!</v>
      </c>
      <c r="AP110" s="71">
        <f t="shared" si="275"/>
        <v>-1250</v>
      </c>
      <c r="AQ110" s="66">
        <f t="shared" si="276"/>
        <v>0</v>
      </c>
      <c r="AR110" s="78"/>
      <c r="AS110" s="73" t="str">
        <f t="shared" si="277"/>
        <v>#DIV/0!</v>
      </c>
    </row>
    <row r="111">
      <c r="A111" s="106" t="s">
        <v>122</v>
      </c>
      <c r="B111" s="111">
        <v>5500.0</v>
      </c>
      <c r="C111" s="65">
        <f t="shared" si="246"/>
        <v>4510</v>
      </c>
      <c r="D111" s="66">
        <f t="shared" si="247"/>
        <v>4063.063063</v>
      </c>
      <c r="E111" s="134">
        <v>3.0</v>
      </c>
      <c r="F111" s="66">
        <f t="shared" si="248"/>
        <v>2702.2</v>
      </c>
      <c r="G111" s="66">
        <f t="shared" si="249"/>
        <v>1832</v>
      </c>
      <c r="H111" s="66">
        <f t="shared" si="250"/>
        <v>1030.5</v>
      </c>
      <c r="I111" s="66">
        <f t="shared" si="251"/>
        <v>412.2</v>
      </c>
      <c r="J111" s="68">
        <v>1250.0</v>
      </c>
      <c r="K111" s="66">
        <f t="shared" si="252"/>
        <v>1082.4</v>
      </c>
      <c r="L111" s="69">
        <f t="shared" si="253"/>
        <v>20498.48919</v>
      </c>
      <c r="M111" s="70">
        <f t="shared" si="254"/>
        <v>0.00640510917</v>
      </c>
      <c r="N111" s="71">
        <f t="shared" si="255"/>
        <v>132.1414414</v>
      </c>
      <c r="O111" s="66">
        <f t="shared" si="256"/>
        <v>20630.63063</v>
      </c>
      <c r="P111" s="78">
        <v>22900.0</v>
      </c>
      <c r="Q111" s="73">
        <f t="shared" si="257"/>
        <v>7633.333333</v>
      </c>
      <c r="R111" s="74"/>
      <c r="S111" s="75">
        <v>25.0</v>
      </c>
      <c r="T111" s="66">
        <f t="shared" si="258"/>
        <v>21235.5</v>
      </c>
      <c r="U111" s="66">
        <f t="shared" si="259"/>
        <v>14520</v>
      </c>
      <c r="V111" s="66">
        <f t="shared" si="260"/>
        <v>8167.5</v>
      </c>
      <c r="W111" s="66">
        <f t="shared" si="261"/>
        <v>3267</v>
      </c>
      <c r="X111" s="68">
        <v>1250.0</v>
      </c>
      <c r="Y111" s="66">
        <f t="shared" si="262"/>
        <v>9020</v>
      </c>
      <c r="Z111" s="69">
        <f t="shared" si="263"/>
        <v>159036.5766</v>
      </c>
      <c r="AA111" s="70">
        <f t="shared" si="264"/>
        <v>0.02737961433</v>
      </c>
      <c r="AB111" s="71">
        <f t="shared" si="265"/>
        <v>4476.936937</v>
      </c>
      <c r="AC111" s="66">
        <f t="shared" si="266"/>
        <v>163513.5135</v>
      </c>
      <c r="AD111" s="78">
        <v>181500.0</v>
      </c>
      <c r="AE111" s="73">
        <f t="shared" si="267"/>
        <v>7260</v>
      </c>
      <c r="AF111" s="76"/>
      <c r="AG111" s="75"/>
      <c r="AH111" s="66">
        <f t="shared" si="268"/>
        <v>0</v>
      </c>
      <c r="AI111" s="66">
        <f t="shared" si="269"/>
        <v>0</v>
      </c>
      <c r="AJ111" s="66">
        <f t="shared" si="270"/>
        <v>0</v>
      </c>
      <c r="AK111" s="66">
        <f t="shared" si="271"/>
        <v>0</v>
      </c>
      <c r="AL111" s="68">
        <v>1250.0</v>
      </c>
      <c r="AM111" s="66">
        <f t="shared" si="272"/>
        <v>0</v>
      </c>
      <c r="AN111" s="69">
        <f t="shared" si="273"/>
        <v>1250</v>
      </c>
      <c r="AO111" s="70" t="str">
        <f t="shared" si="274"/>
        <v>#DIV/0!</v>
      </c>
      <c r="AP111" s="71">
        <f t="shared" si="275"/>
        <v>-1250</v>
      </c>
      <c r="AQ111" s="66">
        <f t="shared" si="276"/>
        <v>0</v>
      </c>
      <c r="AR111" s="78"/>
      <c r="AS111" s="73" t="str">
        <f t="shared" si="277"/>
        <v>#DIV/0!</v>
      </c>
    </row>
    <row r="112">
      <c r="A112" s="106" t="s">
        <v>123</v>
      </c>
      <c r="B112" s="111">
        <v>6500.0</v>
      </c>
      <c r="C112" s="65">
        <f t="shared" si="246"/>
        <v>5330</v>
      </c>
      <c r="D112" s="66">
        <f t="shared" si="247"/>
        <v>4801.801802</v>
      </c>
      <c r="E112" s="124">
        <v>1.0</v>
      </c>
      <c r="F112" s="66">
        <f t="shared" si="248"/>
        <v>1239</v>
      </c>
      <c r="G112" s="66">
        <f t="shared" si="249"/>
        <v>840</v>
      </c>
      <c r="H112" s="66">
        <f t="shared" si="250"/>
        <v>472.5</v>
      </c>
      <c r="I112" s="66">
        <f t="shared" si="251"/>
        <v>189</v>
      </c>
      <c r="J112" s="68">
        <v>1250.0</v>
      </c>
      <c r="K112" s="66">
        <f t="shared" si="252"/>
        <v>426.4</v>
      </c>
      <c r="L112" s="69">
        <f t="shared" si="253"/>
        <v>9218.701802</v>
      </c>
      <c r="M112" s="70">
        <f t="shared" si="254"/>
        <v>0.02545152381</v>
      </c>
      <c r="N112" s="71">
        <f t="shared" si="255"/>
        <v>240.7576577</v>
      </c>
      <c r="O112" s="66">
        <f t="shared" si="256"/>
        <v>9459.459459</v>
      </c>
      <c r="P112" s="78">
        <v>10500.0</v>
      </c>
      <c r="Q112" s="73">
        <f t="shared" si="257"/>
        <v>10500</v>
      </c>
      <c r="R112" s="74"/>
      <c r="S112" s="75">
        <v>25.0</v>
      </c>
      <c r="T112" s="66">
        <f t="shared" si="258"/>
        <v>25038</v>
      </c>
      <c r="U112" s="66">
        <f t="shared" si="259"/>
        <v>17120</v>
      </c>
      <c r="V112" s="66">
        <f t="shared" si="260"/>
        <v>9630</v>
      </c>
      <c r="W112" s="66">
        <f t="shared" si="261"/>
        <v>3852</v>
      </c>
      <c r="X112" s="68">
        <v>1250.0</v>
      </c>
      <c r="Y112" s="66">
        <f t="shared" si="262"/>
        <v>10660</v>
      </c>
      <c r="Z112" s="69">
        <f t="shared" si="263"/>
        <v>187595.045</v>
      </c>
      <c r="AA112" s="70">
        <f t="shared" si="264"/>
        <v>0.02696028037</v>
      </c>
      <c r="AB112" s="71">
        <f t="shared" si="265"/>
        <v>5197.747748</v>
      </c>
      <c r="AC112" s="66">
        <f t="shared" si="266"/>
        <v>192792.7928</v>
      </c>
      <c r="AD112" s="78">
        <v>214000.0</v>
      </c>
      <c r="AE112" s="73">
        <f t="shared" si="267"/>
        <v>8560</v>
      </c>
      <c r="AF112" s="76"/>
      <c r="AG112" s="75"/>
      <c r="AH112" s="66">
        <f t="shared" si="268"/>
        <v>0</v>
      </c>
      <c r="AI112" s="66">
        <f t="shared" si="269"/>
        <v>0</v>
      </c>
      <c r="AJ112" s="66">
        <f t="shared" si="270"/>
        <v>0</v>
      </c>
      <c r="AK112" s="66">
        <f t="shared" si="271"/>
        <v>0</v>
      </c>
      <c r="AL112" s="68">
        <v>1250.0</v>
      </c>
      <c r="AM112" s="66">
        <f t="shared" si="272"/>
        <v>0</v>
      </c>
      <c r="AN112" s="69">
        <f t="shared" si="273"/>
        <v>1250</v>
      </c>
      <c r="AO112" s="70" t="str">
        <f t="shared" si="274"/>
        <v>#DIV/0!</v>
      </c>
      <c r="AP112" s="71">
        <f t="shared" si="275"/>
        <v>-1250</v>
      </c>
      <c r="AQ112" s="66">
        <f t="shared" si="276"/>
        <v>0</v>
      </c>
      <c r="AR112" s="78"/>
      <c r="AS112" s="73" t="str">
        <f t="shared" si="277"/>
        <v>#DIV/0!</v>
      </c>
    </row>
    <row r="113">
      <c r="A113" s="106" t="s">
        <v>124</v>
      </c>
      <c r="B113" s="111">
        <v>10000.0</v>
      </c>
      <c r="C113" s="65">
        <f t="shared" si="246"/>
        <v>8200</v>
      </c>
      <c r="D113" s="66">
        <f t="shared" si="247"/>
        <v>7387.387387</v>
      </c>
      <c r="E113" s="124">
        <v>1.0</v>
      </c>
      <c r="F113" s="66">
        <f t="shared" si="248"/>
        <v>1793.6</v>
      </c>
      <c r="G113" s="66">
        <f t="shared" si="249"/>
        <v>1216</v>
      </c>
      <c r="H113" s="66">
        <f t="shared" si="250"/>
        <v>684</v>
      </c>
      <c r="I113" s="66">
        <f t="shared" si="251"/>
        <v>273.6</v>
      </c>
      <c r="J113" s="68">
        <v>1250.0</v>
      </c>
      <c r="K113" s="66">
        <f t="shared" si="252"/>
        <v>656</v>
      </c>
      <c r="L113" s="69">
        <f t="shared" si="253"/>
        <v>13260.58739</v>
      </c>
      <c r="M113" s="70">
        <f t="shared" si="254"/>
        <v>0.03162815789</v>
      </c>
      <c r="N113" s="71">
        <f t="shared" si="255"/>
        <v>433.1063063</v>
      </c>
      <c r="O113" s="66">
        <f t="shared" si="256"/>
        <v>13693.69369</v>
      </c>
      <c r="P113" s="78">
        <v>15200.0</v>
      </c>
      <c r="Q113" s="73">
        <f t="shared" si="257"/>
        <v>15200</v>
      </c>
      <c r="R113" s="74"/>
      <c r="S113" s="75">
        <v>16.0</v>
      </c>
      <c r="T113" s="66">
        <f t="shared" si="258"/>
        <v>24102</v>
      </c>
      <c r="U113" s="66">
        <f t="shared" si="259"/>
        <v>16480</v>
      </c>
      <c r="V113" s="66">
        <f t="shared" si="260"/>
        <v>9270</v>
      </c>
      <c r="W113" s="66">
        <f t="shared" si="261"/>
        <v>3708</v>
      </c>
      <c r="X113" s="68">
        <v>1250.0</v>
      </c>
      <c r="Y113" s="66">
        <f t="shared" si="262"/>
        <v>10496</v>
      </c>
      <c r="Z113" s="69">
        <f t="shared" si="263"/>
        <v>183504.1982</v>
      </c>
      <c r="AA113" s="70">
        <f t="shared" si="264"/>
        <v>0.01121524272</v>
      </c>
      <c r="AB113" s="71">
        <f t="shared" si="265"/>
        <v>2081.387387</v>
      </c>
      <c r="AC113" s="66">
        <f t="shared" si="266"/>
        <v>185585.5856</v>
      </c>
      <c r="AD113" s="78">
        <v>206000.0</v>
      </c>
      <c r="AE113" s="73">
        <f t="shared" si="267"/>
        <v>12875</v>
      </c>
      <c r="AF113" s="76"/>
      <c r="AG113" s="75"/>
      <c r="AH113" s="66">
        <f t="shared" si="268"/>
        <v>0</v>
      </c>
      <c r="AI113" s="66">
        <f t="shared" si="269"/>
        <v>0</v>
      </c>
      <c r="AJ113" s="66">
        <f t="shared" si="270"/>
        <v>0</v>
      </c>
      <c r="AK113" s="66">
        <f t="shared" si="271"/>
        <v>0</v>
      </c>
      <c r="AL113" s="68">
        <v>1250.0</v>
      </c>
      <c r="AM113" s="66">
        <f t="shared" si="272"/>
        <v>0</v>
      </c>
      <c r="AN113" s="69">
        <f t="shared" si="273"/>
        <v>1250</v>
      </c>
      <c r="AO113" s="70" t="str">
        <f t="shared" si="274"/>
        <v>#DIV/0!</v>
      </c>
      <c r="AP113" s="71">
        <f t="shared" si="275"/>
        <v>-1250</v>
      </c>
      <c r="AQ113" s="66">
        <f t="shared" si="276"/>
        <v>0</v>
      </c>
      <c r="AR113" s="78"/>
      <c r="AS113" s="73" t="str">
        <f t="shared" si="277"/>
        <v>#DIV/0!</v>
      </c>
    </row>
    <row r="114">
      <c r="A114" s="106" t="s">
        <v>125</v>
      </c>
      <c r="B114" s="111">
        <v>11500.0</v>
      </c>
      <c r="C114" s="65">
        <f t="shared" si="246"/>
        <v>9430</v>
      </c>
      <c r="D114" s="66">
        <f t="shared" si="247"/>
        <v>8495.495495</v>
      </c>
      <c r="E114" s="124">
        <v>1.0</v>
      </c>
      <c r="F114" s="66">
        <f t="shared" si="248"/>
        <v>2006</v>
      </c>
      <c r="G114" s="66">
        <f t="shared" si="249"/>
        <v>1360</v>
      </c>
      <c r="H114" s="66">
        <f t="shared" si="250"/>
        <v>765</v>
      </c>
      <c r="I114" s="66">
        <f t="shared" si="251"/>
        <v>306</v>
      </c>
      <c r="J114" s="68">
        <v>1250.0</v>
      </c>
      <c r="K114" s="66">
        <f t="shared" si="252"/>
        <v>754.4</v>
      </c>
      <c r="L114" s="69">
        <f t="shared" si="253"/>
        <v>14936.8955</v>
      </c>
      <c r="M114" s="70">
        <f t="shared" si="254"/>
        <v>0.02470858824</v>
      </c>
      <c r="N114" s="71">
        <f t="shared" si="255"/>
        <v>378.4198198</v>
      </c>
      <c r="O114" s="66">
        <f t="shared" si="256"/>
        <v>15315.31532</v>
      </c>
      <c r="P114" s="78">
        <v>17000.0</v>
      </c>
      <c r="Q114" s="73">
        <f t="shared" si="257"/>
        <v>17000</v>
      </c>
      <c r="R114" s="74"/>
      <c r="S114" s="75"/>
      <c r="T114" s="66">
        <f t="shared" si="258"/>
        <v>0</v>
      </c>
      <c r="U114" s="66">
        <f t="shared" si="259"/>
        <v>0</v>
      </c>
      <c r="V114" s="66">
        <f t="shared" si="260"/>
        <v>0</v>
      </c>
      <c r="W114" s="66">
        <f t="shared" si="261"/>
        <v>0</v>
      </c>
      <c r="X114" s="68">
        <v>1250.0</v>
      </c>
      <c r="Y114" s="66">
        <f t="shared" si="262"/>
        <v>0</v>
      </c>
      <c r="Z114" s="69">
        <f t="shared" si="263"/>
        <v>1250</v>
      </c>
      <c r="AA114" s="70" t="str">
        <f t="shared" si="264"/>
        <v>#DIV/0!</v>
      </c>
      <c r="AB114" s="71">
        <f t="shared" si="265"/>
        <v>-1250</v>
      </c>
      <c r="AC114" s="66">
        <f t="shared" si="266"/>
        <v>0</v>
      </c>
      <c r="AD114" s="78"/>
      <c r="AE114" s="73" t="str">
        <f t="shared" si="267"/>
        <v>#DIV/0!</v>
      </c>
      <c r="AF114" s="76"/>
      <c r="AG114" s="75"/>
      <c r="AH114" s="66">
        <f t="shared" si="268"/>
        <v>0</v>
      </c>
      <c r="AI114" s="66">
        <f t="shared" si="269"/>
        <v>0</v>
      </c>
      <c r="AJ114" s="66">
        <f t="shared" si="270"/>
        <v>0</v>
      </c>
      <c r="AK114" s="66">
        <f t="shared" si="271"/>
        <v>0</v>
      </c>
      <c r="AL114" s="68">
        <v>1250.0</v>
      </c>
      <c r="AM114" s="66">
        <f t="shared" si="272"/>
        <v>0</v>
      </c>
      <c r="AN114" s="69">
        <f t="shared" si="273"/>
        <v>1250</v>
      </c>
      <c r="AO114" s="70" t="str">
        <f t="shared" si="274"/>
        <v>#DIV/0!</v>
      </c>
      <c r="AP114" s="71">
        <f t="shared" si="275"/>
        <v>-1250</v>
      </c>
      <c r="AQ114" s="66">
        <f t="shared" si="276"/>
        <v>0</v>
      </c>
      <c r="AR114" s="78"/>
      <c r="AS114" s="73" t="str">
        <f t="shared" si="277"/>
        <v>#DIV/0!</v>
      </c>
    </row>
    <row r="115">
      <c r="A115" s="106" t="s">
        <v>126</v>
      </c>
      <c r="B115" s="108">
        <f>B108+1000</f>
        <v>4200</v>
      </c>
      <c r="C115" s="65">
        <f t="shared" si="246"/>
        <v>3444</v>
      </c>
      <c r="D115" s="66">
        <f t="shared" si="247"/>
        <v>3102.702703</v>
      </c>
      <c r="E115" s="124">
        <v>5.0</v>
      </c>
      <c r="F115" s="66">
        <f t="shared" si="248"/>
        <v>4130</v>
      </c>
      <c r="G115" s="66">
        <f t="shared" si="249"/>
        <v>2800</v>
      </c>
      <c r="H115" s="66">
        <f t="shared" si="250"/>
        <v>1575</v>
      </c>
      <c r="I115" s="66">
        <f t="shared" si="251"/>
        <v>630</v>
      </c>
      <c r="J115" s="68">
        <v>1250.0</v>
      </c>
      <c r="K115" s="66">
        <f t="shared" si="252"/>
        <v>1377.6</v>
      </c>
      <c r="L115" s="69">
        <f t="shared" si="253"/>
        <v>27276.11351</v>
      </c>
      <c r="M115" s="70">
        <f t="shared" si="254"/>
        <v>0.1349575429</v>
      </c>
      <c r="N115" s="71">
        <f t="shared" si="255"/>
        <v>4255.418018</v>
      </c>
      <c r="O115" s="66">
        <f t="shared" si="256"/>
        <v>31531.53153</v>
      </c>
      <c r="P115" s="78">
        <v>35000.0</v>
      </c>
      <c r="Q115" s="73">
        <f t="shared" si="257"/>
        <v>7000</v>
      </c>
      <c r="R115" s="74"/>
      <c r="S115" s="75">
        <v>50.0</v>
      </c>
      <c r="T115" s="66">
        <f t="shared" si="258"/>
        <v>32409</v>
      </c>
      <c r="U115" s="66">
        <f t="shared" si="259"/>
        <v>22160</v>
      </c>
      <c r="V115" s="66">
        <f t="shared" si="260"/>
        <v>12465</v>
      </c>
      <c r="W115" s="66">
        <f t="shared" si="261"/>
        <v>4986</v>
      </c>
      <c r="X115" s="68">
        <v>1250.0</v>
      </c>
      <c r="Y115" s="66">
        <f t="shared" si="262"/>
        <v>13776</v>
      </c>
      <c r="Z115" s="69">
        <f t="shared" si="263"/>
        <v>242181.1351</v>
      </c>
      <c r="AA115" s="70">
        <f t="shared" si="264"/>
        <v>0.02952685921</v>
      </c>
      <c r="AB115" s="71">
        <f t="shared" si="265"/>
        <v>7368.414414</v>
      </c>
      <c r="AC115" s="66">
        <f t="shared" si="266"/>
        <v>249549.5495</v>
      </c>
      <c r="AD115" s="78">
        <v>277000.0</v>
      </c>
      <c r="AE115" s="73">
        <f t="shared" si="267"/>
        <v>5540</v>
      </c>
      <c r="AF115" s="76"/>
      <c r="AG115" s="75"/>
      <c r="AH115" s="66">
        <f t="shared" si="268"/>
        <v>0</v>
      </c>
      <c r="AI115" s="66">
        <f t="shared" si="269"/>
        <v>0</v>
      </c>
      <c r="AJ115" s="66">
        <f t="shared" si="270"/>
        <v>0</v>
      </c>
      <c r="AK115" s="66">
        <f t="shared" si="271"/>
        <v>0</v>
      </c>
      <c r="AL115" s="68">
        <v>1250.0</v>
      </c>
      <c r="AM115" s="66">
        <f t="shared" si="272"/>
        <v>0</v>
      </c>
      <c r="AN115" s="69">
        <f t="shared" si="273"/>
        <v>1250</v>
      </c>
      <c r="AO115" s="70" t="str">
        <f t="shared" si="274"/>
        <v>#DIV/0!</v>
      </c>
      <c r="AP115" s="71">
        <f t="shared" si="275"/>
        <v>-1250</v>
      </c>
      <c r="AQ115" s="66">
        <f t="shared" si="276"/>
        <v>0</v>
      </c>
      <c r="AR115" s="78"/>
      <c r="AS115" s="73" t="str">
        <f t="shared" si="277"/>
        <v>#DIV/0!</v>
      </c>
    </row>
    <row r="116">
      <c r="A116" s="106" t="s">
        <v>127</v>
      </c>
      <c r="B116" s="111">
        <f>B108+2000</f>
        <v>5200</v>
      </c>
      <c r="C116" s="65">
        <f t="shared" si="246"/>
        <v>4264</v>
      </c>
      <c r="D116" s="66">
        <f t="shared" si="247"/>
        <v>3841.441441</v>
      </c>
      <c r="E116" s="124">
        <v>5.0</v>
      </c>
      <c r="F116" s="66">
        <f t="shared" si="248"/>
        <v>5074</v>
      </c>
      <c r="G116" s="66">
        <f t="shared" si="249"/>
        <v>3440</v>
      </c>
      <c r="H116" s="66">
        <f t="shared" si="250"/>
        <v>1935</v>
      </c>
      <c r="I116" s="66">
        <f t="shared" si="251"/>
        <v>774</v>
      </c>
      <c r="J116" s="68">
        <v>1250.0</v>
      </c>
      <c r="K116" s="66">
        <f t="shared" si="252"/>
        <v>1705.6</v>
      </c>
      <c r="L116" s="69">
        <f t="shared" si="253"/>
        <v>33385.80721</v>
      </c>
      <c r="M116" s="70">
        <f t="shared" si="254"/>
        <v>0.1381803256</v>
      </c>
      <c r="N116" s="71">
        <f t="shared" si="255"/>
        <v>5352.931532</v>
      </c>
      <c r="O116" s="66">
        <f t="shared" si="256"/>
        <v>38738.73874</v>
      </c>
      <c r="P116" s="78">
        <v>43000.0</v>
      </c>
      <c r="Q116" s="73">
        <f t="shared" si="257"/>
        <v>8600</v>
      </c>
      <c r="R116" s="74"/>
      <c r="S116" s="75"/>
      <c r="T116" s="66">
        <f t="shared" si="258"/>
        <v>0</v>
      </c>
      <c r="U116" s="66">
        <f t="shared" si="259"/>
        <v>0</v>
      </c>
      <c r="V116" s="66">
        <f t="shared" si="260"/>
        <v>0</v>
      </c>
      <c r="W116" s="66">
        <f t="shared" si="261"/>
        <v>0</v>
      </c>
      <c r="X116" s="68">
        <v>1250.0</v>
      </c>
      <c r="Y116" s="66">
        <f t="shared" si="262"/>
        <v>0</v>
      </c>
      <c r="Z116" s="69">
        <f t="shared" si="263"/>
        <v>1250</v>
      </c>
      <c r="AA116" s="70" t="str">
        <f t="shared" si="264"/>
        <v>#DIV/0!</v>
      </c>
      <c r="AB116" s="71">
        <f t="shared" si="265"/>
        <v>-1250</v>
      </c>
      <c r="AC116" s="66">
        <f t="shared" si="266"/>
        <v>0</v>
      </c>
      <c r="AD116" s="78"/>
      <c r="AE116" s="73" t="str">
        <f t="shared" si="267"/>
        <v>#DIV/0!</v>
      </c>
      <c r="AF116" s="76"/>
      <c r="AG116" s="75"/>
      <c r="AH116" s="66">
        <f t="shared" si="268"/>
        <v>0</v>
      </c>
      <c r="AI116" s="66">
        <f t="shared" si="269"/>
        <v>0</v>
      </c>
      <c r="AJ116" s="66">
        <f t="shared" si="270"/>
        <v>0</v>
      </c>
      <c r="AK116" s="66">
        <f t="shared" si="271"/>
        <v>0</v>
      </c>
      <c r="AL116" s="68">
        <v>1250.0</v>
      </c>
      <c r="AM116" s="66">
        <f t="shared" si="272"/>
        <v>0</v>
      </c>
      <c r="AN116" s="69">
        <f t="shared" si="273"/>
        <v>1250</v>
      </c>
      <c r="AO116" s="70" t="str">
        <f t="shared" si="274"/>
        <v>#DIV/0!</v>
      </c>
      <c r="AP116" s="71">
        <f t="shared" si="275"/>
        <v>-1250</v>
      </c>
      <c r="AQ116" s="66">
        <f t="shared" si="276"/>
        <v>0</v>
      </c>
      <c r="AR116" s="78"/>
      <c r="AS116" s="73" t="str">
        <f t="shared" si="277"/>
        <v>#DIV/0!</v>
      </c>
    </row>
    <row r="117">
      <c r="A117" s="146" t="s">
        <v>128</v>
      </c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37"/>
      <c r="S117" s="147"/>
      <c r="T117" s="147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76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</row>
    <row r="118">
      <c r="A118" s="106" t="s">
        <v>129</v>
      </c>
      <c r="B118" s="108">
        <f>B107</f>
        <v>3200</v>
      </c>
      <c r="C118" s="65">
        <f t="shared" ref="C118:C122" si="278">B118*$C$4</f>
        <v>2624</v>
      </c>
      <c r="D118" s="66">
        <f t="shared" ref="D118:D124" si="279">C118/$D$4</f>
        <v>2363.963964</v>
      </c>
      <c r="E118" s="134">
        <v>6.0</v>
      </c>
      <c r="F118" s="66">
        <f t="shared" ref="F118:F124" si="280">P118*$F$3</f>
        <v>3186</v>
      </c>
      <c r="G118" s="66">
        <f t="shared" ref="G118:G124" si="281">P118*$G$3</f>
        <v>2160</v>
      </c>
      <c r="H118" s="66">
        <f t="shared" ref="H118:H124" si="282">P118*$H$3</f>
        <v>1215</v>
      </c>
      <c r="I118" s="66">
        <f t="shared" ref="I118:I124" si="283">P118*$I$3</f>
        <v>486</v>
      </c>
      <c r="J118" s="68">
        <v>1250.0</v>
      </c>
      <c r="K118" s="66">
        <f t="shared" ref="K118:K124" si="284">C118*$K$3*E118</f>
        <v>1259.52</v>
      </c>
      <c r="L118" s="69">
        <f t="shared" ref="L118:L124" si="285">(D118*E118)+F118+G118+H118+I118+J118+K118</f>
        <v>23740.30378</v>
      </c>
      <c r="M118" s="70">
        <f t="shared" ref="M118:M124" si="286">N118/O118</f>
        <v>0.02400973333</v>
      </c>
      <c r="N118" s="71">
        <f t="shared" ref="N118:N124" si="287">O118-L118</f>
        <v>584.0205405</v>
      </c>
      <c r="O118" s="66">
        <f t="shared" ref="O118:O124" si="288">P118/$O$4</f>
        <v>24324.32432</v>
      </c>
      <c r="P118" s="78">
        <v>27000.0</v>
      </c>
      <c r="Q118" s="73">
        <f t="shared" ref="Q118:Q124" si="289">P118/E118</f>
        <v>4500</v>
      </c>
      <c r="R118" s="74"/>
      <c r="S118" s="75"/>
      <c r="T118" s="66">
        <f t="shared" ref="T118:T124" si="290">AD118*$T$3</f>
        <v>0</v>
      </c>
      <c r="U118" s="66">
        <f t="shared" ref="U118:U124" si="291">AD118*$U$3</f>
        <v>0</v>
      </c>
      <c r="V118" s="66">
        <f t="shared" ref="V118:V124" si="292">AD118*$V$3</f>
        <v>0</v>
      </c>
      <c r="W118" s="66">
        <f t="shared" ref="W118:W124" si="293">AD118*$W$3</f>
        <v>0</v>
      </c>
      <c r="X118" s="68">
        <v>1250.0</v>
      </c>
      <c r="Y118" s="66">
        <f t="shared" ref="Y118:Y124" si="294">R118*$Y$3</f>
        <v>0</v>
      </c>
      <c r="Z118" s="69">
        <f t="shared" ref="Z118:Z124" si="295">(D118*S118)+T118+U118+V118+W118+X118+Y118</f>
        <v>1250</v>
      </c>
      <c r="AA118" s="70" t="str">
        <f t="shared" ref="AA118:AA124" si="296">AB118/AC118</f>
        <v>#DIV/0!</v>
      </c>
      <c r="AB118" s="71">
        <f t="shared" ref="AB118:AB124" si="297">AC118-Z118</f>
        <v>-1250</v>
      </c>
      <c r="AC118" s="66">
        <f t="shared" ref="AC118:AC124" si="298">AD118/$O$4</f>
        <v>0</v>
      </c>
      <c r="AD118" s="78"/>
      <c r="AE118" s="73" t="str">
        <f t="shared" ref="AE118:AE124" si="299">AD118/S118</f>
        <v>#DIV/0!</v>
      </c>
      <c r="AF118" s="76"/>
      <c r="AG118" s="75"/>
      <c r="AH118" s="66">
        <f t="shared" ref="AH118:AH124" si="300">AR118*$AH$3</f>
        <v>0</v>
      </c>
      <c r="AI118" s="66">
        <f t="shared" ref="AI118:AI124" si="301">AR118*$AI$3</f>
        <v>0</v>
      </c>
      <c r="AJ118" s="66">
        <f t="shared" ref="AJ118:AJ124" si="302">AR118*$AJ$3</f>
        <v>0</v>
      </c>
      <c r="AK118" s="66">
        <f t="shared" ref="AK118:AK124" si="303">AR118*$AK$3</f>
        <v>0</v>
      </c>
      <c r="AL118" s="68">
        <v>1250.0</v>
      </c>
      <c r="AM118" s="66">
        <f t="shared" ref="AM118:AM124" si="304">AF118*$AM$3</f>
        <v>0</v>
      </c>
      <c r="AN118" s="69">
        <f t="shared" ref="AN118:AN124" si="305">(R118*AG118)+AH118+AI118+AJ118+AK118+AL118+AM118</f>
        <v>1250</v>
      </c>
      <c r="AO118" s="70" t="str">
        <f t="shared" ref="AO118:AO124" si="306">AP118/AQ118</f>
        <v>#DIV/0!</v>
      </c>
      <c r="AP118" s="71">
        <f t="shared" ref="AP118:AP124" si="307">AQ118-AN118</f>
        <v>-1250</v>
      </c>
      <c r="AQ118" s="66">
        <f t="shared" ref="AQ118:AQ124" si="308">AR118/$O$4</f>
        <v>0</v>
      </c>
      <c r="AR118" s="78"/>
      <c r="AS118" s="73" t="str">
        <f t="shared" ref="AS118:AS124" si="309">AR118/AG118</f>
        <v>#DIV/0!</v>
      </c>
    </row>
    <row r="119">
      <c r="A119" s="106" t="s">
        <v>130</v>
      </c>
      <c r="B119" s="108">
        <f t="shared" ref="B119:B121" si="310">B109</f>
        <v>3100</v>
      </c>
      <c r="C119" s="65">
        <f t="shared" si="278"/>
        <v>2542</v>
      </c>
      <c r="D119" s="66">
        <f t="shared" si="279"/>
        <v>2290.09009</v>
      </c>
      <c r="E119" s="134">
        <v>6.0</v>
      </c>
      <c r="F119" s="66">
        <f t="shared" si="280"/>
        <v>3209.6</v>
      </c>
      <c r="G119" s="66">
        <f t="shared" si="281"/>
        <v>2176</v>
      </c>
      <c r="H119" s="66">
        <f t="shared" si="282"/>
        <v>1224</v>
      </c>
      <c r="I119" s="66">
        <f t="shared" si="283"/>
        <v>489.6</v>
      </c>
      <c r="J119" s="68">
        <v>1250.0</v>
      </c>
      <c r="K119" s="66">
        <f t="shared" si="284"/>
        <v>1220.16</v>
      </c>
      <c r="L119" s="69">
        <f t="shared" si="285"/>
        <v>23309.90054</v>
      </c>
      <c r="M119" s="70">
        <f t="shared" si="286"/>
        <v>0.04875038235</v>
      </c>
      <c r="N119" s="71">
        <f t="shared" si="287"/>
        <v>1194.603964</v>
      </c>
      <c r="O119" s="66">
        <f t="shared" si="288"/>
        <v>24504.5045</v>
      </c>
      <c r="P119" s="78">
        <v>27200.0</v>
      </c>
      <c r="Q119" s="73">
        <f t="shared" si="289"/>
        <v>4533.333333</v>
      </c>
      <c r="R119" s="74"/>
      <c r="S119" s="75"/>
      <c r="T119" s="66">
        <f t="shared" si="290"/>
        <v>0</v>
      </c>
      <c r="U119" s="66">
        <f t="shared" si="291"/>
        <v>0</v>
      </c>
      <c r="V119" s="66">
        <f t="shared" si="292"/>
        <v>0</v>
      </c>
      <c r="W119" s="66">
        <f t="shared" si="293"/>
        <v>0</v>
      </c>
      <c r="X119" s="68">
        <v>1250.0</v>
      </c>
      <c r="Y119" s="66">
        <f t="shared" si="294"/>
        <v>0</v>
      </c>
      <c r="Z119" s="69">
        <f t="shared" si="295"/>
        <v>1250</v>
      </c>
      <c r="AA119" s="70" t="str">
        <f t="shared" si="296"/>
        <v>#DIV/0!</v>
      </c>
      <c r="AB119" s="71">
        <f t="shared" si="297"/>
        <v>-1250</v>
      </c>
      <c r="AC119" s="66">
        <f t="shared" si="298"/>
        <v>0</v>
      </c>
      <c r="AD119" s="78"/>
      <c r="AE119" s="73" t="str">
        <f t="shared" si="299"/>
        <v>#DIV/0!</v>
      </c>
      <c r="AF119" s="76"/>
      <c r="AG119" s="75"/>
      <c r="AH119" s="66">
        <f t="shared" si="300"/>
        <v>0</v>
      </c>
      <c r="AI119" s="66">
        <f t="shared" si="301"/>
        <v>0</v>
      </c>
      <c r="AJ119" s="66">
        <f t="shared" si="302"/>
        <v>0</v>
      </c>
      <c r="AK119" s="66">
        <f t="shared" si="303"/>
        <v>0</v>
      </c>
      <c r="AL119" s="68">
        <v>1250.0</v>
      </c>
      <c r="AM119" s="66">
        <f t="shared" si="304"/>
        <v>0</v>
      </c>
      <c r="AN119" s="69">
        <f t="shared" si="305"/>
        <v>1250</v>
      </c>
      <c r="AO119" s="70" t="str">
        <f t="shared" si="306"/>
        <v>#DIV/0!</v>
      </c>
      <c r="AP119" s="71">
        <f t="shared" si="307"/>
        <v>-1250</v>
      </c>
      <c r="AQ119" s="66">
        <f t="shared" si="308"/>
        <v>0</v>
      </c>
      <c r="AR119" s="78"/>
      <c r="AS119" s="73" t="str">
        <f t="shared" si="309"/>
        <v>#DIV/0!</v>
      </c>
    </row>
    <row r="120">
      <c r="A120" s="106" t="s">
        <v>131</v>
      </c>
      <c r="B120" s="108">
        <f t="shared" si="310"/>
        <v>4000</v>
      </c>
      <c r="C120" s="65">
        <f t="shared" si="278"/>
        <v>3280</v>
      </c>
      <c r="D120" s="66">
        <f t="shared" si="279"/>
        <v>2954.954955</v>
      </c>
      <c r="E120" s="134">
        <v>6.0</v>
      </c>
      <c r="F120" s="66">
        <f t="shared" si="280"/>
        <v>4308.416</v>
      </c>
      <c r="G120" s="66">
        <f t="shared" si="281"/>
        <v>2920.96</v>
      </c>
      <c r="H120" s="66">
        <f t="shared" si="282"/>
        <v>1643.04</v>
      </c>
      <c r="I120" s="66">
        <f t="shared" si="283"/>
        <v>657.216</v>
      </c>
      <c r="J120" s="68">
        <v>1250.0</v>
      </c>
      <c r="K120" s="66">
        <f t="shared" si="284"/>
        <v>1574.4</v>
      </c>
      <c r="L120" s="69">
        <f t="shared" si="285"/>
        <v>30083.76173</v>
      </c>
      <c r="M120" s="70">
        <f t="shared" si="286"/>
        <v>0.08542464067</v>
      </c>
      <c r="N120" s="71">
        <f t="shared" si="287"/>
        <v>2809.931964</v>
      </c>
      <c r="O120" s="66">
        <f t="shared" si="288"/>
        <v>32893.69369</v>
      </c>
      <c r="P120" s="78">
        <v>36512.0</v>
      </c>
      <c r="Q120" s="73">
        <f t="shared" si="289"/>
        <v>6085.333333</v>
      </c>
      <c r="R120" s="74"/>
      <c r="S120" s="75"/>
      <c r="T120" s="66">
        <f t="shared" si="290"/>
        <v>0</v>
      </c>
      <c r="U120" s="66">
        <f t="shared" si="291"/>
        <v>0</v>
      </c>
      <c r="V120" s="66">
        <f t="shared" si="292"/>
        <v>0</v>
      </c>
      <c r="W120" s="66">
        <f t="shared" si="293"/>
        <v>0</v>
      </c>
      <c r="X120" s="68">
        <v>1250.0</v>
      </c>
      <c r="Y120" s="66">
        <f t="shared" si="294"/>
        <v>0</v>
      </c>
      <c r="Z120" s="69">
        <f t="shared" si="295"/>
        <v>1250</v>
      </c>
      <c r="AA120" s="70" t="str">
        <f t="shared" si="296"/>
        <v>#DIV/0!</v>
      </c>
      <c r="AB120" s="71">
        <f t="shared" si="297"/>
        <v>-1250</v>
      </c>
      <c r="AC120" s="66">
        <f t="shared" si="298"/>
        <v>0</v>
      </c>
      <c r="AD120" s="78"/>
      <c r="AE120" s="73" t="str">
        <f t="shared" si="299"/>
        <v>#DIV/0!</v>
      </c>
      <c r="AF120" s="76"/>
      <c r="AG120" s="75"/>
      <c r="AH120" s="66">
        <f t="shared" si="300"/>
        <v>0</v>
      </c>
      <c r="AI120" s="66">
        <f t="shared" si="301"/>
        <v>0</v>
      </c>
      <c r="AJ120" s="66">
        <f t="shared" si="302"/>
        <v>0</v>
      </c>
      <c r="AK120" s="66">
        <f t="shared" si="303"/>
        <v>0</v>
      </c>
      <c r="AL120" s="68">
        <v>1250.0</v>
      </c>
      <c r="AM120" s="66">
        <f t="shared" si="304"/>
        <v>0</v>
      </c>
      <c r="AN120" s="69">
        <f t="shared" si="305"/>
        <v>1250</v>
      </c>
      <c r="AO120" s="70" t="str">
        <f t="shared" si="306"/>
        <v>#DIV/0!</v>
      </c>
      <c r="AP120" s="71">
        <f t="shared" si="307"/>
        <v>-1250</v>
      </c>
      <c r="AQ120" s="66">
        <f t="shared" si="308"/>
        <v>0</v>
      </c>
      <c r="AR120" s="78"/>
      <c r="AS120" s="73" t="str">
        <f t="shared" si="309"/>
        <v>#DIV/0!</v>
      </c>
    </row>
    <row r="121">
      <c r="A121" s="106" t="s">
        <v>132</v>
      </c>
      <c r="B121" s="108">
        <f t="shared" si="310"/>
        <v>5500</v>
      </c>
      <c r="C121" s="65">
        <f t="shared" si="278"/>
        <v>4510</v>
      </c>
      <c r="D121" s="66">
        <f t="shared" si="279"/>
        <v>4063.063063</v>
      </c>
      <c r="E121" s="134">
        <v>6.0</v>
      </c>
      <c r="F121" s="66">
        <f t="shared" si="280"/>
        <v>5310</v>
      </c>
      <c r="G121" s="66">
        <f t="shared" si="281"/>
        <v>3600</v>
      </c>
      <c r="H121" s="66">
        <f t="shared" si="282"/>
        <v>2025</v>
      </c>
      <c r="I121" s="66">
        <f t="shared" si="283"/>
        <v>810</v>
      </c>
      <c r="J121" s="68">
        <v>1250.0</v>
      </c>
      <c r="K121" s="66">
        <f t="shared" si="284"/>
        <v>2164.8</v>
      </c>
      <c r="L121" s="69">
        <f t="shared" si="285"/>
        <v>39538.17838</v>
      </c>
      <c r="M121" s="70">
        <f t="shared" si="286"/>
        <v>0.02472493333</v>
      </c>
      <c r="N121" s="71">
        <f t="shared" si="287"/>
        <v>1002.362162</v>
      </c>
      <c r="O121" s="66">
        <f t="shared" si="288"/>
        <v>40540.54054</v>
      </c>
      <c r="P121" s="78">
        <v>45000.0</v>
      </c>
      <c r="Q121" s="73">
        <f t="shared" si="289"/>
        <v>7500</v>
      </c>
      <c r="R121" s="74"/>
      <c r="S121" s="75"/>
      <c r="T121" s="66">
        <f t="shared" si="290"/>
        <v>0</v>
      </c>
      <c r="U121" s="66">
        <f t="shared" si="291"/>
        <v>0</v>
      </c>
      <c r="V121" s="66">
        <f t="shared" si="292"/>
        <v>0</v>
      </c>
      <c r="W121" s="66">
        <f t="shared" si="293"/>
        <v>0</v>
      </c>
      <c r="X121" s="68">
        <v>1250.0</v>
      </c>
      <c r="Y121" s="66">
        <f t="shared" si="294"/>
        <v>0</v>
      </c>
      <c r="Z121" s="69">
        <f t="shared" si="295"/>
        <v>1250</v>
      </c>
      <c r="AA121" s="70" t="str">
        <f t="shared" si="296"/>
        <v>#DIV/0!</v>
      </c>
      <c r="AB121" s="71">
        <f t="shared" si="297"/>
        <v>-1250</v>
      </c>
      <c r="AC121" s="66">
        <f t="shared" si="298"/>
        <v>0</v>
      </c>
      <c r="AD121" s="78"/>
      <c r="AE121" s="73" t="str">
        <f t="shared" si="299"/>
        <v>#DIV/0!</v>
      </c>
      <c r="AF121" s="76"/>
      <c r="AG121" s="75"/>
      <c r="AH121" s="66">
        <f t="shared" si="300"/>
        <v>0</v>
      </c>
      <c r="AI121" s="66">
        <f t="shared" si="301"/>
        <v>0</v>
      </c>
      <c r="AJ121" s="66">
        <f t="shared" si="302"/>
        <v>0</v>
      </c>
      <c r="AK121" s="66">
        <f t="shared" si="303"/>
        <v>0</v>
      </c>
      <c r="AL121" s="68">
        <v>1250.0</v>
      </c>
      <c r="AM121" s="66">
        <f t="shared" si="304"/>
        <v>0</v>
      </c>
      <c r="AN121" s="69">
        <f t="shared" si="305"/>
        <v>1250</v>
      </c>
      <c r="AO121" s="70" t="str">
        <f t="shared" si="306"/>
        <v>#DIV/0!</v>
      </c>
      <c r="AP121" s="71">
        <f t="shared" si="307"/>
        <v>-1250</v>
      </c>
      <c r="AQ121" s="66">
        <f t="shared" si="308"/>
        <v>0</v>
      </c>
      <c r="AR121" s="78"/>
      <c r="AS121" s="73" t="str">
        <f t="shared" si="309"/>
        <v>#DIV/0!</v>
      </c>
    </row>
    <row r="122">
      <c r="A122" s="149" t="s">
        <v>133</v>
      </c>
      <c r="B122" s="108">
        <f>B114</f>
        <v>11500</v>
      </c>
      <c r="C122" s="65">
        <f t="shared" si="278"/>
        <v>9430</v>
      </c>
      <c r="D122" s="66">
        <f t="shared" si="279"/>
        <v>8495.495495</v>
      </c>
      <c r="E122" s="134">
        <v>4.0</v>
      </c>
      <c r="F122" s="66">
        <f t="shared" si="280"/>
        <v>7080</v>
      </c>
      <c r="G122" s="66">
        <f t="shared" si="281"/>
        <v>4800</v>
      </c>
      <c r="H122" s="66">
        <f t="shared" si="282"/>
        <v>2700</v>
      </c>
      <c r="I122" s="66">
        <f t="shared" si="283"/>
        <v>1080</v>
      </c>
      <c r="J122" s="68">
        <v>1250.0</v>
      </c>
      <c r="K122" s="66">
        <f t="shared" si="284"/>
        <v>3017.6</v>
      </c>
      <c r="L122" s="69">
        <f t="shared" si="285"/>
        <v>53909.58198</v>
      </c>
      <c r="M122" s="70">
        <f t="shared" si="286"/>
        <v>0.002672733333</v>
      </c>
      <c r="N122" s="71">
        <f t="shared" si="287"/>
        <v>144.4720721</v>
      </c>
      <c r="O122" s="66">
        <f t="shared" si="288"/>
        <v>54054.05405</v>
      </c>
      <c r="P122" s="78">
        <v>60000.0</v>
      </c>
      <c r="Q122" s="73">
        <f t="shared" si="289"/>
        <v>15000</v>
      </c>
      <c r="R122" s="74"/>
      <c r="S122" s="75"/>
      <c r="T122" s="66">
        <f t="shared" si="290"/>
        <v>0</v>
      </c>
      <c r="U122" s="66">
        <f t="shared" si="291"/>
        <v>0</v>
      </c>
      <c r="V122" s="66">
        <f t="shared" si="292"/>
        <v>0</v>
      </c>
      <c r="W122" s="66">
        <f t="shared" si="293"/>
        <v>0</v>
      </c>
      <c r="X122" s="68">
        <v>1250.0</v>
      </c>
      <c r="Y122" s="66">
        <f t="shared" si="294"/>
        <v>0</v>
      </c>
      <c r="Z122" s="69">
        <f t="shared" si="295"/>
        <v>1250</v>
      </c>
      <c r="AA122" s="70" t="str">
        <f t="shared" si="296"/>
        <v>#DIV/0!</v>
      </c>
      <c r="AB122" s="71">
        <f t="shared" si="297"/>
        <v>-1250</v>
      </c>
      <c r="AC122" s="66">
        <f t="shared" si="298"/>
        <v>0</v>
      </c>
      <c r="AD122" s="78"/>
      <c r="AE122" s="73" t="str">
        <f t="shared" si="299"/>
        <v>#DIV/0!</v>
      </c>
      <c r="AF122" s="76"/>
      <c r="AG122" s="75"/>
      <c r="AH122" s="66">
        <f t="shared" si="300"/>
        <v>0</v>
      </c>
      <c r="AI122" s="66">
        <f t="shared" si="301"/>
        <v>0</v>
      </c>
      <c r="AJ122" s="66">
        <f t="shared" si="302"/>
        <v>0</v>
      </c>
      <c r="AK122" s="66">
        <f t="shared" si="303"/>
        <v>0</v>
      </c>
      <c r="AL122" s="68">
        <v>1250.0</v>
      </c>
      <c r="AM122" s="66">
        <f t="shared" si="304"/>
        <v>0</v>
      </c>
      <c r="AN122" s="69">
        <f t="shared" si="305"/>
        <v>1250</v>
      </c>
      <c r="AO122" s="70" t="str">
        <f t="shared" si="306"/>
        <v>#DIV/0!</v>
      </c>
      <c r="AP122" s="71">
        <f t="shared" si="307"/>
        <v>-1250</v>
      </c>
      <c r="AQ122" s="66">
        <f t="shared" si="308"/>
        <v>0</v>
      </c>
      <c r="AR122" s="78"/>
      <c r="AS122" s="73" t="str">
        <f t="shared" si="309"/>
        <v>#DIV/0!</v>
      </c>
    </row>
    <row r="123">
      <c r="A123" s="106" t="s">
        <v>134</v>
      </c>
      <c r="B123" s="111">
        <v>28300.0</v>
      </c>
      <c r="C123" s="65">
        <f t="shared" ref="C123:C124" si="311">B123</f>
        <v>28300</v>
      </c>
      <c r="D123" s="66">
        <f t="shared" si="279"/>
        <v>25495.4955</v>
      </c>
      <c r="E123" s="124">
        <v>1.0</v>
      </c>
      <c r="F123" s="66">
        <f t="shared" si="280"/>
        <v>5546</v>
      </c>
      <c r="G123" s="66">
        <f t="shared" si="281"/>
        <v>3760</v>
      </c>
      <c r="H123" s="66">
        <f t="shared" si="282"/>
        <v>2115</v>
      </c>
      <c r="I123" s="66">
        <f t="shared" si="283"/>
        <v>846</v>
      </c>
      <c r="J123" s="68">
        <v>1250.0</v>
      </c>
      <c r="K123" s="66">
        <f t="shared" si="284"/>
        <v>2264</v>
      </c>
      <c r="L123" s="69">
        <f t="shared" si="285"/>
        <v>41276.4955</v>
      </c>
      <c r="M123" s="70">
        <f t="shared" si="286"/>
        <v>0.02517212766</v>
      </c>
      <c r="N123" s="71">
        <f t="shared" si="287"/>
        <v>1065.846847</v>
      </c>
      <c r="O123" s="66">
        <f t="shared" si="288"/>
        <v>42342.34234</v>
      </c>
      <c r="P123" s="72">
        <v>47000.0</v>
      </c>
      <c r="Q123" s="73">
        <f t="shared" si="289"/>
        <v>47000</v>
      </c>
      <c r="R123" s="74"/>
      <c r="S123" s="75"/>
      <c r="T123" s="66">
        <f t="shared" si="290"/>
        <v>0</v>
      </c>
      <c r="U123" s="66">
        <f t="shared" si="291"/>
        <v>0</v>
      </c>
      <c r="V123" s="66">
        <f t="shared" si="292"/>
        <v>0</v>
      </c>
      <c r="W123" s="66">
        <f t="shared" si="293"/>
        <v>0</v>
      </c>
      <c r="X123" s="68">
        <v>1250.0</v>
      </c>
      <c r="Y123" s="66">
        <f t="shared" si="294"/>
        <v>0</v>
      </c>
      <c r="Z123" s="69">
        <f t="shared" si="295"/>
        <v>1250</v>
      </c>
      <c r="AA123" s="70" t="str">
        <f t="shared" si="296"/>
        <v>#DIV/0!</v>
      </c>
      <c r="AB123" s="71">
        <f t="shared" si="297"/>
        <v>-1250</v>
      </c>
      <c r="AC123" s="66">
        <f t="shared" si="298"/>
        <v>0</v>
      </c>
      <c r="AD123" s="78"/>
      <c r="AE123" s="73" t="str">
        <f t="shared" si="299"/>
        <v>#DIV/0!</v>
      </c>
      <c r="AF123" s="76"/>
      <c r="AG123" s="75"/>
      <c r="AH123" s="66">
        <f t="shared" si="300"/>
        <v>0</v>
      </c>
      <c r="AI123" s="66">
        <f t="shared" si="301"/>
        <v>0</v>
      </c>
      <c r="AJ123" s="66">
        <f t="shared" si="302"/>
        <v>0</v>
      </c>
      <c r="AK123" s="66">
        <f t="shared" si="303"/>
        <v>0</v>
      </c>
      <c r="AL123" s="68">
        <v>1250.0</v>
      </c>
      <c r="AM123" s="66">
        <f t="shared" si="304"/>
        <v>0</v>
      </c>
      <c r="AN123" s="69">
        <f t="shared" si="305"/>
        <v>1250</v>
      </c>
      <c r="AO123" s="70" t="str">
        <f t="shared" si="306"/>
        <v>#DIV/0!</v>
      </c>
      <c r="AP123" s="71">
        <f t="shared" si="307"/>
        <v>-1250</v>
      </c>
      <c r="AQ123" s="66">
        <f t="shared" si="308"/>
        <v>0</v>
      </c>
      <c r="AR123" s="78"/>
      <c r="AS123" s="73" t="str">
        <f t="shared" si="309"/>
        <v>#DIV/0!</v>
      </c>
    </row>
    <row r="124">
      <c r="A124" s="106" t="s">
        <v>135</v>
      </c>
      <c r="B124" s="111">
        <v>33700.0</v>
      </c>
      <c r="C124" s="65">
        <f t="shared" si="311"/>
        <v>33700</v>
      </c>
      <c r="D124" s="66">
        <f t="shared" si="279"/>
        <v>30360.36036</v>
      </c>
      <c r="E124" s="124">
        <v>1.0</v>
      </c>
      <c r="F124" s="66">
        <f t="shared" si="280"/>
        <v>6490</v>
      </c>
      <c r="G124" s="66">
        <f t="shared" si="281"/>
        <v>4400</v>
      </c>
      <c r="H124" s="66">
        <f t="shared" si="282"/>
        <v>2475</v>
      </c>
      <c r="I124" s="66">
        <f t="shared" si="283"/>
        <v>990</v>
      </c>
      <c r="J124" s="68">
        <v>1250.0</v>
      </c>
      <c r="K124" s="66">
        <f t="shared" si="284"/>
        <v>2696</v>
      </c>
      <c r="L124" s="69">
        <f t="shared" si="285"/>
        <v>48661.36036</v>
      </c>
      <c r="M124" s="70">
        <f t="shared" si="286"/>
        <v>0.01792527273</v>
      </c>
      <c r="N124" s="71">
        <f t="shared" si="287"/>
        <v>888.1891892</v>
      </c>
      <c r="O124" s="66">
        <f t="shared" si="288"/>
        <v>49549.54955</v>
      </c>
      <c r="P124" s="72">
        <v>55000.0</v>
      </c>
      <c r="Q124" s="73">
        <f t="shared" si="289"/>
        <v>55000</v>
      </c>
      <c r="R124" s="74"/>
      <c r="S124" s="75"/>
      <c r="T124" s="66">
        <f t="shared" si="290"/>
        <v>0</v>
      </c>
      <c r="U124" s="66">
        <f t="shared" si="291"/>
        <v>0</v>
      </c>
      <c r="V124" s="66">
        <f t="shared" si="292"/>
        <v>0</v>
      </c>
      <c r="W124" s="66">
        <f t="shared" si="293"/>
        <v>0</v>
      </c>
      <c r="X124" s="68">
        <v>1250.0</v>
      </c>
      <c r="Y124" s="66">
        <f t="shared" si="294"/>
        <v>0</v>
      </c>
      <c r="Z124" s="69">
        <f t="shared" si="295"/>
        <v>1250</v>
      </c>
      <c r="AA124" s="70" t="str">
        <f t="shared" si="296"/>
        <v>#DIV/0!</v>
      </c>
      <c r="AB124" s="71">
        <f t="shared" si="297"/>
        <v>-1250</v>
      </c>
      <c r="AC124" s="66">
        <f t="shared" si="298"/>
        <v>0</v>
      </c>
      <c r="AD124" s="78"/>
      <c r="AE124" s="73" t="str">
        <f t="shared" si="299"/>
        <v>#DIV/0!</v>
      </c>
      <c r="AF124" s="76"/>
      <c r="AG124" s="75"/>
      <c r="AH124" s="66">
        <f t="shared" si="300"/>
        <v>0</v>
      </c>
      <c r="AI124" s="66">
        <f t="shared" si="301"/>
        <v>0</v>
      </c>
      <c r="AJ124" s="66">
        <f t="shared" si="302"/>
        <v>0</v>
      </c>
      <c r="AK124" s="66">
        <f t="shared" si="303"/>
        <v>0</v>
      </c>
      <c r="AL124" s="68">
        <v>1250.0</v>
      </c>
      <c r="AM124" s="66">
        <f t="shared" si="304"/>
        <v>0</v>
      </c>
      <c r="AN124" s="69">
        <f t="shared" si="305"/>
        <v>1250</v>
      </c>
      <c r="AO124" s="70" t="str">
        <f t="shared" si="306"/>
        <v>#DIV/0!</v>
      </c>
      <c r="AP124" s="71">
        <f t="shared" si="307"/>
        <v>-1250</v>
      </c>
      <c r="AQ124" s="66">
        <f t="shared" si="308"/>
        <v>0</v>
      </c>
      <c r="AR124" s="78"/>
      <c r="AS124" s="73" t="str">
        <f t="shared" si="309"/>
        <v>#DIV/0!</v>
      </c>
    </row>
    <row r="125">
      <c r="A125" s="150" t="s">
        <v>136</v>
      </c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140"/>
      <c r="S125" s="94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  <c r="AE125" s="141"/>
      <c r="AF125" s="76"/>
      <c r="AG125" s="141"/>
      <c r="AH125" s="141"/>
      <c r="AI125" s="141"/>
      <c r="AJ125" s="141"/>
      <c r="AK125" s="141"/>
      <c r="AL125" s="141"/>
      <c r="AM125" s="141"/>
      <c r="AN125" s="141"/>
      <c r="AO125" s="141"/>
      <c r="AP125" s="141"/>
      <c r="AQ125" s="141"/>
      <c r="AR125" s="141"/>
      <c r="AS125" s="141"/>
      <c r="AT125" s="141"/>
      <c r="AU125" s="141"/>
      <c r="AV125" s="141"/>
      <c r="AW125" s="141"/>
      <c r="AX125" s="141"/>
      <c r="AY125" s="141"/>
      <c r="AZ125" s="141"/>
      <c r="BA125" s="141"/>
      <c r="BB125" s="141"/>
      <c r="BC125" s="141"/>
    </row>
    <row r="126">
      <c r="A126" s="106" t="s">
        <v>137</v>
      </c>
      <c r="B126" s="66">
        <f>B107*5+B13</f>
        <v>21900</v>
      </c>
      <c r="C126" s="65">
        <f t="shared" ref="C126:C129" si="312">B126*$C$4</f>
        <v>17958</v>
      </c>
      <c r="D126" s="66">
        <f t="shared" ref="D126:D129" si="313">C126/$D$4</f>
        <v>16178.37838</v>
      </c>
      <c r="E126" s="124">
        <v>1.0</v>
      </c>
      <c r="F126" s="66">
        <f t="shared" ref="F126:F130" si="314">P126*$F$3</f>
        <v>3717</v>
      </c>
      <c r="G126" s="66">
        <f t="shared" ref="G126:G130" si="315">P126*$G$3</f>
        <v>2520</v>
      </c>
      <c r="H126" s="66">
        <f t="shared" ref="H126:H130" si="316">P126*$H$3</f>
        <v>1417.5</v>
      </c>
      <c r="I126" s="66">
        <f t="shared" ref="I126:I130" si="317">P126*$I$3</f>
        <v>567</v>
      </c>
      <c r="J126" s="68">
        <v>1250.0</v>
      </c>
      <c r="K126" s="66">
        <f t="shared" ref="K126:K130" si="318">C126*$K$3*E126</f>
        <v>1436.64</v>
      </c>
      <c r="L126" s="69">
        <f t="shared" ref="L126:L130" si="319">(D126*E126)+F126+G126+H126+I126+J126+K126</f>
        <v>27086.51838</v>
      </c>
      <c r="M126" s="70">
        <f t="shared" ref="M126:M130" si="320">N126/O126</f>
        <v>0.04552268571</v>
      </c>
      <c r="N126" s="71">
        <f t="shared" ref="N126:N130" si="321">O126-L126</f>
        <v>1291.86</v>
      </c>
      <c r="O126" s="66">
        <f t="shared" ref="O126:O130" si="322">P126/$O$4</f>
        <v>28378.37838</v>
      </c>
      <c r="P126" s="78">
        <v>31500.0</v>
      </c>
      <c r="Q126" s="73">
        <f t="shared" ref="Q126:Q130" si="323">P126/E126</f>
        <v>31500</v>
      </c>
      <c r="R126" s="74"/>
      <c r="S126" s="75"/>
      <c r="T126" s="66">
        <f t="shared" ref="T126:T128" si="324">AD126*$T$3</f>
        <v>0</v>
      </c>
      <c r="U126" s="66">
        <f t="shared" ref="U126:U128" si="325">AD126*$U$3</f>
        <v>0</v>
      </c>
      <c r="V126" s="66">
        <f t="shared" ref="V126:V128" si="326">AD126*$V$3</f>
        <v>0</v>
      </c>
      <c r="W126" s="66">
        <f t="shared" ref="W126:W128" si="327">AD126*$W$3</f>
        <v>0</v>
      </c>
      <c r="X126" s="68">
        <v>1250.0</v>
      </c>
      <c r="Y126" s="66">
        <f t="shared" ref="Y126:Y128" si="328">R126*$Y$3</f>
        <v>0</v>
      </c>
      <c r="Z126" s="69">
        <f t="shared" ref="Z126:Z128" si="329">(D126*S126)+T126+U126+V126+W126+X126+Y126</f>
        <v>1250</v>
      </c>
      <c r="AA126" s="70" t="str">
        <f t="shared" ref="AA126:AA128" si="330">AB126/AC126</f>
        <v>#DIV/0!</v>
      </c>
      <c r="AB126" s="71">
        <f t="shared" ref="AB126:AB128" si="331">AC126-Z126</f>
        <v>-1250</v>
      </c>
      <c r="AC126" s="66">
        <f t="shared" ref="AC126:AC128" si="332">AD126/$O$4</f>
        <v>0</v>
      </c>
      <c r="AD126" s="78"/>
      <c r="AE126" s="73" t="str">
        <f t="shared" ref="AE126:AE128" si="333">AD126/S126</f>
        <v>#DIV/0!</v>
      </c>
      <c r="AF126" s="76"/>
      <c r="AG126" s="75"/>
      <c r="AH126" s="66">
        <f t="shared" ref="AH126:AH128" si="334">AR126*$AH$3</f>
        <v>0</v>
      </c>
      <c r="AI126" s="66">
        <f t="shared" ref="AI126:AI128" si="335">AR126*$AI$3</f>
        <v>0</v>
      </c>
      <c r="AJ126" s="66">
        <f t="shared" ref="AJ126:AJ128" si="336">AR126*$AJ$3</f>
        <v>0</v>
      </c>
      <c r="AK126" s="66">
        <f t="shared" ref="AK126:AK128" si="337">AR126*$AK$3</f>
        <v>0</v>
      </c>
      <c r="AL126" s="68">
        <v>1250.0</v>
      </c>
      <c r="AM126" s="66">
        <f t="shared" ref="AM126:AM128" si="338">AF126*$AM$3</f>
        <v>0</v>
      </c>
      <c r="AN126" s="69">
        <f t="shared" ref="AN126:AN128" si="339">(R126*AG126)+AH126+AI126+AJ126+AK126+AL126+AM126</f>
        <v>1250</v>
      </c>
      <c r="AO126" s="70" t="str">
        <f t="shared" ref="AO126:AO128" si="340">AP126/AQ126</f>
        <v>#DIV/0!</v>
      </c>
      <c r="AP126" s="71">
        <f t="shared" ref="AP126:AP128" si="341">AQ126-AN126</f>
        <v>-1250</v>
      </c>
      <c r="AQ126" s="66">
        <f t="shared" ref="AQ126:AQ128" si="342">AR126/$O$4</f>
        <v>0</v>
      </c>
      <c r="AR126" s="78"/>
      <c r="AS126" s="73" t="str">
        <f t="shared" ref="AS126:AS128" si="343">AR126/AG126</f>
        <v>#DIV/0!</v>
      </c>
    </row>
    <row r="127">
      <c r="A127" s="104" t="s">
        <v>138</v>
      </c>
      <c r="B127" s="66">
        <f>B112*5+B13</f>
        <v>38400</v>
      </c>
      <c r="C127" s="65">
        <f t="shared" si="312"/>
        <v>31488</v>
      </c>
      <c r="D127" s="66">
        <f t="shared" si="313"/>
        <v>28367.56757</v>
      </c>
      <c r="E127" s="124">
        <v>1.0</v>
      </c>
      <c r="F127" s="66">
        <f t="shared" si="314"/>
        <v>6077</v>
      </c>
      <c r="G127" s="66">
        <f t="shared" si="315"/>
        <v>4120</v>
      </c>
      <c r="H127" s="66">
        <f t="shared" si="316"/>
        <v>2317.5</v>
      </c>
      <c r="I127" s="66">
        <f t="shared" si="317"/>
        <v>927</v>
      </c>
      <c r="J127" s="68">
        <v>1250.0</v>
      </c>
      <c r="K127" s="66">
        <f t="shared" si="318"/>
        <v>2519.04</v>
      </c>
      <c r="L127" s="69">
        <f t="shared" si="319"/>
        <v>45578.10757</v>
      </c>
      <c r="M127" s="70">
        <f t="shared" si="320"/>
        <v>0.01763690485</v>
      </c>
      <c r="N127" s="71">
        <f t="shared" si="321"/>
        <v>818.2888288</v>
      </c>
      <c r="O127" s="66">
        <f t="shared" si="322"/>
        <v>46396.3964</v>
      </c>
      <c r="P127" s="78">
        <v>51500.0</v>
      </c>
      <c r="Q127" s="73">
        <f t="shared" si="323"/>
        <v>51500</v>
      </c>
      <c r="R127" s="74"/>
      <c r="S127" s="75"/>
      <c r="T127" s="66">
        <f t="shared" si="324"/>
        <v>0</v>
      </c>
      <c r="U127" s="66">
        <f t="shared" si="325"/>
        <v>0</v>
      </c>
      <c r="V127" s="66">
        <f t="shared" si="326"/>
        <v>0</v>
      </c>
      <c r="W127" s="66">
        <f t="shared" si="327"/>
        <v>0</v>
      </c>
      <c r="X127" s="68">
        <v>1250.0</v>
      </c>
      <c r="Y127" s="66">
        <f t="shared" si="328"/>
        <v>0</v>
      </c>
      <c r="Z127" s="69">
        <f t="shared" si="329"/>
        <v>1250</v>
      </c>
      <c r="AA127" s="70" t="str">
        <f t="shared" si="330"/>
        <v>#DIV/0!</v>
      </c>
      <c r="AB127" s="71">
        <f t="shared" si="331"/>
        <v>-1250</v>
      </c>
      <c r="AC127" s="66">
        <f t="shared" si="332"/>
        <v>0</v>
      </c>
      <c r="AD127" s="78"/>
      <c r="AE127" s="73" t="str">
        <f t="shared" si="333"/>
        <v>#DIV/0!</v>
      </c>
      <c r="AF127" s="76"/>
      <c r="AG127" s="75"/>
      <c r="AH127" s="66">
        <f t="shared" si="334"/>
        <v>0</v>
      </c>
      <c r="AI127" s="66">
        <f t="shared" si="335"/>
        <v>0</v>
      </c>
      <c r="AJ127" s="66">
        <f t="shared" si="336"/>
        <v>0</v>
      </c>
      <c r="AK127" s="66">
        <f t="shared" si="337"/>
        <v>0</v>
      </c>
      <c r="AL127" s="68">
        <v>1250.0</v>
      </c>
      <c r="AM127" s="66">
        <f t="shared" si="338"/>
        <v>0</v>
      </c>
      <c r="AN127" s="69">
        <f t="shared" si="339"/>
        <v>1250</v>
      </c>
      <c r="AO127" s="70" t="str">
        <f t="shared" si="340"/>
        <v>#DIV/0!</v>
      </c>
      <c r="AP127" s="71">
        <f t="shared" si="341"/>
        <v>-1250</v>
      </c>
      <c r="AQ127" s="66">
        <f t="shared" si="342"/>
        <v>0</v>
      </c>
      <c r="AR127" s="78"/>
      <c r="AS127" s="73" t="str">
        <f t="shared" si="343"/>
        <v>#DIV/0!</v>
      </c>
    </row>
    <row r="128">
      <c r="A128" s="104" t="s">
        <v>139</v>
      </c>
      <c r="B128" s="66">
        <f>B113*4+B13</f>
        <v>45900</v>
      </c>
      <c r="C128" s="65">
        <f t="shared" si="312"/>
        <v>37638</v>
      </c>
      <c r="D128" s="66">
        <f t="shared" si="313"/>
        <v>33908.10811</v>
      </c>
      <c r="E128" s="124">
        <v>1.0</v>
      </c>
      <c r="F128" s="66">
        <f t="shared" si="314"/>
        <v>7198</v>
      </c>
      <c r="G128" s="66">
        <f t="shared" si="315"/>
        <v>4880</v>
      </c>
      <c r="H128" s="66">
        <f t="shared" si="316"/>
        <v>2745</v>
      </c>
      <c r="I128" s="66">
        <f t="shared" si="317"/>
        <v>1098</v>
      </c>
      <c r="J128" s="68">
        <v>1250.0</v>
      </c>
      <c r="K128" s="66">
        <f t="shared" si="318"/>
        <v>3011.04</v>
      </c>
      <c r="L128" s="69">
        <f t="shared" si="319"/>
        <v>54090.14811</v>
      </c>
      <c r="M128" s="70">
        <f t="shared" si="320"/>
        <v>0.01573664918</v>
      </c>
      <c r="N128" s="71">
        <f t="shared" si="321"/>
        <v>864.8068468</v>
      </c>
      <c r="O128" s="66">
        <f t="shared" si="322"/>
        <v>54954.95495</v>
      </c>
      <c r="P128" s="78">
        <v>61000.0</v>
      </c>
      <c r="Q128" s="73">
        <f t="shared" si="323"/>
        <v>61000</v>
      </c>
      <c r="R128" s="74"/>
      <c r="S128" s="75"/>
      <c r="T128" s="66">
        <f t="shared" si="324"/>
        <v>0</v>
      </c>
      <c r="U128" s="66">
        <f t="shared" si="325"/>
        <v>0</v>
      </c>
      <c r="V128" s="66">
        <f t="shared" si="326"/>
        <v>0</v>
      </c>
      <c r="W128" s="66">
        <f t="shared" si="327"/>
        <v>0</v>
      </c>
      <c r="X128" s="68">
        <v>1250.0</v>
      </c>
      <c r="Y128" s="66">
        <f t="shared" si="328"/>
        <v>0</v>
      </c>
      <c r="Z128" s="69">
        <f t="shared" si="329"/>
        <v>1250</v>
      </c>
      <c r="AA128" s="70" t="str">
        <f t="shared" si="330"/>
        <v>#DIV/0!</v>
      </c>
      <c r="AB128" s="71">
        <f t="shared" si="331"/>
        <v>-1250</v>
      </c>
      <c r="AC128" s="66">
        <f t="shared" si="332"/>
        <v>0</v>
      </c>
      <c r="AD128" s="78"/>
      <c r="AE128" s="73" t="str">
        <f t="shared" si="333"/>
        <v>#DIV/0!</v>
      </c>
      <c r="AF128" s="76"/>
      <c r="AG128" s="75"/>
      <c r="AH128" s="66">
        <f t="shared" si="334"/>
        <v>0</v>
      </c>
      <c r="AI128" s="66">
        <f t="shared" si="335"/>
        <v>0</v>
      </c>
      <c r="AJ128" s="66">
        <f t="shared" si="336"/>
        <v>0</v>
      </c>
      <c r="AK128" s="66">
        <f t="shared" si="337"/>
        <v>0</v>
      </c>
      <c r="AL128" s="68">
        <v>1250.0</v>
      </c>
      <c r="AM128" s="66">
        <f t="shared" si="338"/>
        <v>0</v>
      </c>
      <c r="AN128" s="69">
        <f t="shared" si="339"/>
        <v>1250</v>
      </c>
      <c r="AO128" s="70" t="str">
        <f t="shared" si="340"/>
        <v>#DIV/0!</v>
      </c>
      <c r="AP128" s="71">
        <f t="shared" si="341"/>
        <v>-1250</v>
      </c>
      <c r="AQ128" s="66">
        <f t="shared" si="342"/>
        <v>0</v>
      </c>
      <c r="AR128" s="78"/>
      <c r="AS128" s="73" t="str">
        <f t="shared" si="343"/>
        <v>#DIV/0!</v>
      </c>
    </row>
    <row r="129">
      <c r="A129" s="105"/>
      <c r="C129" s="65">
        <f t="shared" si="312"/>
        <v>0</v>
      </c>
      <c r="D129" s="66">
        <f t="shared" si="313"/>
        <v>0</v>
      </c>
      <c r="E129" s="151"/>
      <c r="F129" s="66">
        <f t="shared" si="314"/>
        <v>0</v>
      </c>
      <c r="G129" s="66">
        <f t="shared" si="315"/>
        <v>0</v>
      </c>
      <c r="H129" s="66">
        <f t="shared" si="316"/>
        <v>0</v>
      </c>
      <c r="I129" s="66">
        <f t="shared" si="317"/>
        <v>0</v>
      </c>
      <c r="J129" s="68">
        <v>1250.0</v>
      </c>
      <c r="K129" s="66">
        <f t="shared" si="318"/>
        <v>0</v>
      </c>
      <c r="L129" s="69">
        <f t="shared" si="319"/>
        <v>1250</v>
      </c>
      <c r="M129" s="70" t="str">
        <f t="shared" si="320"/>
        <v>#DIV/0!</v>
      </c>
      <c r="N129" s="71">
        <f t="shared" si="321"/>
        <v>-1250</v>
      </c>
      <c r="O129" s="66">
        <f t="shared" si="322"/>
        <v>0</v>
      </c>
      <c r="P129" s="152"/>
      <c r="Q129" s="73" t="str">
        <f t="shared" si="323"/>
        <v>#DIV/0!</v>
      </c>
      <c r="R129" s="74"/>
      <c r="S129" s="112"/>
      <c r="AF129" s="76"/>
    </row>
    <row r="130">
      <c r="A130" s="153"/>
      <c r="C130" s="133"/>
      <c r="D130" s="123"/>
      <c r="E130" s="124"/>
      <c r="F130" s="66">
        <f t="shared" si="314"/>
        <v>0</v>
      </c>
      <c r="G130" s="66">
        <f t="shared" si="315"/>
        <v>0</v>
      </c>
      <c r="H130" s="66">
        <f t="shared" si="316"/>
        <v>0</v>
      </c>
      <c r="I130" s="66">
        <f t="shared" si="317"/>
        <v>0</v>
      </c>
      <c r="J130" s="68">
        <v>1250.0</v>
      </c>
      <c r="K130" s="66">
        <f t="shared" si="318"/>
        <v>0</v>
      </c>
      <c r="L130" s="69">
        <f t="shared" si="319"/>
        <v>1250</v>
      </c>
      <c r="M130" s="70" t="str">
        <f t="shared" si="320"/>
        <v>#DIV/0!</v>
      </c>
      <c r="N130" s="71">
        <f t="shared" si="321"/>
        <v>-1250</v>
      </c>
      <c r="O130" s="66">
        <f t="shared" si="322"/>
        <v>0</v>
      </c>
      <c r="P130" s="152"/>
      <c r="Q130" s="73" t="str">
        <f t="shared" si="323"/>
        <v>#DIV/0!</v>
      </c>
      <c r="R130" s="74"/>
      <c r="S130" s="112"/>
      <c r="AF130" s="76"/>
    </row>
    <row r="131">
      <c r="A131" s="154" t="s">
        <v>140</v>
      </c>
      <c r="B131" s="141"/>
      <c r="C131" s="155">
        <f t="shared" ref="C131:C137" si="344">B131*$C$4</f>
        <v>0</v>
      </c>
      <c r="D131" s="156"/>
      <c r="E131" s="157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74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76"/>
      <c r="AG131" s="141"/>
      <c r="AH131" s="141"/>
      <c r="AI131" s="141"/>
      <c r="AJ131" s="141"/>
      <c r="AK131" s="141"/>
      <c r="AL131" s="141"/>
      <c r="AM131" s="141"/>
      <c r="AN131" s="141"/>
      <c r="AO131" s="141"/>
      <c r="AP131" s="141"/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A131" s="141"/>
      <c r="BB131" s="141"/>
      <c r="BC131" s="141"/>
    </row>
    <row r="132">
      <c r="A132" s="104" t="s">
        <v>141</v>
      </c>
      <c r="B132" s="65">
        <v>1900.0</v>
      </c>
      <c r="C132" s="65">
        <f t="shared" si="344"/>
        <v>1558</v>
      </c>
      <c r="D132" s="66">
        <f t="shared" ref="D132:D137" si="345">C132/$D$4</f>
        <v>1403.603604</v>
      </c>
      <c r="E132" s="124">
        <v>1.0</v>
      </c>
      <c r="F132" s="66">
        <f t="shared" ref="F132:F137" si="346">P132*$F$3</f>
        <v>1062</v>
      </c>
      <c r="G132" s="66">
        <f t="shared" ref="G132:G137" si="347">P132*$G$3</f>
        <v>720</v>
      </c>
      <c r="H132" s="66">
        <f t="shared" ref="H132:H137" si="348">P132*$H$3</f>
        <v>405</v>
      </c>
      <c r="I132" s="66">
        <f t="shared" ref="I132:I137" si="349">P132*$I$3</f>
        <v>162</v>
      </c>
      <c r="J132" s="68">
        <v>1250.0</v>
      </c>
      <c r="K132" s="66">
        <f t="shared" ref="K132:K137" si="350">D132*$K$3</f>
        <v>112.2882883</v>
      </c>
      <c r="L132" s="69">
        <f t="shared" ref="L132:L137" si="351">(D132*E132)+F132+G132+H132+I132+J132+K132</f>
        <v>5114.891892</v>
      </c>
      <c r="M132" s="70">
        <f t="shared" ref="M132:M137" si="352">N132/O132</f>
        <v>0.3691633333</v>
      </c>
      <c r="N132" s="71">
        <f t="shared" ref="N132:N137" si="353">O132-L132</f>
        <v>2993.216216</v>
      </c>
      <c r="O132" s="66">
        <f t="shared" ref="O132:O137" si="354">P132/$O$4</f>
        <v>8108.108108</v>
      </c>
      <c r="P132" s="78">
        <v>9000.0</v>
      </c>
      <c r="Q132" s="73">
        <f t="shared" ref="Q132:Q137" si="355">P132/E132</f>
        <v>9000</v>
      </c>
      <c r="R132" s="74"/>
      <c r="S132" s="112"/>
      <c r="AF132" s="76"/>
    </row>
    <row r="133">
      <c r="A133" s="104" t="s">
        <v>142</v>
      </c>
      <c r="B133" s="65">
        <v>2800.0</v>
      </c>
      <c r="C133" s="65">
        <f t="shared" si="344"/>
        <v>2296</v>
      </c>
      <c r="D133" s="66">
        <f t="shared" si="345"/>
        <v>2068.468468</v>
      </c>
      <c r="E133" s="124">
        <v>1.0</v>
      </c>
      <c r="F133" s="66">
        <f t="shared" si="346"/>
        <v>1416</v>
      </c>
      <c r="G133" s="66">
        <f t="shared" si="347"/>
        <v>960</v>
      </c>
      <c r="H133" s="66">
        <f t="shared" si="348"/>
        <v>540</v>
      </c>
      <c r="I133" s="66">
        <f t="shared" si="349"/>
        <v>216</v>
      </c>
      <c r="J133" s="68">
        <v>1250.0</v>
      </c>
      <c r="K133" s="66">
        <f t="shared" si="350"/>
        <v>165.4774775</v>
      </c>
      <c r="L133" s="69">
        <f t="shared" si="351"/>
        <v>6615.945946</v>
      </c>
      <c r="M133" s="70">
        <f t="shared" si="352"/>
        <v>0.388025</v>
      </c>
      <c r="N133" s="71">
        <f t="shared" si="353"/>
        <v>4194.864865</v>
      </c>
      <c r="O133" s="66">
        <f t="shared" si="354"/>
        <v>10810.81081</v>
      </c>
      <c r="P133" s="78">
        <v>12000.0</v>
      </c>
      <c r="Q133" s="73">
        <f t="shared" si="355"/>
        <v>12000</v>
      </c>
      <c r="R133" s="74"/>
      <c r="S133" s="112"/>
      <c r="AF133" s="76"/>
    </row>
    <row r="134">
      <c r="A134" s="104" t="s">
        <v>143</v>
      </c>
      <c r="B134" s="65">
        <v>6840.0</v>
      </c>
      <c r="C134" s="65">
        <f t="shared" si="344"/>
        <v>5608.8</v>
      </c>
      <c r="D134" s="66">
        <f t="shared" si="345"/>
        <v>5052.972973</v>
      </c>
      <c r="E134" s="124">
        <v>1.0</v>
      </c>
      <c r="F134" s="66">
        <f t="shared" si="346"/>
        <v>2714</v>
      </c>
      <c r="G134" s="66">
        <f t="shared" si="347"/>
        <v>1840</v>
      </c>
      <c r="H134" s="66">
        <f t="shared" si="348"/>
        <v>1035</v>
      </c>
      <c r="I134" s="66">
        <f t="shared" si="349"/>
        <v>414</v>
      </c>
      <c r="J134" s="68">
        <v>1250.0</v>
      </c>
      <c r="K134" s="66">
        <f t="shared" si="350"/>
        <v>404.2378378</v>
      </c>
      <c r="L134" s="69">
        <f t="shared" si="351"/>
        <v>12710.21081</v>
      </c>
      <c r="M134" s="70">
        <f t="shared" si="352"/>
        <v>0.3865941739</v>
      </c>
      <c r="N134" s="71">
        <f t="shared" si="353"/>
        <v>8010.50991</v>
      </c>
      <c r="O134" s="66">
        <f t="shared" si="354"/>
        <v>20720.72072</v>
      </c>
      <c r="P134" s="78">
        <v>23000.0</v>
      </c>
      <c r="Q134" s="73">
        <f t="shared" si="355"/>
        <v>23000</v>
      </c>
      <c r="R134" s="74"/>
      <c r="S134" s="112"/>
      <c r="AF134" s="76"/>
    </row>
    <row r="135">
      <c r="A135" s="104" t="s">
        <v>144</v>
      </c>
      <c r="B135" s="65">
        <v>8400.0</v>
      </c>
      <c r="C135" s="65">
        <f t="shared" si="344"/>
        <v>6888</v>
      </c>
      <c r="D135" s="66">
        <f t="shared" si="345"/>
        <v>6205.405405</v>
      </c>
      <c r="E135" s="124">
        <v>1.0</v>
      </c>
      <c r="F135" s="66">
        <f t="shared" si="346"/>
        <v>3540</v>
      </c>
      <c r="G135" s="66">
        <f t="shared" si="347"/>
        <v>2400</v>
      </c>
      <c r="H135" s="66">
        <f t="shared" si="348"/>
        <v>1350</v>
      </c>
      <c r="I135" s="66">
        <f t="shared" si="349"/>
        <v>540</v>
      </c>
      <c r="J135" s="68">
        <v>1250.0</v>
      </c>
      <c r="K135" s="66">
        <f t="shared" si="350"/>
        <v>496.4324324</v>
      </c>
      <c r="L135" s="69">
        <f t="shared" si="351"/>
        <v>15781.83784</v>
      </c>
      <c r="M135" s="70">
        <f t="shared" si="352"/>
        <v>0.416072</v>
      </c>
      <c r="N135" s="71">
        <f t="shared" si="353"/>
        <v>11245.18919</v>
      </c>
      <c r="O135" s="66">
        <f t="shared" si="354"/>
        <v>27027.02703</v>
      </c>
      <c r="P135" s="78">
        <v>30000.0</v>
      </c>
      <c r="Q135" s="73">
        <f t="shared" si="355"/>
        <v>30000</v>
      </c>
      <c r="R135" s="74"/>
      <c r="S135" s="112"/>
      <c r="AF135" s="76"/>
    </row>
    <row r="136">
      <c r="A136" s="104" t="s">
        <v>145</v>
      </c>
      <c r="B136" s="65">
        <v>9940.0</v>
      </c>
      <c r="C136" s="65">
        <f t="shared" si="344"/>
        <v>8150.8</v>
      </c>
      <c r="D136" s="66">
        <f t="shared" si="345"/>
        <v>7343.063063</v>
      </c>
      <c r="E136" s="124">
        <v>1.0</v>
      </c>
      <c r="F136" s="66">
        <f t="shared" si="346"/>
        <v>1711</v>
      </c>
      <c r="G136" s="66">
        <f t="shared" si="347"/>
        <v>1160</v>
      </c>
      <c r="H136" s="66">
        <f t="shared" si="348"/>
        <v>652.5</v>
      </c>
      <c r="I136" s="66">
        <f t="shared" si="349"/>
        <v>261</v>
      </c>
      <c r="J136" s="68">
        <v>1250.0</v>
      </c>
      <c r="K136" s="66">
        <f t="shared" si="350"/>
        <v>587.445045</v>
      </c>
      <c r="L136" s="69">
        <f t="shared" si="351"/>
        <v>12965.00811</v>
      </c>
      <c r="M136" s="70">
        <f t="shared" si="352"/>
        <v>0.007506275862</v>
      </c>
      <c r="N136" s="71">
        <f t="shared" si="353"/>
        <v>98.05495495</v>
      </c>
      <c r="O136" s="66">
        <f t="shared" si="354"/>
        <v>13063.06306</v>
      </c>
      <c r="P136" s="78">
        <v>14500.0</v>
      </c>
      <c r="Q136" s="73">
        <f t="shared" si="355"/>
        <v>14500</v>
      </c>
      <c r="R136" s="74"/>
      <c r="S136" s="112"/>
      <c r="AF136" s="76"/>
    </row>
    <row r="137">
      <c r="A137" s="104" t="s">
        <v>146</v>
      </c>
      <c r="B137" s="65">
        <v>27999.0</v>
      </c>
      <c r="C137" s="65">
        <f t="shared" si="344"/>
        <v>22959.18</v>
      </c>
      <c r="D137" s="66">
        <f t="shared" si="345"/>
        <v>20683.94595</v>
      </c>
      <c r="E137" s="124">
        <v>1.0</v>
      </c>
      <c r="F137" s="66">
        <f t="shared" si="346"/>
        <v>5074</v>
      </c>
      <c r="G137" s="66">
        <f t="shared" si="347"/>
        <v>3440</v>
      </c>
      <c r="H137" s="66">
        <f t="shared" si="348"/>
        <v>1935</v>
      </c>
      <c r="I137" s="66">
        <f t="shared" si="349"/>
        <v>774</v>
      </c>
      <c r="J137" s="68">
        <v>1250.0</v>
      </c>
      <c r="K137" s="66">
        <f t="shared" si="350"/>
        <v>1654.715676</v>
      </c>
      <c r="L137" s="69">
        <f t="shared" si="351"/>
        <v>34811.66162</v>
      </c>
      <c r="M137" s="70">
        <f t="shared" si="352"/>
        <v>0.101373386</v>
      </c>
      <c r="N137" s="71">
        <f t="shared" si="353"/>
        <v>3927.077117</v>
      </c>
      <c r="O137" s="66">
        <f t="shared" si="354"/>
        <v>38738.73874</v>
      </c>
      <c r="P137" s="78">
        <v>43000.0</v>
      </c>
      <c r="Q137" s="73">
        <f t="shared" si="355"/>
        <v>43000</v>
      </c>
      <c r="R137" s="74"/>
      <c r="S137" s="112"/>
      <c r="AF137" s="76"/>
    </row>
    <row r="138">
      <c r="A138" s="153"/>
      <c r="C138" s="133"/>
      <c r="D138" s="123"/>
      <c r="E138" s="124"/>
      <c r="L138" s="125"/>
      <c r="N138" s="126"/>
      <c r="P138" s="127"/>
      <c r="Q138" s="128"/>
      <c r="R138" s="74"/>
      <c r="S138" s="112"/>
      <c r="AF138" s="76"/>
    </row>
    <row r="139" hidden="1">
      <c r="A139" s="153"/>
      <c r="C139" s="133"/>
      <c r="D139" s="123"/>
      <c r="E139" s="124"/>
      <c r="L139" s="125"/>
      <c r="N139" s="126"/>
      <c r="P139" s="127"/>
      <c r="Q139" s="128"/>
      <c r="R139" s="74"/>
      <c r="AF139" s="76"/>
    </row>
    <row r="140" hidden="1">
      <c r="A140" s="153"/>
      <c r="C140" s="133"/>
      <c r="D140" s="123"/>
      <c r="E140" s="124"/>
      <c r="L140" s="125"/>
      <c r="N140" s="126"/>
      <c r="P140" s="127"/>
      <c r="Q140" s="128"/>
      <c r="R140" s="74"/>
      <c r="AF140" s="76"/>
    </row>
    <row r="141" hidden="1">
      <c r="A141" s="153"/>
      <c r="C141" s="133"/>
      <c r="D141" s="123"/>
      <c r="E141" s="124"/>
      <c r="L141" s="125"/>
      <c r="N141" s="126"/>
      <c r="P141" s="127"/>
      <c r="Q141" s="128"/>
      <c r="R141" s="74"/>
      <c r="AF141" s="76"/>
    </row>
    <row r="142" hidden="1">
      <c r="A142" s="153"/>
      <c r="C142" s="133"/>
      <c r="D142" s="123"/>
      <c r="E142" s="124"/>
      <c r="L142" s="125"/>
      <c r="N142" s="126"/>
      <c r="P142" s="127"/>
      <c r="Q142" s="128"/>
      <c r="R142" s="74"/>
      <c r="AF142" s="76"/>
    </row>
    <row r="143" hidden="1">
      <c r="A143" s="153"/>
      <c r="C143" s="133"/>
      <c r="D143" s="123"/>
      <c r="E143" s="124"/>
      <c r="L143" s="125"/>
      <c r="N143" s="126"/>
      <c r="P143" s="127"/>
      <c r="Q143" s="128"/>
      <c r="R143" s="74"/>
      <c r="AF143" s="76"/>
    </row>
    <row r="144" hidden="1">
      <c r="A144" s="153"/>
      <c r="C144" s="133"/>
      <c r="D144" s="123"/>
      <c r="E144" s="124"/>
      <c r="L144" s="125"/>
      <c r="N144" s="126"/>
      <c r="P144" s="127"/>
      <c r="Q144" s="128"/>
      <c r="R144" s="74"/>
      <c r="AF144" s="76"/>
    </row>
    <row r="145">
      <c r="A145" s="1" t="s">
        <v>0</v>
      </c>
      <c r="B145" s="2" t="s">
        <v>1</v>
      </c>
      <c r="C145" s="158" t="s">
        <v>147</v>
      </c>
      <c r="D145" s="158" t="s">
        <v>147</v>
      </c>
      <c r="E145" s="3" t="s">
        <v>3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5"/>
      <c r="R145" s="6"/>
      <c r="S145" s="7" t="s">
        <v>4</v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8"/>
      <c r="AG145" s="9" t="s">
        <v>5</v>
      </c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1"/>
      <c r="AU145" s="10"/>
      <c r="AV145" s="10"/>
      <c r="AW145" s="10"/>
      <c r="AX145" s="10"/>
      <c r="AY145" s="10"/>
      <c r="AZ145" s="10"/>
      <c r="BA145" s="10"/>
      <c r="BB145" s="10"/>
      <c r="BC145" s="12"/>
    </row>
    <row r="146">
      <c r="A146" s="13"/>
      <c r="B146" s="13"/>
      <c r="C146" s="14"/>
      <c r="D146" s="14"/>
      <c r="E146" s="15" t="s">
        <v>6</v>
      </c>
      <c r="F146" s="16" t="s">
        <v>7</v>
      </c>
      <c r="G146" s="4"/>
      <c r="H146" s="4"/>
      <c r="I146" s="5"/>
      <c r="J146" s="17" t="s">
        <v>8</v>
      </c>
      <c r="K146" s="17" t="s">
        <v>9</v>
      </c>
      <c r="L146" s="18" t="s">
        <v>10</v>
      </c>
      <c r="M146" s="19" t="s">
        <v>11</v>
      </c>
      <c r="N146" s="20" t="s">
        <v>12</v>
      </c>
      <c r="O146" s="3" t="s">
        <v>13</v>
      </c>
      <c r="P146" s="5"/>
      <c r="Q146" s="21" t="s">
        <v>14</v>
      </c>
      <c r="R146" s="22"/>
      <c r="S146" s="23" t="s">
        <v>15</v>
      </c>
      <c r="T146" s="24" t="s">
        <v>7</v>
      </c>
      <c r="U146" s="4"/>
      <c r="V146" s="4"/>
      <c r="W146" s="5"/>
      <c r="X146" s="25" t="s">
        <v>8</v>
      </c>
      <c r="Y146" s="25" t="s">
        <v>9</v>
      </c>
      <c r="Z146" s="26" t="s">
        <v>10</v>
      </c>
      <c r="AA146" s="37" t="s">
        <v>148</v>
      </c>
      <c r="AB146" s="28" t="s">
        <v>12</v>
      </c>
      <c r="AC146" s="29" t="s">
        <v>17</v>
      </c>
      <c r="AD146" s="5"/>
      <c r="AE146" s="159" t="s">
        <v>18</v>
      </c>
      <c r="AF146" s="31"/>
      <c r="AG146" s="32" t="s">
        <v>19</v>
      </c>
      <c r="AH146" s="24" t="s">
        <v>7</v>
      </c>
      <c r="AI146" s="4"/>
      <c r="AJ146" s="4"/>
      <c r="AK146" s="5"/>
      <c r="AL146" s="25" t="s">
        <v>8</v>
      </c>
      <c r="AM146" s="25" t="s">
        <v>9</v>
      </c>
      <c r="AN146" s="33" t="s">
        <v>10</v>
      </c>
      <c r="AO146" s="37" t="s">
        <v>148</v>
      </c>
      <c r="AP146" s="34" t="s">
        <v>12</v>
      </c>
      <c r="AQ146" s="35" t="s">
        <v>13</v>
      </c>
      <c r="AR146" s="5"/>
      <c r="AS146" s="160" t="s">
        <v>21</v>
      </c>
      <c r="AT146" s="32" t="s">
        <v>22</v>
      </c>
      <c r="AU146" s="25" t="s">
        <v>7</v>
      </c>
      <c r="AV146" s="25" t="s">
        <v>8</v>
      </c>
      <c r="AW146" s="25" t="s">
        <v>9</v>
      </c>
      <c r="AX146" s="33" t="s">
        <v>10</v>
      </c>
      <c r="AY146" s="37" t="s">
        <v>23</v>
      </c>
      <c r="AZ146" s="34" t="s">
        <v>12</v>
      </c>
      <c r="BA146" s="35" t="s">
        <v>13</v>
      </c>
      <c r="BB146" s="5"/>
      <c r="BC146" s="38" t="s">
        <v>24</v>
      </c>
    </row>
    <row r="147">
      <c r="A147" s="39"/>
      <c r="B147" s="40"/>
      <c r="C147" s="40" t="s">
        <v>25</v>
      </c>
      <c r="D147" s="40" t="s">
        <v>26</v>
      </c>
      <c r="E147" s="39"/>
      <c r="F147" s="41">
        <v>0.102</v>
      </c>
      <c r="G147" s="42">
        <v>0.06</v>
      </c>
      <c r="H147" s="41">
        <v>0.045</v>
      </c>
      <c r="I147" s="41">
        <v>0.018</v>
      </c>
      <c r="J147" s="43">
        <v>1250.0</v>
      </c>
      <c r="K147" s="42">
        <v>0.1</v>
      </c>
      <c r="L147" s="44" t="s">
        <v>26</v>
      </c>
      <c r="M147" s="41">
        <v>0.025</v>
      </c>
      <c r="N147" s="39"/>
      <c r="O147" s="44" t="s">
        <v>26</v>
      </c>
      <c r="P147" s="45" t="s">
        <v>27</v>
      </c>
      <c r="Q147" s="39"/>
      <c r="R147" s="46"/>
      <c r="S147" s="39"/>
      <c r="T147" s="41">
        <v>0.117</v>
      </c>
      <c r="U147" s="41">
        <v>0.06</v>
      </c>
      <c r="V147" s="41">
        <v>0.045</v>
      </c>
      <c r="W147" s="41">
        <v>0.018</v>
      </c>
      <c r="X147" s="47"/>
      <c r="Y147" s="42">
        <v>0.05</v>
      </c>
      <c r="Z147" s="48" t="s">
        <v>26</v>
      </c>
      <c r="AA147" s="39"/>
      <c r="AB147" s="39"/>
      <c r="AC147" s="49" t="s">
        <v>26</v>
      </c>
      <c r="AD147" s="50" t="s">
        <v>25</v>
      </c>
      <c r="AE147" s="51"/>
      <c r="AF147" s="31"/>
      <c r="AG147" s="39"/>
      <c r="AH147" s="41">
        <v>0.117</v>
      </c>
      <c r="AI147" s="41">
        <v>0.06</v>
      </c>
      <c r="AJ147" s="41">
        <v>0.045</v>
      </c>
      <c r="AK147" s="41">
        <v>0.018</v>
      </c>
      <c r="AL147" s="47"/>
      <c r="AM147" s="42">
        <v>0.05</v>
      </c>
      <c r="AN147" s="52" t="s">
        <v>26</v>
      </c>
      <c r="AO147" s="39"/>
      <c r="AP147" s="39"/>
      <c r="AQ147" s="53" t="s">
        <v>26</v>
      </c>
      <c r="AR147" s="54" t="s">
        <v>25</v>
      </c>
      <c r="AS147" s="51"/>
      <c r="AT147" s="39"/>
      <c r="AU147" s="55">
        <v>0.17</v>
      </c>
      <c r="AV147" s="47"/>
      <c r="AW147" s="55">
        <v>0.04</v>
      </c>
      <c r="AX147" s="52" t="s">
        <v>26</v>
      </c>
      <c r="AY147" s="39"/>
      <c r="AZ147" s="39"/>
      <c r="BA147" s="53" t="s">
        <v>26</v>
      </c>
      <c r="BB147" s="54" t="s">
        <v>25</v>
      </c>
      <c r="BC147" s="39"/>
    </row>
    <row r="148">
      <c r="A148" s="161" t="s">
        <v>149</v>
      </c>
      <c r="B148" s="162"/>
      <c r="C148" s="163"/>
      <c r="D148" s="164"/>
      <c r="E148" s="165"/>
      <c r="F148" s="164"/>
      <c r="G148" s="164"/>
      <c r="H148" s="164"/>
      <c r="I148" s="164"/>
      <c r="J148" s="166"/>
      <c r="K148" s="166"/>
      <c r="L148" s="164"/>
      <c r="M148" s="167"/>
      <c r="N148" s="164"/>
      <c r="O148" s="164"/>
      <c r="P148" s="166"/>
      <c r="Q148" s="164"/>
      <c r="R148" s="74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76"/>
      <c r="AG148" s="162"/>
      <c r="AH148" s="162"/>
      <c r="AI148" s="162"/>
      <c r="AJ148" s="162"/>
      <c r="AK148" s="162"/>
      <c r="AL148" s="162"/>
      <c r="AM148" s="162"/>
      <c r="AN148" s="162"/>
      <c r="AO148" s="162"/>
      <c r="AP148" s="162"/>
      <c r="AQ148" s="162"/>
      <c r="AR148" s="162"/>
      <c r="AS148" s="162"/>
      <c r="AT148" s="162"/>
      <c r="AU148" s="162"/>
      <c r="AV148" s="162"/>
      <c r="AW148" s="162"/>
      <c r="AX148" s="162"/>
      <c r="AY148" s="162"/>
      <c r="AZ148" s="162"/>
      <c r="BA148" s="162"/>
      <c r="BB148" s="162"/>
      <c r="BC148" s="162"/>
    </row>
    <row r="149">
      <c r="A149" s="104" t="s">
        <v>150</v>
      </c>
      <c r="B149" s="68">
        <v>12500.0</v>
      </c>
      <c r="C149" s="65">
        <f t="shared" ref="C149:C154" si="356">B149*$C$4</f>
        <v>10250</v>
      </c>
      <c r="D149" s="66">
        <f t="shared" ref="D149:D154" si="357">C149/$D$4</f>
        <v>9234.234234</v>
      </c>
      <c r="E149" s="124">
        <v>1.0</v>
      </c>
      <c r="F149" s="66">
        <f t="shared" ref="F149:F154" si="358">P149*$F$147</f>
        <v>1815.6</v>
      </c>
      <c r="G149" s="66">
        <f t="shared" ref="G149:G154" si="359">P149*$G$147</f>
        <v>1068</v>
      </c>
      <c r="H149" s="66">
        <f t="shared" ref="H149:H153" si="360">P149*$H$147</f>
        <v>801</v>
      </c>
      <c r="I149" s="66">
        <f t="shared" ref="I149:I154" si="361">P149*$I$147</f>
        <v>320.4</v>
      </c>
      <c r="J149" s="68">
        <v>1250.0</v>
      </c>
      <c r="K149" s="66">
        <f t="shared" ref="K149:K153" si="362">C149*$K$147*E149</f>
        <v>1025</v>
      </c>
      <c r="L149" s="69">
        <f t="shared" ref="L149:L154" si="363">(D149*E149)+F149+G149+H149+I149+J149+K149</f>
        <v>15514.23423</v>
      </c>
      <c r="M149" s="70">
        <f t="shared" ref="M149:M154" si="364">N149/O149</f>
        <v>0.03253932584</v>
      </c>
      <c r="N149" s="71">
        <f t="shared" ref="N149:N154" si="365">O149-L149</f>
        <v>521.8018018</v>
      </c>
      <c r="O149" s="66">
        <f t="shared" ref="O149:O154" si="366">P149/$O$4</f>
        <v>16036.03604</v>
      </c>
      <c r="P149" s="78">
        <v>17800.0</v>
      </c>
      <c r="Q149" s="73">
        <f t="shared" ref="Q149:Q152" si="367">P149/E149</f>
        <v>17800</v>
      </c>
      <c r="R149" s="74"/>
      <c r="S149" s="112"/>
      <c r="AF149" s="76"/>
    </row>
    <row r="150">
      <c r="A150" s="104" t="s">
        <v>151</v>
      </c>
      <c r="B150" s="68">
        <v>12500.0</v>
      </c>
      <c r="C150" s="65">
        <f t="shared" si="356"/>
        <v>10250</v>
      </c>
      <c r="D150" s="66">
        <f t="shared" si="357"/>
        <v>9234.234234</v>
      </c>
      <c r="E150" s="124">
        <v>1.0</v>
      </c>
      <c r="F150" s="66">
        <f t="shared" si="358"/>
        <v>1815.6</v>
      </c>
      <c r="G150" s="66">
        <f t="shared" si="359"/>
        <v>1068</v>
      </c>
      <c r="H150" s="66">
        <f t="shared" si="360"/>
        <v>801</v>
      </c>
      <c r="I150" s="66">
        <f t="shared" si="361"/>
        <v>320.4</v>
      </c>
      <c r="J150" s="68">
        <v>1250.0</v>
      </c>
      <c r="K150" s="66">
        <f t="shared" si="362"/>
        <v>1025</v>
      </c>
      <c r="L150" s="69">
        <f t="shared" si="363"/>
        <v>15514.23423</v>
      </c>
      <c r="M150" s="70">
        <f t="shared" si="364"/>
        <v>0.03253932584</v>
      </c>
      <c r="N150" s="71">
        <f t="shared" si="365"/>
        <v>521.8018018</v>
      </c>
      <c r="O150" s="66">
        <f t="shared" si="366"/>
        <v>16036.03604</v>
      </c>
      <c r="P150" s="78">
        <v>17800.0</v>
      </c>
      <c r="Q150" s="73">
        <f t="shared" si="367"/>
        <v>17800</v>
      </c>
      <c r="R150" s="74"/>
      <c r="S150" s="112"/>
      <c r="AF150" s="76"/>
    </row>
    <row r="151">
      <c r="A151" s="104" t="s">
        <v>152</v>
      </c>
      <c r="B151" s="66">
        <f>B150</f>
        <v>12500</v>
      </c>
      <c r="C151" s="65">
        <f t="shared" si="356"/>
        <v>10250</v>
      </c>
      <c r="D151" s="66">
        <f t="shared" si="357"/>
        <v>9234.234234</v>
      </c>
      <c r="E151" s="134">
        <v>2.0</v>
      </c>
      <c r="F151" s="66">
        <f t="shared" si="358"/>
        <v>3468</v>
      </c>
      <c r="G151" s="66">
        <f t="shared" si="359"/>
        <v>2040</v>
      </c>
      <c r="H151" s="66">
        <f t="shared" si="360"/>
        <v>1530</v>
      </c>
      <c r="I151" s="66">
        <f t="shared" si="361"/>
        <v>612</v>
      </c>
      <c r="J151" s="68">
        <v>1250.0</v>
      </c>
      <c r="K151" s="66">
        <f t="shared" si="362"/>
        <v>2050</v>
      </c>
      <c r="L151" s="69">
        <f t="shared" si="363"/>
        <v>29418.46847</v>
      </c>
      <c r="M151" s="70">
        <f t="shared" si="364"/>
        <v>0.03957352941</v>
      </c>
      <c r="N151" s="71">
        <f t="shared" si="365"/>
        <v>1212.162162</v>
      </c>
      <c r="O151" s="66">
        <f t="shared" si="366"/>
        <v>30630.63063</v>
      </c>
      <c r="P151" s="78">
        <v>34000.0</v>
      </c>
      <c r="Q151" s="73">
        <f t="shared" si="367"/>
        <v>17000</v>
      </c>
      <c r="R151" s="74"/>
      <c r="S151" s="112"/>
      <c r="AF151" s="76"/>
    </row>
    <row r="152">
      <c r="A152" s="122" t="s">
        <v>153</v>
      </c>
      <c r="B152" s="66">
        <f>B149</f>
        <v>12500</v>
      </c>
      <c r="C152" s="65">
        <f t="shared" si="356"/>
        <v>10250</v>
      </c>
      <c r="D152" s="66">
        <f t="shared" si="357"/>
        <v>9234.234234</v>
      </c>
      <c r="E152" s="134">
        <v>24.0</v>
      </c>
      <c r="F152" s="66">
        <f t="shared" si="358"/>
        <v>39678</v>
      </c>
      <c r="G152" s="66">
        <f t="shared" si="359"/>
        <v>23340</v>
      </c>
      <c r="H152" s="66">
        <f t="shared" si="360"/>
        <v>17505</v>
      </c>
      <c r="I152" s="66">
        <f t="shared" si="361"/>
        <v>7002</v>
      </c>
      <c r="J152" s="68">
        <v>1250.0</v>
      </c>
      <c r="K152" s="66">
        <f t="shared" si="362"/>
        <v>24600</v>
      </c>
      <c r="L152" s="69">
        <f t="shared" si="363"/>
        <v>334996.6216</v>
      </c>
      <c r="M152" s="70">
        <f t="shared" si="364"/>
        <v>0.0440970437</v>
      </c>
      <c r="N152" s="71">
        <f t="shared" si="365"/>
        <v>15453.82883</v>
      </c>
      <c r="O152" s="66">
        <f t="shared" si="366"/>
        <v>350450.4505</v>
      </c>
      <c r="P152" s="78">
        <v>389000.0</v>
      </c>
      <c r="Q152" s="73">
        <f t="shared" si="367"/>
        <v>16208.33333</v>
      </c>
      <c r="R152" s="74"/>
      <c r="S152" s="112"/>
      <c r="AF152" s="76"/>
    </row>
    <row r="153">
      <c r="A153" s="105"/>
      <c r="C153" s="65">
        <f t="shared" si="356"/>
        <v>0</v>
      </c>
      <c r="D153" s="66">
        <f t="shared" si="357"/>
        <v>0</v>
      </c>
      <c r="E153" s="124"/>
      <c r="F153" s="66">
        <f t="shared" si="358"/>
        <v>0</v>
      </c>
      <c r="G153" s="66">
        <f t="shared" si="359"/>
        <v>0</v>
      </c>
      <c r="H153" s="66">
        <f t="shared" si="360"/>
        <v>0</v>
      </c>
      <c r="I153" s="66">
        <f t="shared" si="361"/>
        <v>0</v>
      </c>
      <c r="J153" s="68">
        <v>1250.0</v>
      </c>
      <c r="K153" s="66">
        <f t="shared" si="362"/>
        <v>0</v>
      </c>
      <c r="L153" s="69">
        <f t="shared" si="363"/>
        <v>1250</v>
      </c>
      <c r="M153" s="70" t="str">
        <f t="shared" si="364"/>
        <v>#DIV/0!</v>
      </c>
      <c r="N153" s="71">
        <f t="shared" si="365"/>
        <v>-1250</v>
      </c>
      <c r="O153" s="66">
        <f t="shared" si="366"/>
        <v>0</v>
      </c>
      <c r="P153" s="78"/>
      <c r="Q153" s="73"/>
      <c r="R153" s="74"/>
      <c r="S153" s="112"/>
      <c r="AF153" s="76"/>
    </row>
    <row r="154">
      <c r="A154" s="105"/>
      <c r="C154" s="65">
        <f t="shared" si="356"/>
        <v>0</v>
      </c>
      <c r="D154" s="66">
        <f t="shared" si="357"/>
        <v>0</v>
      </c>
      <c r="E154" s="124">
        <v>1.0</v>
      </c>
      <c r="F154" s="66">
        <f t="shared" si="358"/>
        <v>0</v>
      </c>
      <c r="G154" s="66">
        <f t="shared" si="359"/>
        <v>0</v>
      </c>
      <c r="H154" s="66">
        <f>P154*$H$3</f>
        <v>0</v>
      </c>
      <c r="I154" s="66">
        <f t="shared" si="361"/>
        <v>0</v>
      </c>
      <c r="J154" s="68">
        <v>1250.0</v>
      </c>
      <c r="K154" s="66">
        <f>D154*$K$147</f>
        <v>0</v>
      </c>
      <c r="L154" s="69">
        <f t="shared" si="363"/>
        <v>1250</v>
      </c>
      <c r="M154" s="70" t="str">
        <f t="shared" si="364"/>
        <v>#DIV/0!</v>
      </c>
      <c r="N154" s="71">
        <f t="shared" si="365"/>
        <v>-1250</v>
      </c>
      <c r="O154" s="66">
        <f t="shared" si="366"/>
        <v>0</v>
      </c>
      <c r="P154" s="78"/>
      <c r="Q154" s="73">
        <f>P154/E154</f>
        <v>0</v>
      </c>
      <c r="R154" s="74"/>
      <c r="S154" s="112"/>
      <c r="AF154" s="76"/>
    </row>
    <row r="155">
      <c r="A155" s="1" t="s">
        <v>0</v>
      </c>
      <c r="B155" s="2" t="s">
        <v>1</v>
      </c>
      <c r="C155" s="158" t="s">
        <v>147</v>
      </c>
      <c r="D155" s="158" t="s">
        <v>147</v>
      </c>
      <c r="E155" s="3" t="s">
        <v>3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5"/>
      <c r="R155" s="6"/>
      <c r="S155" s="7" t="s">
        <v>4</v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8"/>
      <c r="AG155" s="9" t="s">
        <v>5</v>
      </c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1"/>
      <c r="AU155" s="10"/>
      <c r="AV155" s="10"/>
      <c r="AW155" s="10"/>
      <c r="AX155" s="10"/>
      <c r="AY155" s="10"/>
      <c r="AZ155" s="10"/>
      <c r="BA155" s="10"/>
      <c r="BB155" s="10"/>
      <c r="BC155" s="12"/>
    </row>
    <row r="156">
      <c r="A156" s="13"/>
      <c r="B156" s="13"/>
      <c r="C156" s="14"/>
      <c r="D156" s="14"/>
      <c r="E156" s="15" t="s">
        <v>6</v>
      </c>
      <c r="F156" s="16" t="s">
        <v>7</v>
      </c>
      <c r="G156" s="4"/>
      <c r="H156" s="4"/>
      <c r="I156" s="5"/>
      <c r="J156" s="17" t="s">
        <v>8</v>
      </c>
      <c r="K156" s="17" t="s">
        <v>9</v>
      </c>
      <c r="L156" s="18" t="s">
        <v>10</v>
      </c>
      <c r="M156" s="19" t="s">
        <v>11</v>
      </c>
      <c r="N156" s="20" t="s">
        <v>12</v>
      </c>
      <c r="O156" s="3" t="s">
        <v>13</v>
      </c>
      <c r="P156" s="5"/>
      <c r="Q156" s="21" t="s">
        <v>14</v>
      </c>
      <c r="R156" s="22"/>
      <c r="S156" s="23" t="s">
        <v>15</v>
      </c>
      <c r="T156" s="24" t="s">
        <v>7</v>
      </c>
      <c r="U156" s="4"/>
      <c r="V156" s="4"/>
      <c r="W156" s="5"/>
      <c r="X156" s="25" t="s">
        <v>8</v>
      </c>
      <c r="Y156" s="25" t="s">
        <v>9</v>
      </c>
      <c r="Z156" s="26" t="s">
        <v>10</v>
      </c>
      <c r="AA156" s="37" t="s">
        <v>148</v>
      </c>
      <c r="AB156" s="28" t="s">
        <v>12</v>
      </c>
      <c r="AC156" s="29" t="s">
        <v>17</v>
      </c>
      <c r="AD156" s="5"/>
      <c r="AE156" s="159" t="s">
        <v>18</v>
      </c>
      <c r="AF156" s="31"/>
      <c r="AG156" s="32" t="s">
        <v>19</v>
      </c>
      <c r="AH156" s="24" t="s">
        <v>7</v>
      </c>
      <c r="AI156" s="4"/>
      <c r="AJ156" s="4"/>
      <c r="AK156" s="5"/>
      <c r="AL156" s="25" t="s">
        <v>8</v>
      </c>
      <c r="AM156" s="25" t="s">
        <v>9</v>
      </c>
      <c r="AN156" s="33" t="s">
        <v>10</v>
      </c>
      <c r="AO156" s="37" t="s">
        <v>148</v>
      </c>
      <c r="AP156" s="34" t="s">
        <v>12</v>
      </c>
      <c r="AQ156" s="35" t="s">
        <v>13</v>
      </c>
      <c r="AR156" s="5"/>
      <c r="AS156" s="160" t="s">
        <v>21</v>
      </c>
      <c r="AT156" s="32" t="s">
        <v>22</v>
      </c>
      <c r="AU156" s="25" t="s">
        <v>7</v>
      </c>
      <c r="AV156" s="25" t="s">
        <v>8</v>
      </c>
      <c r="AW156" s="25" t="s">
        <v>9</v>
      </c>
      <c r="AX156" s="33" t="s">
        <v>10</v>
      </c>
      <c r="AY156" s="37" t="s">
        <v>23</v>
      </c>
      <c r="AZ156" s="34" t="s">
        <v>12</v>
      </c>
      <c r="BA156" s="35" t="s">
        <v>13</v>
      </c>
      <c r="BB156" s="5"/>
      <c r="BC156" s="38" t="s">
        <v>24</v>
      </c>
    </row>
    <row r="157">
      <c r="A157" s="39"/>
      <c r="B157" s="40"/>
      <c r="C157" s="40" t="s">
        <v>25</v>
      </c>
      <c r="D157" s="40" t="s">
        <v>26</v>
      </c>
      <c r="E157" s="39"/>
      <c r="F157" s="41">
        <v>0.09</v>
      </c>
      <c r="G157" s="42">
        <v>0.06</v>
      </c>
      <c r="H157" s="41">
        <v>0.05</v>
      </c>
      <c r="I157" s="41">
        <v>0.02</v>
      </c>
      <c r="J157" s="43">
        <v>1250.0</v>
      </c>
      <c r="K157" s="42">
        <v>0.08</v>
      </c>
      <c r="L157" s="44" t="s">
        <v>26</v>
      </c>
      <c r="M157" s="41">
        <v>0.025</v>
      </c>
      <c r="N157" s="39"/>
      <c r="O157" s="44" t="s">
        <v>26</v>
      </c>
      <c r="P157" s="45" t="s">
        <v>27</v>
      </c>
      <c r="Q157" s="39"/>
      <c r="R157" s="46"/>
      <c r="S157" s="39"/>
      <c r="T157" s="41">
        <v>0.117</v>
      </c>
      <c r="U157" s="41">
        <v>0.06</v>
      </c>
      <c r="V157" s="41">
        <v>0.045</v>
      </c>
      <c r="W157" s="41">
        <v>0.018</v>
      </c>
      <c r="X157" s="47"/>
      <c r="Y157" s="42">
        <v>0.05</v>
      </c>
      <c r="Z157" s="48" t="s">
        <v>26</v>
      </c>
      <c r="AA157" s="39"/>
      <c r="AB157" s="39"/>
      <c r="AC157" s="49" t="s">
        <v>26</v>
      </c>
      <c r="AD157" s="50" t="s">
        <v>25</v>
      </c>
      <c r="AE157" s="51"/>
      <c r="AF157" s="31"/>
      <c r="AG157" s="39"/>
      <c r="AH157" s="41">
        <v>0.117</v>
      </c>
      <c r="AI157" s="41">
        <v>0.06</v>
      </c>
      <c r="AJ157" s="41">
        <v>0.045</v>
      </c>
      <c r="AK157" s="41">
        <v>0.018</v>
      </c>
      <c r="AL157" s="47"/>
      <c r="AM157" s="42">
        <v>0.05</v>
      </c>
      <c r="AN157" s="52" t="s">
        <v>26</v>
      </c>
      <c r="AO157" s="39"/>
      <c r="AP157" s="39"/>
      <c r="AQ157" s="53" t="s">
        <v>26</v>
      </c>
      <c r="AR157" s="54" t="s">
        <v>25</v>
      </c>
      <c r="AS157" s="51"/>
      <c r="AT157" s="39"/>
      <c r="AU157" s="55">
        <v>0.17</v>
      </c>
      <c r="AV157" s="47"/>
      <c r="AW157" s="55">
        <v>0.04</v>
      </c>
      <c r="AX157" s="52" t="s">
        <v>26</v>
      </c>
      <c r="AY157" s="39"/>
      <c r="AZ157" s="39"/>
      <c r="BA157" s="53" t="s">
        <v>26</v>
      </c>
      <c r="BB157" s="54" t="s">
        <v>25</v>
      </c>
      <c r="BC157" s="39"/>
    </row>
    <row r="158">
      <c r="A158" s="168" t="s">
        <v>154</v>
      </c>
      <c r="B158" s="169"/>
      <c r="C158" s="170">
        <v>0.7</v>
      </c>
      <c r="D158" s="171"/>
      <c r="E158" s="172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74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76"/>
      <c r="AG158" s="169"/>
      <c r="AH158" s="169"/>
      <c r="AI158" s="169"/>
      <c r="AJ158" s="169"/>
      <c r="AK158" s="169"/>
      <c r="AL158" s="169"/>
      <c r="AM158" s="169"/>
      <c r="AN158" s="169"/>
      <c r="AO158" s="169"/>
      <c r="AP158" s="169"/>
      <c r="AQ158" s="169"/>
      <c r="AR158" s="169"/>
      <c r="AS158" s="169"/>
      <c r="AT158" s="169"/>
      <c r="AU158" s="169"/>
      <c r="AV158" s="169"/>
      <c r="AW158" s="169"/>
      <c r="AX158" s="169"/>
      <c r="AY158" s="169"/>
      <c r="AZ158" s="169"/>
      <c r="BA158" s="169"/>
      <c r="BB158" s="169"/>
      <c r="BC158" s="169"/>
    </row>
    <row r="159">
      <c r="A159" s="104" t="s">
        <v>155</v>
      </c>
      <c r="B159" s="68">
        <v>5000.0</v>
      </c>
      <c r="C159" s="65">
        <f t="shared" ref="C159:C162" si="368">B159*$C$4</f>
        <v>4100</v>
      </c>
      <c r="D159" s="66">
        <f t="shared" ref="D159:D162" si="369">C159/$D$4</f>
        <v>3693.693694</v>
      </c>
      <c r="E159" s="124">
        <v>1.0</v>
      </c>
      <c r="F159" s="66">
        <f t="shared" ref="F159:F162" si="370">P159*$F$157</f>
        <v>711</v>
      </c>
      <c r="G159" s="66">
        <f t="shared" ref="G159:G162" si="371">P159*$G$157</f>
        <v>474</v>
      </c>
      <c r="H159" s="66">
        <f t="shared" ref="H159:H162" si="372">P159*$H$157</f>
        <v>395</v>
      </c>
      <c r="I159" s="66">
        <f t="shared" ref="I159:I162" si="373">P159*$I$157</f>
        <v>158</v>
      </c>
      <c r="J159" s="68">
        <v>1250.0</v>
      </c>
      <c r="K159" s="66">
        <f t="shared" ref="K159:K162" si="374">D159*$K$157</f>
        <v>295.4954955</v>
      </c>
      <c r="L159" s="69">
        <f t="shared" ref="L159:L162" si="375">(D159*E159)+F159+G159+H159+I159+J159+K159</f>
        <v>6977.189189</v>
      </c>
      <c r="M159" s="70">
        <f t="shared" ref="M159:M162" si="376">N159/O159</f>
        <v>0.01966075949</v>
      </c>
      <c r="N159" s="71">
        <f t="shared" ref="N159:N162" si="377">O159-L159</f>
        <v>139.9279279</v>
      </c>
      <c r="O159" s="66">
        <f t="shared" ref="O159:O162" si="378">P159/$O$4</f>
        <v>7117.117117</v>
      </c>
      <c r="P159" s="78">
        <v>7900.0</v>
      </c>
      <c r="Q159" s="73">
        <f t="shared" ref="Q159:Q162" si="379">P159/E159</f>
        <v>7900</v>
      </c>
      <c r="R159" s="74"/>
      <c r="S159" s="112"/>
      <c r="AF159" s="76"/>
    </row>
    <row r="160">
      <c r="A160" s="104" t="s">
        <v>156</v>
      </c>
      <c r="B160" s="68">
        <v>4000.0</v>
      </c>
      <c r="C160" s="65">
        <f t="shared" si="368"/>
        <v>3280</v>
      </c>
      <c r="D160" s="66">
        <f t="shared" si="369"/>
        <v>2954.954955</v>
      </c>
      <c r="E160" s="124">
        <v>1.0</v>
      </c>
      <c r="F160" s="66">
        <f t="shared" si="370"/>
        <v>612</v>
      </c>
      <c r="G160" s="66">
        <f t="shared" si="371"/>
        <v>408</v>
      </c>
      <c r="H160" s="66">
        <f t="shared" si="372"/>
        <v>340</v>
      </c>
      <c r="I160" s="66">
        <f t="shared" si="373"/>
        <v>136</v>
      </c>
      <c r="J160" s="68">
        <v>1250.0</v>
      </c>
      <c r="K160" s="66">
        <f t="shared" si="374"/>
        <v>236.3963964</v>
      </c>
      <c r="L160" s="69">
        <f t="shared" si="375"/>
        <v>5937.351351</v>
      </c>
      <c r="M160" s="70">
        <f t="shared" si="376"/>
        <v>0.03081470588</v>
      </c>
      <c r="N160" s="71">
        <f t="shared" si="377"/>
        <v>188.7747748</v>
      </c>
      <c r="O160" s="66">
        <f t="shared" si="378"/>
        <v>6126.126126</v>
      </c>
      <c r="P160" s="78">
        <v>6800.0</v>
      </c>
      <c r="Q160" s="73">
        <f t="shared" si="379"/>
        <v>6800</v>
      </c>
      <c r="R160" s="74"/>
      <c r="S160" s="112"/>
      <c r="AF160" s="76"/>
    </row>
    <row r="161">
      <c r="A161" s="104" t="s">
        <v>157</v>
      </c>
      <c r="B161" s="66">
        <f t="shared" ref="B161:B162" si="380">B159</f>
        <v>5000</v>
      </c>
      <c r="C161" s="65">
        <f t="shared" si="368"/>
        <v>4100</v>
      </c>
      <c r="D161" s="66">
        <f t="shared" si="369"/>
        <v>3693.693694</v>
      </c>
      <c r="E161" s="134">
        <v>12.0</v>
      </c>
      <c r="F161" s="66">
        <f t="shared" si="370"/>
        <v>6480</v>
      </c>
      <c r="G161" s="66">
        <f t="shared" si="371"/>
        <v>4320</v>
      </c>
      <c r="H161" s="66">
        <f t="shared" si="372"/>
        <v>3600</v>
      </c>
      <c r="I161" s="66">
        <f t="shared" si="373"/>
        <v>1440</v>
      </c>
      <c r="J161" s="68">
        <v>1250.0</v>
      </c>
      <c r="K161" s="66">
        <f t="shared" si="374"/>
        <v>295.4954955</v>
      </c>
      <c r="L161" s="69">
        <f t="shared" si="375"/>
        <v>61709.81982</v>
      </c>
      <c r="M161" s="70">
        <f t="shared" si="376"/>
        <v>0.04864027778</v>
      </c>
      <c r="N161" s="71">
        <f t="shared" si="377"/>
        <v>3155.045045</v>
      </c>
      <c r="O161" s="66">
        <f t="shared" si="378"/>
        <v>64864.86486</v>
      </c>
      <c r="P161" s="78">
        <v>72000.0</v>
      </c>
      <c r="Q161" s="73">
        <f t="shared" si="379"/>
        <v>6000</v>
      </c>
      <c r="R161" s="74"/>
      <c r="S161" s="112"/>
      <c r="AF161" s="76"/>
    </row>
    <row r="162">
      <c r="A162" s="104" t="s">
        <v>158</v>
      </c>
      <c r="B162" s="66">
        <f t="shared" si="380"/>
        <v>4000</v>
      </c>
      <c r="C162" s="65">
        <f t="shared" si="368"/>
        <v>3280</v>
      </c>
      <c r="D162" s="66">
        <f t="shared" si="369"/>
        <v>2954.954955</v>
      </c>
      <c r="E162" s="134">
        <v>12.0</v>
      </c>
      <c r="F162" s="66">
        <f t="shared" si="370"/>
        <v>5400</v>
      </c>
      <c r="G162" s="66">
        <f t="shared" si="371"/>
        <v>3600</v>
      </c>
      <c r="H162" s="66">
        <f t="shared" si="372"/>
        <v>3000</v>
      </c>
      <c r="I162" s="66">
        <f t="shared" si="373"/>
        <v>1200</v>
      </c>
      <c r="J162" s="68">
        <v>1250.0</v>
      </c>
      <c r="K162" s="66">
        <f t="shared" si="374"/>
        <v>236.3963964</v>
      </c>
      <c r="L162" s="69">
        <f t="shared" si="375"/>
        <v>50145.85586</v>
      </c>
      <c r="M162" s="70">
        <f t="shared" si="376"/>
        <v>0.07230166667</v>
      </c>
      <c r="N162" s="71">
        <f t="shared" si="377"/>
        <v>3908.198198</v>
      </c>
      <c r="O162" s="66">
        <f t="shared" si="378"/>
        <v>54054.05405</v>
      </c>
      <c r="P162" s="78">
        <v>60000.0</v>
      </c>
      <c r="Q162" s="73">
        <f t="shared" si="379"/>
        <v>5000</v>
      </c>
      <c r="R162" s="74"/>
      <c r="S162" s="112"/>
      <c r="AF162" s="76"/>
    </row>
    <row r="163">
      <c r="A163" s="104"/>
      <c r="B163" s="66"/>
      <c r="C163" s="65"/>
      <c r="D163" s="123"/>
      <c r="E163" s="124"/>
      <c r="L163" s="125"/>
      <c r="N163" s="126"/>
      <c r="P163" s="127"/>
      <c r="Q163" s="128"/>
      <c r="R163" s="74"/>
      <c r="S163" s="112"/>
      <c r="AF163" s="76"/>
    </row>
    <row r="164">
      <c r="A164" s="104"/>
      <c r="B164" s="66"/>
      <c r="C164" s="65"/>
      <c r="D164" s="123"/>
      <c r="E164" s="124"/>
      <c r="L164" s="125"/>
      <c r="N164" s="126"/>
      <c r="P164" s="127"/>
      <c r="Q164" s="128"/>
      <c r="R164" s="74"/>
      <c r="S164" s="112"/>
      <c r="AF164" s="76"/>
    </row>
    <row r="165">
      <c r="A165" s="173" t="s">
        <v>159</v>
      </c>
      <c r="B165" s="174"/>
      <c r="C165" s="175">
        <f t="shared" ref="C165:C167" si="381">B165*$C$4</f>
        <v>0</v>
      </c>
      <c r="D165" s="176"/>
      <c r="E165" s="177">
        <v>1.0</v>
      </c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76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4"/>
      <c r="AT165" s="174"/>
      <c r="AU165" s="174"/>
      <c r="AV165" s="174"/>
      <c r="AW165" s="174"/>
      <c r="AX165" s="174"/>
      <c r="AY165" s="174"/>
      <c r="AZ165" s="174"/>
      <c r="BA165" s="174"/>
      <c r="BB165" s="174"/>
      <c r="BC165" s="174"/>
    </row>
    <row r="166">
      <c r="A166" s="178"/>
      <c r="C166" s="65">
        <f t="shared" si="381"/>
        <v>0</v>
      </c>
      <c r="D166" s="123"/>
      <c r="E166" s="178"/>
      <c r="L166" s="125"/>
      <c r="N166" s="126"/>
      <c r="P166" s="127"/>
      <c r="Q166" s="128"/>
      <c r="R166" s="74"/>
      <c r="AF166" s="76"/>
    </row>
    <row r="167">
      <c r="A167" s="179" t="s">
        <v>160</v>
      </c>
      <c r="C167" s="65">
        <f t="shared" si="381"/>
        <v>0</v>
      </c>
      <c r="D167" s="123"/>
      <c r="E167" s="124">
        <v>1.0</v>
      </c>
      <c r="L167" s="125"/>
      <c r="N167" s="126"/>
      <c r="P167" s="127"/>
      <c r="Q167" s="128"/>
      <c r="R167" s="74"/>
      <c r="AF167" s="76"/>
    </row>
    <row r="168">
      <c r="A168" s="104"/>
      <c r="B168" s="66"/>
      <c r="C168" s="65"/>
      <c r="D168" s="123"/>
      <c r="E168" s="124"/>
      <c r="L168" s="125"/>
      <c r="N168" s="126"/>
      <c r="P168" s="127"/>
      <c r="Q168" s="128"/>
      <c r="R168" s="74"/>
      <c r="S168" s="112"/>
      <c r="AF168" s="76"/>
    </row>
    <row r="169">
      <c r="A169" s="104"/>
      <c r="B169" s="66"/>
      <c r="C169" s="65"/>
      <c r="D169" s="123"/>
      <c r="E169" s="124"/>
      <c r="L169" s="125"/>
      <c r="N169" s="126"/>
      <c r="P169" s="127"/>
      <c r="Q169" s="128"/>
      <c r="R169" s="74"/>
      <c r="S169" s="112"/>
      <c r="AF169" s="76"/>
    </row>
    <row r="170">
      <c r="A170" s="104"/>
      <c r="B170" s="66"/>
      <c r="C170" s="65"/>
      <c r="D170" s="123"/>
      <c r="E170" s="124"/>
      <c r="L170" s="125"/>
      <c r="N170" s="126"/>
      <c r="P170" s="127"/>
      <c r="Q170" s="128"/>
      <c r="R170" s="74"/>
      <c r="S170" s="112"/>
      <c r="AF170" s="76"/>
    </row>
    <row r="171">
      <c r="A171" s="104"/>
      <c r="B171" s="66"/>
      <c r="C171" s="65"/>
      <c r="D171" s="123"/>
      <c r="E171" s="124"/>
      <c r="L171" s="125"/>
      <c r="N171" s="126"/>
      <c r="P171" s="127"/>
      <c r="Q171" s="128"/>
      <c r="R171" s="74"/>
      <c r="S171" s="112"/>
      <c r="AF171" s="76"/>
    </row>
    <row r="172">
      <c r="A172" s="104"/>
      <c r="B172" s="66"/>
      <c r="C172" s="65"/>
      <c r="D172" s="123"/>
      <c r="E172" s="124"/>
      <c r="L172" s="125"/>
      <c r="N172" s="126"/>
      <c r="P172" s="127"/>
      <c r="Q172" s="128"/>
      <c r="R172" s="74"/>
      <c r="S172" s="112"/>
      <c r="AF172" s="76"/>
    </row>
    <row r="173">
      <c r="A173" s="104"/>
      <c r="B173" s="66"/>
      <c r="C173" s="65"/>
      <c r="D173" s="123"/>
      <c r="E173" s="124"/>
      <c r="L173" s="125"/>
      <c r="N173" s="126"/>
      <c r="P173" s="127"/>
      <c r="Q173" s="128"/>
      <c r="R173" s="74"/>
      <c r="S173" s="112"/>
      <c r="AF173" s="76"/>
    </row>
    <row r="174">
      <c r="A174" s="104"/>
      <c r="C174" s="65"/>
      <c r="D174" s="123"/>
      <c r="E174" s="124"/>
      <c r="L174" s="125"/>
      <c r="N174" s="126"/>
      <c r="P174" s="127"/>
      <c r="Q174" s="128"/>
      <c r="R174" s="74"/>
      <c r="S174" s="112"/>
      <c r="AF174" s="76"/>
    </row>
    <row r="175">
      <c r="A175" s="178"/>
      <c r="D175" s="123"/>
      <c r="E175" s="124">
        <v>1.0</v>
      </c>
      <c r="L175" s="125"/>
      <c r="N175" s="126"/>
      <c r="P175" s="127"/>
      <c r="Q175" s="128"/>
      <c r="R175" s="74"/>
      <c r="AF175" s="76"/>
    </row>
    <row r="176">
      <c r="D176" s="123"/>
      <c r="L176" s="125"/>
      <c r="N176" s="126"/>
      <c r="P176" s="127"/>
      <c r="Q176" s="128"/>
      <c r="R176" s="74"/>
      <c r="AF176" s="76"/>
    </row>
    <row r="177">
      <c r="D177" s="123"/>
      <c r="L177" s="125"/>
      <c r="N177" s="126"/>
      <c r="P177" s="127"/>
      <c r="Q177" s="128"/>
      <c r="R177" s="74"/>
      <c r="AF177" s="76"/>
    </row>
    <row r="178">
      <c r="D178" s="123"/>
      <c r="L178" s="125"/>
      <c r="N178" s="126"/>
      <c r="P178" s="127"/>
      <c r="Q178" s="128"/>
      <c r="R178" s="74"/>
      <c r="AF178" s="76"/>
    </row>
    <row r="179">
      <c r="D179" s="123"/>
      <c r="L179" s="125"/>
      <c r="N179" s="126"/>
      <c r="P179" s="127"/>
      <c r="Q179" s="128"/>
      <c r="R179" s="74"/>
      <c r="AF179" s="76"/>
    </row>
    <row r="180">
      <c r="D180" s="123"/>
      <c r="L180" s="125"/>
      <c r="N180" s="126"/>
      <c r="P180" s="127"/>
      <c r="Q180" s="128"/>
      <c r="R180" s="74"/>
      <c r="AF180" s="76"/>
    </row>
    <row r="181">
      <c r="D181" s="123"/>
      <c r="L181" s="125"/>
      <c r="N181" s="126"/>
      <c r="P181" s="127"/>
      <c r="Q181" s="128"/>
      <c r="R181" s="74"/>
      <c r="AF181" s="76"/>
    </row>
    <row r="182">
      <c r="D182" s="123"/>
      <c r="L182" s="125"/>
      <c r="N182" s="126"/>
      <c r="P182" s="127"/>
      <c r="Q182" s="128"/>
      <c r="R182" s="74"/>
      <c r="AF182" s="76"/>
    </row>
    <row r="183">
      <c r="D183" s="123"/>
      <c r="L183" s="125"/>
      <c r="N183" s="126"/>
      <c r="P183" s="127"/>
      <c r="Q183" s="128"/>
      <c r="R183" s="74"/>
      <c r="AF183" s="76"/>
    </row>
    <row r="184">
      <c r="D184" s="123"/>
      <c r="L184" s="125"/>
      <c r="N184" s="126"/>
      <c r="P184" s="127"/>
      <c r="Q184" s="128"/>
      <c r="R184" s="74"/>
      <c r="AF184" s="76"/>
    </row>
    <row r="185">
      <c r="D185" s="123"/>
      <c r="L185" s="125"/>
      <c r="N185" s="126"/>
      <c r="P185" s="127"/>
      <c r="Q185" s="128"/>
      <c r="R185" s="74"/>
      <c r="AF185" s="76"/>
    </row>
    <row r="186">
      <c r="D186" s="123"/>
      <c r="L186" s="125"/>
      <c r="N186" s="126"/>
      <c r="P186" s="127"/>
      <c r="Q186" s="128"/>
      <c r="R186" s="74"/>
      <c r="AF186" s="76"/>
    </row>
    <row r="187">
      <c r="D187" s="123"/>
      <c r="L187" s="125"/>
      <c r="N187" s="126"/>
      <c r="P187" s="127"/>
      <c r="Q187" s="128"/>
      <c r="R187" s="74"/>
      <c r="AF187" s="76"/>
    </row>
    <row r="188">
      <c r="D188" s="123"/>
      <c r="L188" s="125"/>
      <c r="N188" s="126"/>
      <c r="P188" s="127"/>
      <c r="Q188" s="128"/>
      <c r="R188" s="74"/>
      <c r="AF188" s="76"/>
    </row>
    <row r="189">
      <c r="D189" s="123"/>
      <c r="L189" s="125"/>
      <c r="N189" s="126"/>
      <c r="P189" s="127"/>
      <c r="Q189" s="128"/>
      <c r="R189" s="74"/>
      <c r="AF189" s="76"/>
    </row>
    <row r="190">
      <c r="D190" s="123"/>
      <c r="L190" s="125"/>
      <c r="N190" s="126"/>
      <c r="P190" s="127"/>
      <c r="Q190" s="128"/>
      <c r="R190" s="74"/>
      <c r="AF190" s="76"/>
    </row>
    <row r="191">
      <c r="D191" s="123"/>
      <c r="L191" s="125"/>
      <c r="N191" s="126"/>
      <c r="P191" s="127"/>
      <c r="Q191" s="128"/>
      <c r="R191" s="74"/>
      <c r="AF191" s="76"/>
    </row>
    <row r="192">
      <c r="D192" s="123"/>
      <c r="L192" s="125"/>
      <c r="N192" s="126"/>
      <c r="P192" s="127"/>
      <c r="Q192" s="128"/>
      <c r="R192" s="74"/>
      <c r="AF192" s="76"/>
    </row>
    <row r="193">
      <c r="D193" s="123"/>
      <c r="L193" s="125"/>
      <c r="N193" s="126"/>
      <c r="P193" s="127"/>
      <c r="Q193" s="128"/>
      <c r="R193" s="74"/>
      <c r="AF193" s="76"/>
    </row>
    <row r="194">
      <c r="D194" s="123"/>
      <c r="L194" s="125"/>
      <c r="N194" s="126"/>
      <c r="P194" s="127"/>
      <c r="Q194" s="128"/>
      <c r="R194" s="74"/>
      <c r="AF194" s="76"/>
    </row>
    <row r="195">
      <c r="D195" s="123"/>
      <c r="L195" s="125"/>
      <c r="N195" s="126"/>
      <c r="P195" s="127"/>
      <c r="Q195" s="128"/>
      <c r="R195" s="74"/>
      <c r="AF195" s="76"/>
    </row>
    <row r="196">
      <c r="D196" s="123"/>
      <c r="L196" s="125"/>
      <c r="N196" s="126"/>
      <c r="P196" s="127"/>
      <c r="Q196" s="128"/>
      <c r="R196" s="74"/>
      <c r="AF196" s="76"/>
    </row>
    <row r="197">
      <c r="D197" s="123"/>
      <c r="L197" s="125"/>
      <c r="N197" s="126"/>
      <c r="P197" s="127"/>
      <c r="Q197" s="128"/>
      <c r="R197" s="74"/>
      <c r="AF197" s="76"/>
    </row>
    <row r="198">
      <c r="D198" s="123"/>
      <c r="L198" s="125"/>
      <c r="N198" s="126"/>
      <c r="P198" s="127"/>
      <c r="Q198" s="128"/>
      <c r="R198" s="74"/>
      <c r="AF198" s="76"/>
    </row>
    <row r="199">
      <c r="D199" s="123"/>
      <c r="L199" s="125"/>
      <c r="N199" s="126"/>
      <c r="P199" s="127"/>
      <c r="Q199" s="128"/>
      <c r="R199" s="74"/>
      <c r="AF199" s="76"/>
    </row>
    <row r="200">
      <c r="D200" s="123"/>
      <c r="L200" s="125"/>
      <c r="N200" s="126"/>
      <c r="P200" s="127"/>
      <c r="Q200" s="128"/>
      <c r="R200" s="74"/>
      <c r="AF200" s="76"/>
    </row>
    <row r="201">
      <c r="D201" s="123"/>
      <c r="L201" s="125"/>
      <c r="N201" s="126"/>
      <c r="P201" s="127"/>
      <c r="Q201" s="128"/>
      <c r="R201" s="74"/>
      <c r="AF201" s="76"/>
    </row>
    <row r="202">
      <c r="D202" s="123"/>
      <c r="L202" s="125"/>
      <c r="N202" s="126"/>
      <c r="P202" s="127"/>
      <c r="Q202" s="128"/>
      <c r="R202" s="74"/>
      <c r="AF202" s="76"/>
    </row>
    <row r="203">
      <c r="D203" s="123"/>
      <c r="L203" s="125"/>
      <c r="N203" s="126"/>
      <c r="P203" s="127"/>
      <c r="Q203" s="128"/>
      <c r="R203" s="74"/>
      <c r="AF203" s="76"/>
    </row>
    <row r="204">
      <c r="D204" s="123"/>
      <c r="L204" s="125"/>
      <c r="N204" s="126"/>
      <c r="P204" s="127"/>
      <c r="Q204" s="128"/>
      <c r="R204" s="74"/>
      <c r="AF204" s="76"/>
    </row>
    <row r="205">
      <c r="D205" s="123"/>
      <c r="L205" s="125"/>
      <c r="N205" s="126"/>
      <c r="P205" s="127"/>
      <c r="Q205" s="128"/>
      <c r="R205" s="74"/>
      <c r="AF205" s="76"/>
    </row>
    <row r="206">
      <c r="D206" s="123"/>
      <c r="L206" s="125"/>
      <c r="N206" s="126"/>
      <c r="P206" s="127"/>
      <c r="Q206" s="128"/>
      <c r="R206" s="74"/>
      <c r="AF206" s="76"/>
    </row>
    <row r="207">
      <c r="D207" s="123"/>
      <c r="L207" s="125"/>
      <c r="N207" s="126"/>
      <c r="P207" s="127"/>
      <c r="Q207" s="128"/>
      <c r="R207" s="74"/>
      <c r="AF207" s="76"/>
    </row>
    <row r="208">
      <c r="D208" s="123"/>
      <c r="L208" s="125"/>
      <c r="N208" s="126"/>
      <c r="P208" s="127"/>
      <c r="Q208" s="128"/>
      <c r="R208" s="74"/>
      <c r="AF208" s="76"/>
    </row>
    <row r="209">
      <c r="D209" s="123"/>
      <c r="L209" s="125"/>
      <c r="N209" s="126"/>
      <c r="P209" s="127"/>
      <c r="Q209" s="128"/>
      <c r="R209" s="74"/>
      <c r="AF209" s="76"/>
    </row>
    <row r="210">
      <c r="D210" s="123"/>
      <c r="L210" s="125"/>
      <c r="N210" s="126"/>
      <c r="P210" s="127"/>
      <c r="Q210" s="128"/>
      <c r="R210" s="74"/>
      <c r="AF210" s="76"/>
    </row>
    <row r="211">
      <c r="D211" s="123"/>
      <c r="L211" s="125"/>
      <c r="N211" s="126"/>
      <c r="P211" s="127"/>
      <c r="Q211" s="128"/>
      <c r="R211" s="74"/>
      <c r="AF211" s="76"/>
    </row>
    <row r="212">
      <c r="D212" s="123"/>
      <c r="L212" s="125"/>
      <c r="N212" s="126"/>
      <c r="P212" s="127"/>
      <c r="Q212" s="128"/>
      <c r="R212" s="74"/>
      <c r="AF212" s="76"/>
    </row>
    <row r="213">
      <c r="D213" s="123"/>
      <c r="L213" s="125"/>
      <c r="N213" s="126"/>
      <c r="P213" s="127"/>
      <c r="Q213" s="128"/>
      <c r="R213" s="74"/>
      <c r="AF213" s="76"/>
    </row>
    <row r="214">
      <c r="D214" s="123"/>
      <c r="L214" s="125"/>
      <c r="N214" s="126"/>
      <c r="P214" s="127"/>
      <c r="Q214" s="128"/>
      <c r="R214" s="74"/>
      <c r="AF214" s="76"/>
    </row>
    <row r="215">
      <c r="D215" s="123"/>
      <c r="L215" s="125"/>
      <c r="N215" s="126"/>
      <c r="P215" s="127"/>
      <c r="Q215" s="128"/>
      <c r="R215" s="74"/>
      <c r="AF215" s="76"/>
    </row>
    <row r="216">
      <c r="D216" s="123"/>
      <c r="L216" s="125"/>
      <c r="N216" s="126"/>
      <c r="P216" s="127"/>
      <c r="Q216" s="128"/>
      <c r="R216" s="74"/>
      <c r="AF216" s="76"/>
    </row>
    <row r="217">
      <c r="D217" s="123"/>
      <c r="L217" s="125"/>
      <c r="N217" s="126"/>
      <c r="P217" s="127"/>
      <c r="Q217" s="128"/>
      <c r="R217" s="74"/>
      <c r="AF217" s="76"/>
    </row>
    <row r="218">
      <c r="D218" s="123"/>
      <c r="L218" s="125"/>
      <c r="N218" s="126"/>
      <c r="P218" s="127"/>
      <c r="Q218" s="128"/>
      <c r="R218" s="74"/>
      <c r="AF218" s="76"/>
    </row>
    <row r="219">
      <c r="D219" s="123"/>
      <c r="L219" s="125"/>
      <c r="N219" s="126"/>
      <c r="P219" s="127"/>
      <c r="Q219" s="128"/>
      <c r="R219" s="74"/>
      <c r="AF219" s="76"/>
    </row>
    <row r="220">
      <c r="D220" s="123"/>
      <c r="L220" s="125"/>
      <c r="N220" s="126"/>
      <c r="P220" s="127"/>
      <c r="Q220" s="128"/>
      <c r="R220" s="74"/>
      <c r="AF220" s="76"/>
    </row>
    <row r="221">
      <c r="D221" s="123"/>
      <c r="L221" s="125"/>
      <c r="N221" s="126"/>
      <c r="P221" s="127"/>
      <c r="Q221" s="128"/>
      <c r="R221" s="74"/>
      <c r="AF221" s="76"/>
    </row>
    <row r="222">
      <c r="D222" s="123"/>
      <c r="L222" s="125"/>
      <c r="N222" s="126"/>
      <c r="P222" s="127"/>
      <c r="Q222" s="128"/>
      <c r="R222" s="74"/>
      <c r="AF222" s="76"/>
    </row>
    <row r="223">
      <c r="D223" s="123"/>
      <c r="L223" s="125"/>
      <c r="N223" s="126"/>
      <c r="P223" s="127"/>
      <c r="Q223" s="128"/>
      <c r="R223" s="74"/>
      <c r="AF223" s="76"/>
    </row>
    <row r="224">
      <c r="D224" s="123"/>
      <c r="L224" s="125"/>
      <c r="N224" s="126"/>
      <c r="P224" s="127"/>
      <c r="Q224" s="128"/>
      <c r="R224" s="74"/>
      <c r="AF224" s="76"/>
    </row>
    <row r="225">
      <c r="D225" s="123"/>
      <c r="L225" s="125"/>
      <c r="N225" s="126"/>
      <c r="P225" s="127"/>
      <c r="Q225" s="128"/>
      <c r="R225" s="74"/>
      <c r="AF225" s="76"/>
    </row>
    <row r="226">
      <c r="D226" s="123"/>
      <c r="L226" s="125"/>
      <c r="N226" s="126"/>
      <c r="P226" s="127"/>
      <c r="Q226" s="128"/>
      <c r="R226" s="74"/>
      <c r="AF226" s="76"/>
    </row>
    <row r="227">
      <c r="D227" s="123"/>
      <c r="L227" s="125"/>
      <c r="N227" s="126"/>
      <c r="P227" s="127"/>
      <c r="Q227" s="128"/>
      <c r="R227" s="74"/>
      <c r="AF227" s="76"/>
    </row>
    <row r="228">
      <c r="D228" s="123"/>
      <c r="L228" s="125"/>
      <c r="N228" s="126"/>
      <c r="P228" s="127"/>
      <c r="Q228" s="128"/>
      <c r="R228" s="74"/>
      <c r="AF228" s="76"/>
    </row>
    <row r="229">
      <c r="D229" s="123"/>
      <c r="L229" s="125"/>
      <c r="N229" s="126"/>
      <c r="P229" s="127"/>
      <c r="Q229" s="128"/>
      <c r="R229" s="74"/>
      <c r="AF229" s="76"/>
    </row>
    <row r="230">
      <c r="D230" s="123"/>
      <c r="L230" s="125"/>
      <c r="N230" s="126"/>
      <c r="P230" s="127"/>
      <c r="Q230" s="128"/>
      <c r="R230" s="74"/>
      <c r="AF230" s="76"/>
    </row>
    <row r="231">
      <c r="D231" s="123"/>
      <c r="L231" s="125"/>
      <c r="N231" s="126"/>
      <c r="P231" s="127"/>
      <c r="Q231" s="128"/>
      <c r="R231" s="74"/>
      <c r="AF231" s="76"/>
    </row>
    <row r="232">
      <c r="D232" s="123"/>
      <c r="L232" s="125"/>
      <c r="N232" s="126"/>
      <c r="P232" s="127"/>
      <c r="Q232" s="128"/>
      <c r="R232" s="74"/>
      <c r="AF232" s="76"/>
    </row>
    <row r="233">
      <c r="D233" s="123"/>
      <c r="L233" s="125"/>
      <c r="N233" s="126"/>
      <c r="P233" s="127"/>
      <c r="Q233" s="128"/>
      <c r="R233" s="74"/>
      <c r="AF233" s="76"/>
    </row>
    <row r="234">
      <c r="D234" s="123"/>
      <c r="L234" s="125"/>
      <c r="N234" s="126"/>
      <c r="P234" s="127"/>
      <c r="Q234" s="128"/>
      <c r="R234" s="74"/>
      <c r="AF234" s="76"/>
    </row>
    <row r="235">
      <c r="D235" s="123"/>
      <c r="L235" s="125"/>
      <c r="N235" s="126"/>
      <c r="P235" s="127"/>
      <c r="Q235" s="128"/>
      <c r="R235" s="74"/>
      <c r="AF235" s="76"/>
    </row>
    <row r="236">
      <c r="D236" s="123"/>
      <c r="L236" s="125"/>
      <c r="N236" s="126"/>
      <c r="P236" s="127"/>
      <c r="Q236" s="128"/>
      <c r="R236" s="74"/>
      <c r="AF236" s="76"/>
    </row>
    <row r="237">
      <c r="D237" s="123"/>
      <c r="L237" s="125"/>
      <c r="N237" s="126"/>
      <c r="P237" s="127"/>
      <c r="Q237" s="128"/>
      <c r="R237" s="74"/>
      <c r="AF237" s="76"/>
    </row>
    <row r="238">
      <c r="D238" s="123"/>
      <c r="L238" s="125"/>
      <c r="N238" s="126"/>
      <c r="P238" s="127"/>
      <c r="Q238" s="128"/>
      <c r="R238" s="74"/>
      <c r="AF238" s="76"/>
    </row>
    <row r="239">
      <c r="D239" s="123"/>
      <c r="L239" s="125"/>
      <c r="N239" s="126"/>
      <c r="P239" s="127"/>
      <c r="Q239" s="128"/>
      <c r="R239" s="74"/>
      <c r="AF239" s="76"/>
    </row>
    <row r="240">
      <c r="D240" s="123"/>
      <c r="L240" s="125"/>
      <c r="N240" s="126"/>
      <c r="P240" s="127"/>
      <c r="Q240" s="128"/>
      <c r="R240" s="74"/>
      <c r="AF240" s="76"/>
    </row>
    <row r="241">
      <c r="D241" s="123"/>
      <c r="L241" s="125"/>
      <c r="N241" s="126"/>
      <c r="P241" s="127"/>
      <c r="Q241" s="128"/>
      <c r="R241" s="74"/>
      <c r="AF241" s="76"/>
    </row>
    <row r="242">
      <c r="D242" s="123"/>
      <c r="L242" s="125"/>
      <c r="N242" s="126"/>
      <c r="P242" s="127"/>
      <c r="Q242" s="128"/>
      <c r="R242" s="74"/>
      <c r="AF242" s="76"/>
    </row>
    <row r="243">
      <c r="D243" s="123"/>
      <c r="L243" s="125"/>
      <c r="N243" s="126"/>
      <c r="P243" s="127"/>
      <c r="Q243" s="128"/>
      <c r="R243" s="74"/>
      <c r="AF243" s="76"/>
    </row>
    <row r="244">
      <c r="D244" s="123"/>
      <c r="L244" s="125"/>
      <c r="N244" s="126"/>
      <c r="P244" s="127"/>
      <c r="Q244" s="128"/>
      <c r="R244" s="74"/>
      <c r="AF244" s="76"/>
    </row>
    <row r="245">
      <c r="D245" s="123"/>
      <c r="L245" s="125"/>
      <c r="N245" s="126"/>
      <c r="P245" s="127"/>
      <c r="Q245" s="128"/>
      <c r="R245" s="74"/>
      <c r="AF245" s="76"/>
    </row>
    <row r="246">
      <c r="D246" s="123"/>
      <c r="L246" s="125"/>
      <c r="N246" s="126"/>
      <c r="P246" s="127"/>
      <c r="Q246" s="128"/>
      <c r="R246" s="74"/>
      <c r="AF246" s="76"/>
    </row>
    <row r="247">
      <c r="D247" s="123"/>
      <c r="L247" s="125"/>
      <c r="N247" s="126"/>
      <c r="P247" s="127"/>
      <c r="Q247" s="128"/>
      <c r="R247" s="74"/>
      <c r="AF247" s="76"/>
    </row>
    <row r="248">
      <c r="D248" s="123"/>
      <c r="L248" s="125"/>
      <c r="N248" s="126"/>
      <c r="P248" s="127"/>
      <c r="Q248" s="128"/>
      <c r="R248" s="74"/>
      <c r="AF248" s="76"/>
    </row>
    <row r="249">
      <c r="D249" s="123"/>
      <c r="L249" s="125"/>
      <c r="N249" s="126"/>
      <c r="P249" s="127"/>
      <c r="Q249" s="128"/>
      <c r="R249" s="74"/>
      <c r="AF249" s="76"/>
    </row>
    <row r="250">
      <c r="D250" s="123"/>
      <c r="L250" s="125"/>
      <c r="N250" s="126"/>
      <c r="P250" s="127"/>
      <c r="Q250" s="128"/>
      <c r="R250" s="74"/>
      <c r="AF250" s="76"/>
    </row>
    <row r="251">
      <c r="D251" s="123"/>
      <c r="L251" s="125"/>
      <c r="N251" s="126"/>
      <c r="P251" s="127"/>
      <c r="Q251" s="128"/>
      <c r="R251" s="74"/>
      <c r="AF251" s="76"/>
    </row>
    <row r="252">
      <c r="D252" s="123"/>
      <c r="L252" s="125"/>
      <c r="N252" s="126"/>
      <c r="P252" s="127"/>
      <c r="Q252" s="128"/>
      <c r="R252" s="74"/>
      <c r="AF252" s="76"/>
    </row>
    <row r="253">
      <c r="D253" s="123"/>
      <c r="L253" s="125"/>
      <c r="N253" s="126"/>
      <c r="P253" s="127"/>
      <c r="Q253" s="128"/>
      <c r="R253" s="74"/>
      <c r="AF253" s="76"/>
    </row>
    <row r="254">
      <c r="D254" s="123"/>
      <c r="L254" s="125"/>
      <c r="N254" s="126"/>
      <c r="P254" s="127"/>
      <c r="Q254" s="128"/>
      <c r="R254" s="74"/>
      <c r="AF254" s="76"/>
    </row>
    <row r="255">
      <c r="D255" s="123"/>
      <c r="L255" s="125"/>
      <c r="N255" s="126"/>
      <c r="P255" s="127"/>
      <c r="Q255" s="128"/>
      <c r="R255" s="74"/>
      <c r="AF255" s="76"/>
    </row>
    <row r="256">
      <c r="D256" s="123"/>
      <c r="L256" s="125"/>
      <c r="N256" s="126"/>
      <c r="P256" s="127"/>
      <c r="Q256" s="128"/>
      <c r="R256" s="74"/>
      <c r="AF256" s="76"/>
    </row>
    <row r="257">
      <c r="D257" s="123"/>
      <c r="L257" s="125"/>
      <c r="N257" s="126"/>
      <c r="P257" s="127"/>
      <c r="Q257" s="128"/>
      <c r="R257" s="74"/>
      <c r="AF257" s="76"/>
    </row>
    <row r="258">
      <c r="D258" s="123"/>
      <c r="L258" s="125"/>
      <c r="N258" s="126"/>
      <c r="P258" s="127"/>
      <c r="Q258" s="128"/>
      <c r="R258" s="74"/>
      <c r="AF258" s="76"/>
    </row>
    <row r="259">
      <c r="D259" s="123"/>
      <c r="L259" s="125"/>
      <c r="N259" s="126"/>
      <c r="P259" s="127"/>
      <c r="Q259" s="128"/>
      <c r="R259" s="74"/>
      <c r="AF259" s="76"/>
    </row>
    <row r="260">
      <c r="D260" s="123"/>
      <c r="L260" s="125"/>
      <c r="N260" s="126"/>
      <c r="P260" s="127"/>
      <c r="Q260" s="128"/>
      <c r="R260" s="74"/>
      <c r="AF260" s="76"/>
    </row>
    <row r="261">
      <c r="D261" s="123"/>
      <c r="L261" s="125"/>
      <c r="N261" s="126"/>
      <c r="P261" s="127"/>
      <c r="Q261" s="128"/>
      <c r="R261" s="74"/>
      <c r="AF261" s="76"/>
    </row>
    <row r="262">
      <c r="D262" s="123"/>
      <c r="L262" s="125"/>
      <c r="N262" s="126"/>
      <c r="P262" s="127"/>
      <c r="Q262" s="128"/>
      <c r="R262" s="74"/>
      <c r="AF262" s="76"/>
    </row>
    <row r="263">
      <c r="D263" s="123"/>
      <c r="L263" s="125"/>
      <c r="N263" s="126"/>
      <c r="P263" s="127"/>
      <c r="Q263" s="128"/>
      <c r="R263" s="74"/>
      <c r="AF263" s="76"/>
    </row>
    <row r="264">
      <c r="D264" s="123"/>
      <c r="L264" s="125"/>
      <c r="N264" s="126"/>
      <c r="P264" s="127"/>
      <c r="Q264" s="128"/>
      <c r="R264" s="74"/>
      <c r="AF264" s="76"/>
    </row>
    <row r="265">
      <c r="D265" s="123"/>
      <c r="L265" s="125"/>
      <c r="N265" s="126"/>
      <c r="P265" s="127"/>
      <c r="Q265" s="128"/>
      <c r="R265" s="74"/>
      <c r="AF265" s="76"/>
    </row>
    <row r="266">
      <c r="D266" s="123"/>
      <c r="L266" s="125"/>
      <c r="N266" s="126"/>
      <c r="P266" s="127"/>
      <c r="Q266" s="128"/>
      <c r="R266" s="74"/>
      <c r="AF266" s="76"/>
    </row>
    <row r="267">
      <c r="D267" s="123"/>
      <c r="L267" s="125"/>
      <c r="N267" s="126"/>
      <c r="P267" s="127"/>
      <c r="Q267" s="128"/>
      <c r="R267" s="74"/>
      <c r="AF267" s="76"/>
    </row>
    <row r="268">
      <c r="D268" s="123"/>
      <c r="L268" s="125"/>
      <c r="N268" s="126"/>
      <c r="P268" s="127"/>
      <c r="Q268" s="128"/>
      <c r="R268" s="74"/>
      <c r="AF268" s="76"/>
    </row>
    <row r="269">
      <c r="D269" s="123"/>
      <c r="L269" s="125"/>
      <c r="N269" s="126"/>
      <c r="P269" s="127"/>
      <c r="Q269" s="128"/>
      <c r="R269" s="74"/>
      <c r="AF269" s="76"/>
    </row>
    <row r="270">
      <c r="D270" s="123"/>
      <c r="L270" s="125"/>
      <c r="N270" s="126"/>
      <c r="P270" s="127"/>
      <c r="Q270" s="128"/>
      <c r="R270" s="74"/>
      <c r="AF270" s="76"/>
    </row>
    <row r="271">
      <c r="D271" s="123"/>
      <c r="L271" s="125"/>
      <c r="N271" s="126"/>
      <c r="P271" s="127"/>
      <c r="Q271" s="128"/>
      <c r="R271" s="74"/>
      <c r="AF271" s="76"/>
    </row>
    <row r="272">
      <c r="D272" s="123"/>
      <c r="L272" s="125"/>
      <c r="N272" s="126"/>
      <c r="P272" s="127"/>
      <c r="Q272" s="128"/>
      <c r="R272" s="74"/>
      <c r="AF272" s="76"/>
    </row>
    <row r="273">
      <c r="D273" s="123"/>
      <c r="L273" s="125"/>
      <c r="N273" s="126"/>
      <c r="P273" s="127"/>
      <c r="Q273" s="128"/>
      <c r="R273" s="74"/>
      <c r="AF273" s="76"/>
    </row>
    <row r="274">
      <c r="D274" s="123"/>
      <c r="L274" s="125"/>
      <c r="N274" s="126"/>
      <c r="P274" s="127"/>
      <c r="Q274" s="128"/>
      <c r="R274" s="74"/>
      <c r="AF274" s="76"/>
    </row>
    <row r="275">
      <c r="D275" s="123"/>
      <c r="L275" s="125"/>
      <c r="N275" s="126"/>
      <c r="P275" s="127"/>
      <c r="Q275" s="128"/>
      <c r="R275" s="74"/>
      <c r="AF275" s="76"/>
    </row>
    <row r="276">
      <c r="D276" s="123"/>
      <c r="L276" s="125"/>
      <c r="N276" s="126"/>
      <c r="P276" s="127"/>
      <c r="Q276" s="128"/>
      <c r="R276" s="74"/>
      <c r="AF276" s="76"/>
    </row>
    <row r="277">
      <c r="D277" s="123"/>
      <c r="L277" s="125"/>
      <c r="N277" s="126"/>
      <c r="P277" s="127"/>
      <c r="Q277" s="128"/>
      <c r="R277" s="74"/>
      <c r="AF277" s="76"/>
    </row>
    <row r="278">
      <c r="D278" s="123"/>
      <c r="L278" s="125"/>
      <c r="N278" s="126"/>
      <c r="P278" s="127"/>
      <c r="Q278" s="128"/>
      <c r="R278" s="74"/>
      <c r="AF278" s="76"/>
    </row>
    <row r="279">
      <c r="D279" s="123"/>
      <c r="L279" s="125"/>
      <c r="N279" s="126"/>
      <c r="P279" s="127"/>
      <c r="Q279" s="128"/>
      <c r="R279" s="74"/>
      <c r="AF279" s="76"/>
    </row>
    <row r="280">
      <c r="D280" s="123"/>
      <c r="L280" s="125"/>
      <c r="N280" s="126"/>
      <c r="P280" s="127"/>
      <c r="Q280" s="128"/>
      <c r="R280" s="74"/>
      <c r="AF280" s="76"/>
    </row>
    <row r="281">
      <c r="D281" s="123"/>
      <c r="L281" s="125"/>
      <c r="N281" s="126"/>
      <c r="P281" s="127"/>
      <c r="Q281" s="128"/>
      <c r="R281" s="74"/>
      <c r="AF281" s="76"/>
    </row>
    <row r="282">
      <c r="D282" s="123"/>
      <c r="L282" s="125"/>
      <c r="N282" s="126"/>
      <c r="P282" s="127"/>
      <c r="Q282" s="128"/>
      <c r="R282" s="74"/>
      <c r="AF282" s="76"/>
    </row>
    <row r="283">
      <c r="D283" s="123"/>
      <c r="L283" s="125"/>
      <c r="N283" s="126"/>
      <c r="P283" s="127"/>
      <c r="Q283" s="128"/>
      <c r="R283" s="74"/>
      <c r="AF283" s="76"/>
    </row>
    <row r="284">
      <c r="D284" s="123"/>
      <c r="L284" s="125"/>
      <c r="N284" s="126"/>
      <c r="P284" s="127"/>
      <c r="Q284" s="128"/>
      <c r="R284" s="74"/>
      <c r="AF284" s="76"/>
    </row>
    <row r="285">
      <c r="D285" s="123"/>
      <c r="L285" s="125"/>
      <c r="N285" s="126"/>
      <c r="P285" s="127"/>
      <c r="Q285" s="128"/>
      <c r="R285" s="74"/>
      <c r="AF285" s="76"/>
    </row>
    <row r="286">
      <c r="D286" s="123"/>
      <c r="L286" s="125"/>
      <c r="N286" s="126"/>
      <c r="P286" s="127"/>
      <c r="Q286" s="128"/>
      <c r="R286" s="74"/>
      <c r="AF286" s="76"/>
    </row>
    <row r="287">
      <c r="D287" s="123"/>
      <c r="L287" s="125"/>
      <c r="N287" s="126"/>
      <c r="P287" s="127"/>
      <c r="Q287" s="128"/>
      <c r="R287" s="74"/>
      <c r="AF287" s="76"/>
    </row>
    <row r="288">
      <c r="D288" s="123"/>
      <c r="L288" s="125"/>
      <c r="N288" s="126"/>
      <c r="P288" s="127"/>
      <c r="Q288" s="128"/>
      <c r="R288" s="74"/>
      <c r="AF288" s="76"/>
    </row>
    <row r="289">
      <c r="D289" s="123"/>
      <c r="L289" s="125"/>
      <c r="N289" s="126"/>
      <c r="P289" s="127"/>
      <c r="Q289" s="128"/>
      <c r="R289" s="74"/>
      <c r="AF289" s="76"/>
    </row>
    <row r="290">
      <c r="D290" s="123"/>
      <c r="L290" s="125"/>
      <c r="N290" s="126"/>
      <c r="P290" s="127"/>
      <c r="Q290" s="128"/>
      <c r="R290" s="74"/>
      <c r="AF290" s="76"/>
    </row>
    <row r="291">
      <c r="D291" s="123"/>
      <c r="L291" s="125"/>
      <c r="N291" s="126"/>
      <c r="P291" s="127"/>
      <c r="Q291" s="128"/>
      <c r="R291" s="74"/>
      <c r="AF291" s="76"/>
    </row>
    <row r="292">
      <c r="D292" s="123"/>
      <c r="L292" s="125"/>
      <c r="N292" s="126"/>
      <c r="P292" s="127"/>
      <c r="Q292" s="128"/>
      <c r="R292" s="74"/>
      <c r="AF292" s="76"/>
    </row>
    <row r="293">
      <c r="D293" s="123"/>
      <c r="L293" s="125"/>
      <c r="N293" s="126"/>
      <c r="P293" s="127"/>
      <c r="Q293" s="128"/>
      <c r="R293" s="74"/>
      <c r="AF293" s="76"/>
    </row>
    <row r="294">
      <c r="D294" s="123"/>
      <c r="L294" s="125"/>
      <c r="N294" s="126"/>
      <c r="P294" s="127"/>
      <c r="Q294" s="128"/>
      <c r="R294" s="74"/>
      <c r="AF294" s="76"/>
    </row>
    <row r="295">
      <c r="D295" s="123"/>
      <c r="L295" s="125"/>
      <c r="N295" s="126"/>
      <c r="P295" s="127"/>
      <c r="Q295" s="128"/>
      <c r="R295" s="74"/>
      <c r="AF295" s="76"/>
    </row>
    <row r="296">
      <c r="D296" s="123"/>
      <c r="L296" s="125"/>
      <c r="N296" s="126"/>
      <c r="P296" s="127"/>
      <c r="Q296" s="128"/>
      <c r="R296" s="74"/>
      <c r="AF296" s="76"/>
    </row>
    <row r="297">
      <c r="D297" s="123"/>
      <c r="L297" s="125"/>
      <c r="N297" s="126"/>
      <c r="P297" s="127"/>
      <c r="Q297" s="128"/>
      <c r="R297" s="74"/>
      <c r="AF297" s="76"/>
    </row>
    <row r="298">
      <c r="D298" s="123"/>
      <c r="L298" s="125"/>
      <c r="N298" s="126"/>
      <c r="P298" s="127"/>
      <c r="Q298" s="128"/>
      <c r="R298" s="74"/>
      <c r="AF298" s="76"/>
    </row>
    <row r="299">
      <c r="D299" s="123"/>
      <c r="L299" s="125"/>
      <c r="N299" s="126"/>
      <c r="P299" s="127"/>
      <c r="Q299" s="128"/>
      <c r="R299" s="74"/>
      <c r="AF299" s="76"/>
    </row>
    <row r="300">
      <c r="D300" s="123"/>
      <c r="L300" s="125"/>
      <c r="N300" s="126"/>
      <c r="P300" s="127"/>
      <c r="Q300" s="128"/>
      <c r="R300" s="74"/>
      <c r="AF300" s="76"/>
    </row>
    <row r="301">
      <c r="D301" s="123"/>
      <c r="L301" s="125"/>
      <c r="N301" s="126"/>
      <c r="P301" s="127"/>
      <c r="Q301" s="128"/>
      <c r="R301" s="74"/>
      <c r="AF301" s="76"/>
    </row>
    <row r="302">
      <c r="D302" s="123"/>
      <c r="L302" s="125"/>
      <c r="N302" s="126"/>
      <c r="P302" s="127"/>
      <c r="Q302" s="128"/>
      <c r="R302" s="74"/>
      <c r="AF302" s="76"/>
    </row>
    <row r="303">
      <c r="D303" s="123"/>
      <c r="L303" s="125"/>
      <c r="N303" s="126"/>
      <c r="P303" s="127"/>
      <c r="Q303" s="128"/>
      <c r="R303" s="74"/>
      <c r="AF303" s="76"/>
    </row>
    <row r="304">
      <c r="D304" s="123"/>
      <c r="L304" s="125"/>
      <c r="N304" s="126"/>
      <c r="P304" s="127"/>
      <c r="Q304" s="128"/>
      <c r="R304" s="74"/>
      <c r="AF304" s="76"/>
    </row>
    <row r="305">
      <c r="D305" s="123"/>
      <c r="L305" s="125"/>
      <c r="N305" s="126"/>
      <c r="P305" s="127"/>
      <c r="Q305" s="128"/>
      <c r="R305" s="74"/>
      <c r="AF305" s="76"/>
    </row>
    <row r="306">
      <c r="D306" s="123"/>
      <c r="L306" s="125"/>
      <c r="N306" s="126"/>
      <c r="P306" s="127"/>
      <c r="Q306" s="128"/>
      <c r="R306" s="74"/>
      <c r="AF306" s="76"/>
    </row>
    <row r="307">
      <c r="D307" s="123"/>
      <c r="L307" s="125"/>
      <c r="N307" s="126"/>
      <c r="P307" s="127"/>
      <c r="Q307" s="128"/>
      <c r="R307" s="74"/>
      <c r="AF307" s="76"/>
    </row>
    <row r="308">
      <c r="D308" s="123"/>
      <c r="L308" s="125"/>
      <c r="N308" s="126"/>
      <c r="P308" s="127"/>
      <c r="Q308" s="128"/>
      <c r="R308" s="74"/>
      <c r="AF308" s="76"/>
    </row>
    <row r="309">
      <c r="D309" s="123"/>
      <c r="L309" s="125"/>
      <c r="N309" s="126"/>
      <c r="P309" s="127"/>
      <c r="Q309" s="128"/>
      <c r="R309" s="74"/>
      <c r="AF309" s="76"/>
    </row>
    <row r="310">
      <c r="D310" s="123"/>
      <c r="L310" s="125"/>
      <c r="N310" s="126"/>
      <c r="P310" s="127"/>
      <c r="Q310" s="128"/>
      <c r="R310" s="74"/>
      <c r="AF310" s="76"/>
    </row>
    <row r="311">
      <c r="D311" s="123"/>
      <c r="L311" s="125"/>
      <c r="N311" s="126"/>
      <c r="P311" s="127"/>
      <c r="Q311" s="128"/>
      <c r="R311" s="74"/>
      <c r="AF311" s="76"/>
    </row>
    <row r="312">
      <c r="D312" s="123"/>
      <c r="L312" s="125"/>
      <c r="N312" s="126"/>
      <c r="P312" s="127"/>
      <c r="Q312" s="128"/>
      <c r="R312" s="74"/>
      <c r="AF312" s="76"/>
    </row>
    <row r="313">
      <c r="D313" s="123"/>
      <c r="L313" s="125"/>
      <c r="N313" s="126"/>
      <c r="P313" s="127"/>
      <c r="Q313" s="128"/>
      <c r="R313" s="74"/>
      <c r="AF313" s="76"/>
    </row>
    <row r="314">
      <c r="D314" s="123"/>
      <c r="L314" s="125"/>
      <c r="N314" s="126"/>
      <c r="P314" s="127"/>
      <c r="Q314" s="128"/>
      <c r="R314" s="74"/>
      <c r="AF314" s="76"/>
    </row>
    <row r="315">
      <c r="D315" s="123"/>
      <c r="L315" s="125"/>
      <c r="N315" s="126"/>
      <c r="P315" s="127"/>
      <c r="Q315" s="128"/>
      <c r="R315" s="74"/>
      <c r="AF315" s="76"/>
    </row>
    <row r="316">
      <c r="D316" s="123"/>
      <c r="L316" s="125"/>
      <c r="N316" s="126"/>
      <c r="P316" s="127"/>
      <c r="Q316" s="128"/>
      <c r="R316" s="74"/>
      <c r="AF316" s="76"/>
    </row>
    <row r="317">
      <c r="D317" s="123"/>
      <c r="L317" s="125"/>
      <c r="N317" s="126"/>
      <c r="P317" s="127"/>
      <c r="Q317" s="128"/>
      <c r="R317" s="74"/>
      <c r="AF317" s="76"/>
    </row>
    <row r="318">
      <c r="D318" s="123"/>
      <c r="L318" s="125"/>
      <c r="N318" s="126"/>
      <c r="P318" s="127"/>
      <c r="Q318" s="128"/>
      <c r="R318" s="74"/>
      <c r="AF318" s="76"/>
    </row>
    <row r="319">
      <c r="D319" s="123"/>
      <c r="L319" s="125"/>
      <c r="N319" s="126"/>
      <c r="P319" s="127"/>
      <c r="Q319" s="128"/>
      <c r="R319" s="74"/>
      <c r="AF319" s="76"/>
    </row>
    <row r="320">
      <c r="D320" s="123"/>
      <c r="L320" s="125"/>
      <c r="N320" s="126"/>
      <c r="P320" s="127"/>
      <c r="Q320" s="128"/>
      <c r="R320" s="74"/>
      <c r="AF320" s="76"/>
    </row>
    <row r="321">
      <c r="D321" s="123"/>
      <c r="L321" s="125"/>
      <c r="N321" s="126"/>
      <c r="P321" s="127"/>
      <c r="Q321" s="128"/>
      <c r="R321" s="74"/>
      <c r="AF321" s="76"/>
    </row>
    <row r="322">
      <c r="D322" s="123"/>
      <c r="L322" s="125"/>
      <c r="N322" s="126"/>
      <c r="P322" s="127"/>
      <c r="Q322" s="128"/>
      <c r="R322" s="74"/>
      <c r="AF322" s="76"/>
    </row>
    <row r="323">
      <c r="D323" s="123"/>
      <c r="L323" s="125"/>
      <c r="N323" s="126"/>
      <c r="P323" s="127"/>
      <c r="Q323" s="128"/>
      <c r="R323" s="74"/>
      <c r="AF323" s="76"/>
    </row>
    <row r="324">
      <c r="D324" s="123"/>
      <c r="L324" s="125"/>
      <c r="N324" s="126"/>
      <c r="P324" s="127"/>
      <c r="Q324" s="128"/>
      <c r="R324" s="74"/>
      <c r="AF324" s="76"/>
    </row>
    <row r="325">
      <c r="D325" s="123"/>
      <c r="L325" s="125"/>
      <c r="N325" s="126"/>
      <c r="P325" s="127"/>
      <c r="Q325" s="128"/>
      <c r="R325" s="74"/>
      <c r="AF325" s="76"/>
    </row>
    <row r="326">
      <c r="D326" s="123"/>
      <c r="L326" s="125"/>
      <c r="N326" s="126"/>
      <c r="P326" s="127"/>
      <c r="Q326" s="128"/>
      <c r="R326" s="74"/>
      <c r="AF326" s="76"/>
    </row>
    <row r="327">
      <c r="D327" s="123"/>
      <c r="L327" s="125"/>
      <c r="N327" s="126"/>
      <c r="P327" s="127"/>
      <c r="Q327" s="128"/>
      <c r="R327" s="74"/>
      <c r="AF327" s="76"/>
    </row>
    <row r="328">
      <c r="D328" s="123"/>
      <c r="L328" s="125"/>
      <c r="N328" s="126"/>
      <c r="P328" s="127"/>
      <c r="Q328" s="128"/>
      <c r="R328" s="74"/>
      <c r="AF328" s="76"/>
    </row>
    <row r="329">
      <c r="D329" s="123"/>
      <c r="L329" s="125"/>
      <c r="N329" s="126"/>
      <c r="P329" s="127"/>
      <c r="Q329" s="128"/>
      <c r="R329" s="74"/>
      <c r="AF329" s="76"/>
    </row>
    <row r="330">
      <c r="D330" s="123"/>
      <c r="L330" s="125"/>
      <c r="N330" s="126"/>
      <c r="P330" s="127"/>
      <c r="Q330" s="128"/>
      <c r="R330" s="74"/>
      <c r="AF330" s="76"/>
    </row>
    <row r="331">
      <c r="D331" s="123"/>
      <c r="L331" s="125"/>
      <c r="N331" s="126"/>
      <c r="P331" s="127"/>
      <c r="Q331" s="128"/>
      <c r="R331" s="74"/>
      <c r="AF331" s="76"/>
    </row>
    <row r="332">
      <c r="D332" s="123"/>
      <c r="L332" s="125"/>
      <c r="N332" s="126"/>
      <c r="P332" s="127"/>
      <c r="Q332" s="128"/>
      <c r="R332" s="74"/>
      <c r="AF332" s="76"/>
    </row>
    <row r="333">
      <c r="D333" s="123"/>
      <c r="L333" s="125"/>
      <c r="N333" s="126"/>
      <c r="P333" s="127"/>
      <c r="Q333" s="128"/>
      <c r="R333" s="74"/>
      <c r="AF333" s="76"/>
    </row>
    <row r="334">
      <c r="D334" s="123"/>
      <c r="L334" s="125"/>
      <c r="N334" s="126"/>
      <c r="P334" s="127"/>
      <c r="Q334" s="128"/>
      <c r="R334" s="74"/>
      <c r="AF334" s="76"/>
    </row>
    <row r="335">
      <c r="D335" s="123"/>
      <c r="L335" s="125"/>
      <c r="N335" s="126"/>
      <c r="P335" s="127"/>
      <c r="Q335" s="128"/>
      <c r="R335" s="74"/>
      <c r="AF335" s="76"/>
    </row>
    <row r="336">
      <c r="D336" s="123"/>
      <c r="L336" s="125"/>
      <c r="N336" s="126"/>
      <c r="P336" s="127"/>
      <c r="Q336" s="128"/>
      <c r="R336" s="74"/>
      <c r="AF336" s="76"/>
    </row>
    <row r="337">
      <c r="D337" s="123"/>
      <c r="L337" s="125"/>
      <c r="N337" s="126"/>
      <c r="P337" s="127"/>
      <c r="Q337" s="128"/>
      <c r="R337" s="74"/>
      <c r="AF337" s="76"/>
    </row>
    <row r="338">
      <c r="D338" s="123"/>
      <c r="L338" s="125"/>
      <c r="N338" s="126"/>
      <c r="P338" s="127"/>
      <c r="Q338" s="128"/>
      <c r="R338" s="74"/>
      <c r="AF338" s="76"/>
    </row>
    <row r="339">
      <c r="D339" s="123"/>
      <c r="L339" s="125"/>
      <c r="N339" s="126"/>
      <c r="P339" s="127"/>
      <c r="Q339" s="128"/>
      <c r="R339" s="74"/>
      <c r="AF339" s="76"/>
    </row>
    <row r="340">
      <c r="D340" s="123"/>
      <c r="L340" s="125"/>
      <c r="N340" s="126"/>
      <c r="P340" s="127"/>
      <c r="Q340" s="128"/>
      <c r="R340" s="74"/>
      <c r="AF340" s="76"/>
    </row>
    <row r="341">
      <c r="D341" s="123"/>
      <c r="L341" s="125"/>
      <c r="N341" s="126"/>
      <c r="P341" s="127"/>
      <c r="Q341" s="128"/>
      <c r="R341" s="74"/>
      <c r="AF341" s="76"/>
    </row>
    <row r="342">
      <c r="D342" s="123"/>
      <c r="L342" s="125"/>
      <c r="N342" s="126"/>
      <c r="P342" s="127"/>
      <c r="Q342" s="128"/>
      <c r="R342" s="74"/>
      <c r="AF342" s="76"/>
    </row>
    <row r="343">
      <c r="D343" s="123"/>
      <c r="L343" s="125"/>
      <c r="N343" s="126"/>
      <c r="P343" s="127"/>
      <c r="Q343" s="128"/>
      <c r="R343" s="74"/>
      <c r="AF343" s="76"/>
    </row>
    <row r="344">
      <c r="D344" s="123"/>
      <c r="L344" s="125"/>
      <c r="N344" s="126"/>
      <c r="P344" s="127"/>
      <c r="Q344" s="128"/>
      <c r="R344" s="74"/>
      <c r="AF344" s="76"/>
    </row>
    <row r="345">
      <c r="D345" s="123"/>
      <c r="L345" s="125"/>
      <c r="N345" s="126"/>
      <c r="P345" s="127"/>
      <c r="Q345" s="128"/>
      <c r="R345" s="74"/>
      <c r="AF345" s="76"/>
    </row>
    <row r="346">
      <c r="D346" s="123"/>
      <c r="L346" s="125"/>
      <c r="N346" s="126"/>
      <c r="P346" s="127"/>
      <c r="Q346" s="128"/>
      <c r="R346" s="74"/>
      <c r="AF346" s="76"/>
    </row>
    <row r="347">
      <c r="D347" s="123"/>
      <c r="L347" s="125"/>
      <c r="N347" s="126"/>
      <c r="P347" s="127"/>
      <c r="Q347" s="128"/>
      <c r="R347" s="74"/>
      <c r="AF347" s="76"/>
    </row>
    <row r="348">
      <c r="D348" s="123"/>
      <c r="L348" s="125"/>
      <c r="N348" s="126"/>
      <c r="P348" s="127"/>
      <c r="Q348" s="128"/>
      <c r="R348" s="74"/>
      <c r="AF348" s="76"/>
    </row>
    <row r="349">
      <c r="D349" s="123"/>
      <c r="L349" s="125"/>
      <c r="N349" s="126"/>
      <c r="P349" s="127"/>
      <c r="Q349" s="128"/>
      <c r="R349" s="74"/>
      <c r="AF349" s="76"/>
    </row>
    <row r="350">
      <c r="D350" s="123"/>
      <c r="L350" s="125"/>
      <c r="N350" s="126"/>
      <c r="P350" s="127"/>
      <c r="Q350" s="128"/>
      <c r="R350" s="74"/>
      <c r="AF350" s="76"/>
    </row>
    <row r="351">
      <c r="D351" s="123"/>
      <c r="L351" s="125"/>
      <c r="N351" s="126"/>
      <c r="P351" s="127"/>
      <c r="Q351" s="128"/>
      <c r="R351" s="74"/>
      <c r="AF351" s="76"/>
    </row>
    <row r="352">
      <c r="D352" s="123"/>
      <c r="L352" s="125"/>
      <c r="N352" s="126"/>
      <c r="P352" s="127"/>
      <c r="Q352" s="128"/>
      <c r="R352" s="74"/>
      <c r="AF352" s="76"/>
    </row>
    <row r="353">
      <c r="D353" s="123"/>
      <c r="L353" s="125"/>
      <c r="N353" s="126"/>
      <c r="P353" s="127"/>
      <c r="Q353" s="128"/>
      <c r="R353" s="74"/>
      <c r="AF353" s="76"/>
    </row>
    <row r="354">
      <c r="D354" s="123"/>
      <c r="L354" s="125"/>
      <c r="N354" s="126"/>
      <c r="P354" s="127"/>
      <c r="Q354" s="128"/>
      <c r="R354" s="74"/>
      <c r="AF354" s="76"/>
    </row>
    <row r="355">
      <c r="D355" s="123"/>
      <c r="L355" s="125"/>
      <c r="N355" s="126"/>
      <c r="P355" s="127"/>
      <c r="Q355" s="128"/>
      <c r="R355" s="74"/>
      <c r="AF355" s="76"/>
    </row>
    <row r="356">
      <c r="D356" s="123"/>
      <c r="L356" s="125"/>
      <c r="N356" s="126"/>
      <c r="P356" s="127"/>
      <c r="Q356" s="128"/>
      <c r="R356" s="74"/>
      <c r="AF356" s="76"/>
    </row>
    <row r="357">
      <c r="D357" s="123"/>
      <c r="L357" s="125"/>
      <c r="N357" s="126"/>
      <c r="P357" s="127"/>
      <c r="Q357" s="128"/>
      <c r="R357" s="74"/>
      <c r="AF357" s="76"/>
    </row>
    <row r="358">
      <c r="D358" s="123"/>
      <c r="L358" s="125"/>
      <c r="N358" s="126"/>
      <c r="P358" s="127"/>
      <c r="Q358" s="128"/>
      <c r="R358" s="74"/>
      <c r="AF358" s="76"/>
    </row>
    <row r="359">
      <c r="D359" s="123"/>
      <c r="L359" s="125"/>
      <c r="N359" s="126"/>
      <c r="P359" s="127"/>
      <c r="Q359" s="128"/>
      <c r="R359" s="74"/>
      <c r="AF359" s="76"/>
    </row>
    <row r="360">
      <c r="D360" s="123"/>
      <c r="L360" s="125"/>
      <c r="N360" s="126"/>
      <c r="P360" s="127"/>
      <c r="Q360" s="128"/>
      <c r="R360" s="74"/>
      <c r="AF360" s="76"/>
    </row>
    <row r="361">
      <c r="D361" s="123"/>
      <c r="L361" s="125"/>
      <c r="N361" s="126"/>
      <c r="P361" s="127"/>
      <c r="Q361" s="128"/>
      <c r="R361" s="74"/>
      <c r="AF361" s="76"/>
    </row>
    <row r="362">
      <c r="D362" s="123"/>
      <c r="L362" s="125"/>
      <c r="N362" s="126"/>
      <c r="P362" s="127"/>
      <c r="Q362" s="128"/>
      <c r="R362" s="74"/>
      <c r="AF362" s="76"/>
    </row>
    <row r="363">
      <c r="D363" s="123"/>
      <c r="L363" s="125"/>
      <c r="N363" s="126"/>
      <c r="P363" s="127"/>
      <c r="Q363" s="128"/>
      <c r="R363" s="74"/>
      <c r="AF363" s="76"/>
    </row>
    <row r="364">
      <c r="D364" s="123"/>
      <c r="L364" s="125"/>
      <c r="N364" s="126"/>
      <c r="P364" s="127"/>
      <c r="Q364" s="128"/>
      <c r="R364" s="74"/>
      <c r="AF364" s="76"/>
    </row>
    <row r="365">
      <c r="D365" s="123"/>
      <c r="L365" s="125"/>
      <c r="N365" s="126"/>
      <c r="P365" s="127"/>
      <c r="Q365" s="128"/>
      <c r="R365" s="74"/>
      <c r="AF365" s="76"/>
    </row>
    <row r="366">
      <c r="D366" s="123"/>
      <c r="L366" s="125"/>
      <c r="N366" s="126"/>
      <c r="P366" s="127"/>
      <c r="Q366" s="128"/>
      <c r="R366" s="74"/>
      <c r="AF366" s="76"/>
    </row>
    <row r="367">
      <c r="D367" s="123"/>
      <c r="L367" s="125"/>
      <c r="N367" s="126"/>
      <c r="P367" s="127"/>
      <c r="Q367" s="128"/>
      <c r="R367" s="74"/>
      <c r="AF367" s="76"/>
    </row>
    <row r="368">
      <c r="D368" s="123"/>
      <c r="L368" s="125"/>
      <c r="N368" s="126"/>
      <c r="P368" s="127"/>
      <c r="Q368" s="128"/>
      <c r="R368" s="74"/>
      <c r="AF368" s="76"/>
    </row>
    <row r="369">
      <c r="D369" s="123"/>
      <c r="L369" s="125"/>
      <c r="N369" s="126"/>
      <c r="P369" s="127"/>
      <c r="Q369" s="128"/>
      <c r="R369" s="74"/>
      <c r="AF369" s="76"/>
    </row>
    <row r="370">
      <c r="D370" s="123"/>
      <c r="L370" s="125"/>
      <c r="N370" s="126"/>
      <c r="P370" s="127"/>
      <c r="Q370" s="128"/>
      <c r="R370" s="74"/>
      <c r="AF370" s="76"/>
    </row>
    <row r="371">
      <c r="D371" s="123"/>
      <c r="L371" s="125"/>
      <c r="N371" s="126"/>
      <c r="P371" s="127"/>
      <c r="Q371" s="128"/>
      <c r="R371" s="74"/>
      <c r="AF371" s="76"/>
    </row>
    <row r="372">
      <c r="D372" s="123"/>
      <c r="L372" s="125"/>
      <c r="N372" s="126"/>
      <c r="P372" s="127"/>
      <c r="Q372" s="128"/>
      <c r="R372" s="74"/>
      <c r="AF372" s="76"/>
    </row>
    <row r="373">
      <c r="D373" s="123"/>
      <c r="L373" s="125"/>
      <c r="N373" s="126"/>
      <c r="P373" s="127"/>
      <c r="Q373" s="128"/>
      <c r="R373" s="74"/>
      <c r="AF373" s="76"/>
    </row>
    <row r="374">
      <c r="D374" s="123"/>
      <c r="L374" s="125"/>
      <c r="N374" s="126"/>
      <c r="P374" s="127"/>
      <c r="Q374" s="128"/>
      <c r="R374" s="74"/>
      <c r="AF374" s="76"/>
    </row>
    <row r="375">
      <c r="D375" s="123"/>
      <c r="L375" s="125"/>
      <c r="N375" s="126"/>
      <c r="P375" s="127"/>
      <c r="Q375" s="128"/>
      <c r="R375" s="74"/>
      <c r="AF375" s="76"/>
    </row>
    <row r="376">
      <c r="D376" s="123"/>
      <c r="L376" s="125"/>
      <c r="N376" s="126"/>
      <c r="P376" s="127"/>
      <c r="Q376" s="128"/>
      <c r="R376" s="74"/>
      <c r="AF376" s="76"/>
    </row>
    <row r="377">
      <c r="D377" s="123"/>
      <c r="L377" s="125"/>
      <c r="N377" s="126"/>
      <c r="P377" s="127"/>
      <c r="Q377" s="128"/>
      <c r="R377" s="74"/>
      <c r="AF377" s="76"/>
    </row>
    <row r="378">
      <c r="D378" s="123"/>
      <c r="L378" s="125"/>
      <c r="N378" s="126"/>
      <c r="P378" s="127"/>
      <c r="Q378" s="128"/>
      <c r="R378" s="74"/>
      <c r="AF378" s="76"/>
    </row>
    <row r="379">
      <c r="D379" s="123"/>
      <c r="L379" s="125"/>
      <c r="N379" s="126"/>
      <c r="P379" s="127"/>
      <c r="Q379" s="128"/>
      <c r="R379" s="74"/>
      <c r="AF379" s="76"/>
    </row>
    <row r="380">
      <c r="D380" s="123"/>
      <c r="L380" s="125"/>
      <c r="N380" s="126"/>
      <c r="P380" s="127"/>
      <c r="Q380" s="128"/>
      <c r="R380" s="74"/>
      <c r="AF380" s="76"/>
    </row>
    <row r="381">
      <c r="D381" s="123"/>
      <c r="L381" s="125"/>
      <c r="N381" s="126"/>
      <c r="P381" s="127"/>
      <c r="Q381" s="128"/>
      <c r="R381" s="74"/>
      <c r="AF381" s="76"/>
    </row>
    <row r="382">
      <c r="D382" s="123"/>
      <c r="L382" s="125"/>
      <c r="N382" s="126"/>
      <c r="P382" s="127"/>
      <c r="Q382" s="128"/>
      <c r="R382" s="74"/>
      <c r="AF382" s="76"/>
    </row>
    <row r="383">
      <c r="D383" s="123"/>
      <c r="L383" s="125"/>
      <c r="N383" s="126"/>
      <c r="P383" s="127"/>
      <c r="Q383" s="128"/>
      <c r="R383" s="74"/>
      <c r="AF383" s="76"/>
    </row>
    <row r="384">
      <c r="D384" s="123"/>
      <c r="L384" s="125"/>
      <c r="N384" s="126"/>
      <c r="P384" s="127"/>
      <c r="Q384" s="128"/>
      <c r="R384" s="74"/>
      <c r="AF384" s="76"/>
    </row>
    <row r="385">
      <c r="D385" s="123"/>
      <c r="L385" s="125"/>
      <c r="N385" s="126"/>
      <c r="P385" s="127"/>
      <c r="Q385" s="128"/>
      <c r="R385" s="74"/>
      <c r="AF385" s="76"/>
    </row>
    <row r="386">
      <c r="D386" s="123"/>
      <c r="L386" s="125"/>
      <c r="N386" s="126"/>
      <c r="P386" s="127"/>
      <c r="Q386" s="128"/>
      <c r="R386" s="74"/>
      <c r="AF386" s="76"/>
    </row>
    <row r="387">
      <c r="D387" s="123"/>
      <c r="L387" s="125"/>
      <c r="N387" s="126"/>
      <c r="P387" s="127"/>
      <c r="Q387" s="128"/>
      <c r="R387" s="74"/>
      <c r="AF387" s="76"/>
    </row>
    <row r="388">
      <c r="D388" s="123"/>
      <c r="L388" s="125"/>
      <c r="N388" s="126"/>
      <c r="P388" s="127"/>
      <c r="Q388" s="128"/>
      <c r="R388" s="74"/>
      <c r="AF388" s="76"/>
    </row>
    <row r="389">
      <c r="D389" s="123"/>
      <c r="L389" s="125"/>
      <c r="N389" s="126"/>
      <c r="P389" s="127"/>
      <c r="Q389" s="128"/>
      <c r="R389" s="74"/>
      <c r="AF389" s="76"/>
    </row>
    <row r="390">
      <c r="D390" s="123"/>
      <c r="L390" s="125"/>
      <c r="N390" s="126"/>
      <c r="P390" s="127"/>
      <c r="Q390" s="128"/>
      <c r="R390" s="74"/>
      <c r="AF390" s="76"/>
    </row>
    <row r="391">
      <c r="D391" s="123"/>
      <c r="L391" s="125"/>
      <c r="N391" s="126"/>
      <c r="P391" s="127"/>
      <c r="Q391" s="128"/>
      <c r="R391" s="74"/>
      <c r="AF391" s="76"/>
    </row>
    <row r="392">
      <c r="D392" s="123"/>
      <c r="L392" s="125"/>
      <c r="N392" s="126"/>
      <c r="P392" s="127"/>
      <c r="Q392" s="128"/>
      <c r="R392" s="74"/>
      <c r="AF392" s="76"/>
    </row>
    <row r="393">
      <c r="D393" s="123"/>
      <c r="L393" s="125"/>
      <c r="N393" s="126"/>
      <c r="P393" s="127"/>
      <c r="Q393" s="128"/>
      <c r="R393" s="74"/>
      <c r="AF393" s="76"/>
    </row>
    <row r="394">
      <c r="D394" s="123"/>
      <c r="L394" s="125"/>
      <c r="N394" s="126"/>
      <c r="P394" s="127"/>
      <c r="Q394" s="128"/>
      <c r="R394" s="74"/>
      <c r="AF394" s="76"/>
    </row>
    <row r="395">
      <c r="D395" s="123"/>
      <c r="L395" s="125"/>
      <c r="N395" s="126"/>
      <c r="P395" s="127"/>
      <c r="Q395" s="128"/>
      <c r="R395" s="74"/>
      <c r="AF395" s="76"/>
    </row>
    <row r="396">
      <c r="D396" s="123"/>
      <c r="L396" s="125"/>
      <c r="N396" s="126"/>
      <c r="P396" s="127"/>
      <c r="Q396" s="128"/>
      <c r="R396" s="74"/>
      <c r="AF396" s="76"/>
    </row>
    <row r="397">
      <c r="D397" s="123"/>
      <c r="L397" s="125"/>
      <c r="N397" s="126"/>
      <c r="P397" s="127"/>
      <c r="Q397" s="128"/>
      <c r="R397" s="74"/>
      <c r="AF397" s="76"/>
    </row>
    <row r="398">
      <c r="D398" s="123"/>
      <c r="L398" s="125"/>
      <c r="N398" s="126"/>
      <c r="P398" s="127"/>
      <c r="Q398" s="128"/>
      <c r="R398" s="74"/>
      <c r="AF398" s="76"/>
    </row>
    <row r="399">
      <c r="D399" s="123"/>
      <c r="L399" s="125"/>
      <c r="N399" s="126"/>
      <c r="P399" s="127"/>
      <c r="Q399" s="128"/>
      <c r="R399" s="74"/>
      <c r="AF399" s="76"/>
    </row>
    <row r="400">
      <c r="D400" s="123"/>
      <c r="L400" s="125"/>
      <c r="N400" s="126"/>
      <c r="P400" s="127"/>
      <c r="Q400" s="128"/>
      <c r="R400" s="74"/>
      <c r="AF400" s="76"/>
    </row>
    <row r="401">
      <c r="D401" s="123"/>
      <c r="L401" s="125"/>
      <c r="N401" s="126"/>
      <c r="P401" s="127"/>
      <c r="Q401" s="128"/>
      <c r="R401" s="74"/>
      <c r="AF401" s="76"/>
    </row>
    <row r="402">
      <c r="D402" s="123"/>
      <c r="L402" s="125"/>
      <c r="N402" s="126"/>
      <c r="P402" s="127"/>
      <c r="Q402" s="128"/>
      <c r="R402" s="74"/>
      <c r="AF402" s="76"/>
    </row>
    <row r="403">
      <c r="D403" s="123"/>
      <c r="L403" s="125"/>
      <c r="N403" s="126"/>
      <c r="P403" s="127"/>
      <c r="Q403" s="128"/>
      <c r="R403" s="74"/>
      <c r="AF403" s="76"/>
    </row>
    <row r="404">
      <c r="D404" s="123"/>
      <c r="L404" s="125"/>
      <c r="N404" s="126"/>
      <c r="P404" s="127"/>
      <c r="Q404" s="128"/>
      <c r="R404" s="74"/>
      <c r="AF404" s="76"/>
    </row>
    <row r="405">
      <c r="D405" s="123"/>
      <c r="L405" s="125"/>
      <c r="N405" s="126"/>
      <c r="P405" s="127"/>
      <c r="Q405" s="128"/>
      <c r="R405" s="74"/>
      <c r="AF405" s="76"/>
    </row>
    <row r="406">
      <c r="D406" s="123"/>
      <c r="L406" s="125"/>
      <c r="N406" s="126"/>
      <c r="P406" s="127"/>
      <c r="Q406" s="128"/>
      <c r="R406" s="74"/>
      <c r="AF406" s="76"/>
    </row>
    <row r="407">
      <c r="D407" s="123"/>
      <c r="L407" s="125"/>
      <c r="N407" s="126"/>
      <c r="P407" s="127"/>
      <c r="Q407" s="128"/>
      <c r="R407" s="74"/>
      <c r="AF407" s="76"/>
    </row>
    <row r="408">
      <c r="D408" s="123"/>
      <c r="L408" s="125"/>
      <c r="N408" s="126"/>
      <c r="P408" s="127"/>
      <c r="Q408" s="128"/>
      <c r="R408" s="74"/>
      <c r="AF408" s="76"/>
    </row>
    <row r="409">
      <c r="D409" s="123"/>
      <c r="L409" s="125"/>
      <c r="N409" s="126"/>
      <c r="P409" s="127"/>
      <c r="Q409" s="128"/>
      <c r="R409" s="74"/>
      <c r="AF409" s="76"/>
    </row>
    <row r="410">
      <c r="D410" s="123"/>
      <c r="L410" s="125"/>
      <c r="N410" s="126"/>
      <c r="P410" s="127"/>
      <c r="Q410" s="128"/>
      <c r="R410" s="74"/>
      <c r="AF410" s="76"/>
    </row>
    <row r="411">
      <c r="D411" s="123"/>
      <c r="L411" s="125"/>
      <c r="N411" s="126"/>
      <c r="P411" s="127"/>
      <c r="Q411" s="128"/>
      <c r="R411" s="74"/>
      <c r="AF411" s="76"/>
    </row>
    <row r="412">
      <c r="D412" s="123"/>
      <c r="L412" s="125"/>
      <c r="N412" s="126"/>
      <c r="P412" s="127"/>
      <c r="Q412" s="128"/>
      <c r="R412" s="74"/>
      <c r="AF412" s="76"/>
    </row>
    <row r="413">
      <c r="D413" s="123"/>
      <c r="L413" s="125"/>
      <c r="N413" s="126"/>
      <c r="P413" s="127"/>
      <c r="Q413" s="128"/>
      <c r="R413" s="74"/>
      <c r="AF413" s="76"/>
    </row>
    <row r="414">
      <c r="D414" s="123"/>
      <c r="L414" s="125"/>
      <c r="N414" s="126"/>
      <c r="P414" s="127"/>
      <c r="Q414" s="128"/>
      <c r="R414" s="74"/>
      <c r="AF414" s="76"/>
    </row>
    <row r="415">
      <c r="D415" s="123"/>
      <c r="L415" s="125"/>
      <c r="N415" s="126"/>
      <c r="P415" s="127"/>
      <c r="Q415" s="128"/>
      <c r="R415" s="74"/>
      <c r="AF415" s="76"/>
    </row>
    <row r="416">
      <c r="D416" s="123"/>
      <c r="L416" s="125"/>
      <c r="N416" s="126"/>
      <c r="P416" s="127"/>
      <c r="Q416" s="128"/>
      <c r="R416" s="74"/>
      <c r="AF416" s="76"/>
    </row>
    <row r="417">
      <c r="D417" s="123"/>
      <c r="L417" s="125"/>
      <c r="N417" s="126"/>
      <c r="P417" s="127"/>
      <c r="Q417" s="128"/>
      <c r="R417" s="74"/>
      <c r="AF417" s="76"/>
    </row>
    <row r="418">
      <c r="D418" s="123"/>
      <c r="L418" s="125"/>
      <c r="N418" s="126"/>
      <c r="P418" s="127"/>
      <c r="Q418" s="128"/>
      <c r="R418" s="74"/>
      <c r="AF418" s="76"/>
    </row>
    <row r="419">
      <c r="D419" s="123"/>
      <c r="L419" s="125"/>
      <c r="N419" s="126"/>
      <c r="P419" s="127"/>
      <c r="Q419" s="128"/>
      <c r="R419" s="74"/>
      <c r="AF419" s="76"/>
    </row>
    <row r="420">
      <c r="D420" s="123"/>
      <c r="L420" s="125"/>
      <c r="N420" s="126"/>
      <c r="P420" s="127"/>
      <c r="Q420" s="128"/>
      <c r="R420" s="74"/>
      <c r="AF420" s="76"/>
    </row>
    <row r="421">
      <c r="D421" s="123"/>
      <c r="L421" s="125"/>
      <c r="N421" s="126"/>
      <c r="P421" s="127"/>
      <c r="Q421" s="128"/>
      <c r="R421" s="74"/>
      <c r="AF421" s="76"/>
    </row>
    <row r="422">
      <c r="D422" s="123"/>
      <c r="L422" s="125"/>
      <c r="N422" s="126"/>
      <c r="P422" s="127"/>
      <c r="Q422" s="128"/>
      <c r="R422" s="74"/>
      <c r="AF422" s="76"/>
    </row>
    <row r="423">
      <c r="D423" s="123"/>
      <c r="L423" s="125"/>
      <c r="N423" s="126"/>
      <c r="P423" s="127"/>
      <c r="Q423" s="128"/>
      <c r="R423" s="74"/>
      <c r="AF423" s="76"/>
    </row>
    <row r="424">
      <c r="D424" s="123"/>
      <c r="L424" s="125"/>
      <c r="N424" s="126"/>
      <c r="P424" s="127"/>
      <c r="Q424" s="128"/>
      <c r="R424" s="74"/>
      <c r="AF424" s="76"/>
    </row>
    <row r="425">
      <c r="D425" s="123"/>
      <c r="L425" s="125"/>
      <c r="N425" s="126"/>
      <c r="P425" s="127"/>
      <c r="Q425" s="128"/>
      <c r="R425" s="74"/>
      <c r="AF425" s="76"/>
    </row>
    <row r="426">
      <c r="D426" s="123"/>
      <c r="L426" s="125"/>
      <c r="N426" s="126"/>
      <c r="P426" s="127"/>
      <c r="Q426" s="128"/>
      <c r="R426" s="74"/>
      <c r="AF426" s="76"/>
    </row>
    <row r="427">
      <c r="D427" s="123"/>
      <c r="L427" s="125"/>
      <c r="N427" s="126"/>
      <c r="P427" s="127"/>
      <c r="Q427" s="128"/>
      <c r="R427" s="74"/>
      <c r="AF427" s="76"/>
    </row>
    <row r="428">
      <c r="D428" s="123"/>
      <c r="L428" s="125"/>
      <c r="N428" s="126"/>
      <c r="P428" s="127"/>
      <c r="Q428" s="128"/>
      <c r="R428" s="74"/>
      <c r="AF428" s="76"/>
    </row>
    <row r="429">
      <c r="D429" s="123"/>
      <c r="L429" s="125"/>
      <c r="N429" s="126"/>
      <c r="P429" s="127"/>
      <c r="Q429" s="128"/>
      <c r="R429" s="74"/>
      <c r="AF429" s="76"/>
    </row>
    <row r="430">
      <c r="D430" s="123"/>
      <c r="L430" s="125"/>
      <c r="N430" s="126"/>
      <c r="P430" s="127"/>
      <c r="Q430" s="128"/>
      <c r="R430" s="74"/>
      <c r="AF430" s="76"/>
    </row>
    <row r="431">
      <c r="D431" s="123"/>
      <c r="L431" s="125"/>
      <c r="N431" s="126"/>
      <c r="P431" s="127"/>
      <c r="Q431" s="128"/>
      <c r="R431" s="74"/>
      <c r="AF431" s="76"/>
    </row>
    <row r="432">
      <c r="D432" s="123"/>
      <c r="L432" s="125"/>
      <c r="N432" s="126"/>
      <c r="P432" s="127"/>
      <c r="Q432" s="128"/>
      <c r="R432" s="74"/>
      <c r="AF432" s="76"/>
    </row>
    <row r="433">
      <c r="D433" s="123"/>
      <c r="L433" s="125"/>
      <c r="N433" s="126"/>
      <c r="P433" s="127"/>
      <c r="Q433" s="128"/>
      <c r="R433" s="74"/>
      <c r="AF433" s="76"/>
    </row>
    <row r="434">
      <c r="D434" s="123"/>
      <c r="L434" s="125"/>
      <c r="N434" s="126"/>
      <c r="P434" s="127"/>
      <c r="Q434" s="128"/>
      <c r="R434" s="74"/>
      <c r="AF434" s="76"/>
    </row>
    <row r="435">
      <c r="D435" s="123"/>
      <c r="L435" s="125"/>
      <c r="N435" s="126"/>
      <c r="P435" s="127"/>
      <c r="Q435" s="128"/>
      <c r="R435" s="74"/>
      <c r="AF435" s="76"/>
    </row>
    <row r="436">
      <c r="D436" s="123"/>
      <c r="L436" s="125"/>
      <c r="N436" s="126"/>
      <c r="P436" s="127"/>
      <c r="Q436" s="128"/>
      <c r="R436" s="74"/>
      <c r="AF436" s="76"/>
    </row>
    <row r="437">
      <c r="D437" s="123"/>
      <c r="L437" s="125"/>
      <c r="N437" s="126"/>
      <c r="P437" s="127"/>
      <c r="Q437" s="128"/>
      <c r="R437" s="74"/>
      <c r="AF437" s="76"/>
    </row>
    <row r="438">
      <c r="D438" s="123"/>
      <c r="L438" s="125"/>
      <c r="N438" s="126"/>
      <c r="P438" s="127"/>
      <c r="Q438" s="128"/>
      <c r="R438" s="74"/>
      <c r="AF438" s="76"/>
    </row>
    <row r="439">
      <c r="D439" s="123"/>
      <c r="L439" s="125"/>
      <c r="N439" s="126"/>
      <c r="P439" s="127"/>
      <c r="Q439" s="128"/>
      <c r="R439" s="74"/>
      <c r="AF439" s="76"/>
    </row>
    <row r="440">
      <c r="D440" s="123"/>
      <c r="L440" s="125"/>
      <c r="N440" s="126"/>
      <c r="P440" s="127"/>
      <c r="Q440" s="128"/>
      <c r="R440" s="74"/>
      <c r="AF440" s="76"/>
    </row>
    <row r="441">
      <c r="D441" s="123"/>
      <c r="L441" s="125"/>
      <c r="N441" s="126"/>
      <c r="P441" s="127"/>
      <c r="Q441" s="128"/>
      <c r="R441" s="74"/>
      <c r="AF441" s="76"/>
    </row>
    <row r="442">
      <c r="D442" s="123"/>
      <c r="L442" s="125"/>
      <c r="N442" s="126"/>
      <c r="P442" s="127"/>
      <c r="Q442" s="128"/>
      <c r="R442" s="74"/>
      <c r="AF442" s="76"/>
    </row>
    <row r="443">
      <c r="D443" s="123"/>
      <c r="L443" s="125"/>
      <c r="N443" s="126"/>
      <c r="P443" s="127"/>
      <c r="Q443" s="128"/>
      <c r="R443" s="74"/>
      <c r="AF443" s="76"/>
    </row>
    <row r="444">
      <c r="D444" s="123"/>
      <c r="L444" s="125"/>
      <c r="N444" s="126"/>
      <c r="P444" s="127"/>
      <c r="Q444" s="128"/>
      <c r="R444" s="74"/>
      <c r="AF444" s="76"/>
    </row>
    <row r="445">
      <c r="D445" s="123"/>
      <c r="L445" s="125"/>
      <c r="N445" s="126"/>
      <c r="P445" s="127"/>
      <c r="Q445" s="128"/>
      <c r="R445" s="74"/>
      <c r="AF445" s="76"/>
    </row>
    <row r="446">
      <c r="D446" s="123"/>
      <c r="L446" s="125"/>
      <c r="N446" s="126"/>
      <c r="P446" s="127"/>
      <c r="Q446" s="128"/>
      <c r="R446" s="74"/>
      <c r="AF446" s="76"/>
    </row>
    <row r="447">
      <c r="D447" s="123"/>
      <c r="L447" s="125"/>
      <c r="N447" s="126"/>
      <c r="P447" s="127"/>
      <c r="Q447" s="128"/>
      <c r="R447" s="74"/>
      <c r="AF447" s="76"/>
    </row>
    <row r="448">
      <c r="D448" s="123"/>
      <c r="L448" s="125"/>
      <c r="N448" s="126"/>
      <c r="P448" s="127"/>
      <c r="Q448" s="128"/>
      <c r="R448" s="74"/>
      <c r="AF448" s="76"/>
    </row>
    <row r="449">
      <c r="D449" s="123"/>
      <c r="L449" s="125"/>
      <c r="N449" s="126"/>
      <c r="P449" s="127"/>
      <c r="Q449" s="128"/>
      <c r="R449" s="74"/>
      <c r="AF449" s="76"/>
    </row>
    <row r="450">
      <c r="D450" s="123"/>
      <c r="L450" s="125"/>
      <c r="N450" s="126"/>
      <c r="P450" s="127"/>
      <c r="Q450" s="128"/>
      <c r="R450" s="74"/>
      <c r="AF450" s="76"/>
    </row>
    <row r="451">
      <c r="D451" s="123"/>
      <c r="L451" s="125"/>
      <c r="N451" s="126"/>
      <c r="P451" s="127"/>
      <c r="Q451" s="128"/>
      <c r="R451" s="74"/>
      <c r="AF451" s="76"/>
    </row>
    <row r="452">
      <c r="D452" s="123"/>
      <c r="L452" s="125"/>
      <c r="N452" s="126"/>
      <c r="P452" s="127"/>
      <c r="Q452" s="128"/>
      <c r="R452" s="74"/>
      <c r="AF452" s="76"/>
    </row>
    <row r="453">
      <c r="D453" s="123"/>
      <c r="L453" s="125"/>
      <c r="N453" s="126"/>
      <c r="P453" s="127"/>
      <c r="Q453" s="128"/>
      <c r="R453" s="74"/>
      <c r="AF453" s="76"/>
    </row>
    <row r="454">
      <c r="D454" s="123"/>
      <c r="L454" s="125"/>
      <c r="N454" s="126"/>
      <c r="P454" s="127"/>
      <c r="Q454" s="128"/>
      <c r="R454" s="74"/>
      <c r="AF454" s="76"/>
    </row>
    <row r="455">
      <c r="D455" s="123"/>
      <c r="L455" s="125"/>
      <c r="N455" s="126"/>
      <c r="P455" s="127"/>
      <c r="Q455" s="128"/>
      <c r="R455" s="74"/>
      <c r="AF455" s="76"/>
    </row>
    <row r="456">
      <c r="D456" s="123"/>
      <c r="L456" s="125"/>
      <c r="N456" s="126"/>
      <c r="P456" s="127"/>
      <c r="Q456" s="128"/>
      <c r="R456" s="74"/>
      <c r="AF456" s="76"/>
    </row>
    <row r="457">
      <c r="D457" s="123"/>
      <c r="L457" s="125"/>
      <c r="N457" s="126"/>
      <c r="P457" s="127"/>
      <c r="Q457" s="128"/>
      <c r="R457" s="74"/>
      <c r="AF457" s="76"/>
    </row>
    <row r="458">
      <c r="D458" s="123"/>
      <c r="L458" s="125"/>
      <c r="N458" s="126"/>
      <c r="P458" s="127"/>
      <c r="Q458" s="128"/>
      <c r="R458" s="74"/>
      <c r="AF458" s="76"/>
    </row>
    <row r="459">
      <c r="D459" s="123"/>
      <c r="L459" s="125"/>
      <c r="N459" s="126"/>
      <c r="P459" s="127"/>
      <c r="Q459" s="128"/>
      <c r="R459" s="74"/>
      <c r="AF459" s="76"/>
    </row>
    <row r="460">
      <c r="D460" s="123"/>
      <c r="L460" s="125"/>
      <c r="N460" s="126"/>
      <c r="P460" s="127"/>
      <c r="Q460" s="128"/>
      <c r="R460" s="74"/>
      <c r="AF460" s="76"/>
    </row>
    <row r="461">
      <c r="D461" s="123"/>
      <c r="L461" s="125"/>
      <c r="N461" s="126"/>
      <c r="P461" s="127"/>
      <c r="Q461" s="128"/>
      <c r="R461" s="74"/>
      <c r="AF461" s="76"/>
    </row>
    <row r="462">
      <c r="D462" s="123"/>
      <c r="L462" s="125"/>
      <c r="N462" s="126"/>
      <c r="P462" s="127"/>
      <c r="Q462" s="128"/>
      <c r="R462" s="74"/>
      <c r="AF462" s="76"/>
    </row>
    <row r="463">
      <c r="D463" s="123"/>
      <c r="L463" s="125"/>
      <c r="N463" s="126"/>
      <c r="P463" s="127"/>
      <c r="Q463" s="128"/>
      <c r="R463" s="74"/>
      <c r="AF463" s="76"/>
    </row>
    <row r="464">
      <c r="D464" s="123"/>
      <c r="L464" s="125"/>
      <c r="N464" s="126"/>
      <c r="P464" s="127"/>
      <c r="Q464" s="128"/>
      <c r="R464" s="74"/>
      <c r="AF464" s="76"/>
    </row>
    <row r="465">
      <c r="D465" s="123"/>
      <c r="L465" s="125"/>
      <c r="N465" s="126"/>
      <c r="P465" s="127"/>
      <c r="Q465" s="128"/>
      <c r="R465" s="74"/>
      <c r="AF465" s="76"/>
    </row>
    <row r="466">
      <c r="D466" s="123"/>
      <c r="L466" s="125"/>
      <c r="N466" s="126"/>
      <c r="P466" s="127"/>
      <c r="Q466" s="128"/>
      <c r="R466" s="74"/>
      <c r="AF466" s="76"/>
    </row>
    <row r="467">
      <c r="D467" s="123"/>
      <c r="L467" s="125"/>
      <c r="N467" s="126"/>
      <c r="P467" s="127"/>
      <c r="Q467" s="128"/>
      <c r="R467" s="74"/>
      <c r="AF467" s="76"/>
    </row>
    <row r="468">
      <c r="D468" s="123"/>
      <c r="L468" s="125"/>
      <c r="N468" s="126"/>
      <c r="P468" s="127"/>
      <c r="Q468" s="128"/>
      <c r="R468" s="74"/>
      <c r="AF468" s="76"/>
    </row>
    <row r="469">
      <c r="D469" s="123"/>
      <c r="L469" s="125"/>
      <c r="N469" s="126"/>
      <c r="P469" s="127"/>
      <c r="Q469" s="128"/>
      <c r="R469" s="74"/>
      <c r="AF469" s="76"/>
    </row>
    <row r="470">
      <c r="D470" s="123"/>
      <c r="L470" s="125"/>
      <c r="N470" s="126"/>
      <c r="P470" s="127"/>
      <c r="Q470" s="128"/>
      <c r="R470" s="74"/>
      <c r="AF470" s="76"/>
    </row>
    <row r="471">
      <c r="D471" s="123"/>
      <c r="L471" s="125"/>
      <c r="N471" s="126"/>
      <c r="P471" s="127"/>
      <c r="Q471" s="128"/>
      <c r="R471" s="74"/>
      <c r="AF471" s="76"/>
    </row>
    <row r="472">
      <c r="D472" s="123"/>
      <c r="L472" s="125"/>
      <c r="N472" s="126"/>
      <c r="P472" s="127"/>
      <c r="Q472" s="128"/>
      <c r="R472" s="74"/>
      <c r="AF472" s="76"/>
    </row>
    <row r="473">
      <c r="D473" s="123"/>
      <c r="L473" s="125"/>
      <c r="N473" s="126"/>
      <c r="P473" s="127"/>
      <c r="Q473" s="128"/>
      <c r="R473" s="74"/>
      <c r="AF473" s="76"/>
    </row>
    <row r="474">
      <c r="D474" s="123"/>
      <c r="L474" s="125"/>
      <c r="N474" s="126"/>
      <c r="P474" s="127"/>
      <c r="Q474" s="128"/>
      <c r="R474" s="74"/>
      <c r="AF474" s="76"/>
    </row>
    <row r="475">
      <c r="D475" s="123"/>
      <c r="L475" s="125"/>
      <c r="N475" s="126"/>
      <c r="P475" s="127"/>
      <c r="Q475" s="128"/>
      <c r="R475" s="74"/>
      <c r="AF475" s="76"/>
    </row>
    <row r="476">
      <c r="D476" s="123"/>
      <c r="L476" s="125"/>
      <c r="N476" s="126"/>
      <c r="P476" s="127"/>
      <c r="Q476" s="128"/>
      <c r="R476" s="74"/>
      <c r="AF476" s="76"/>
    </row>
    <row r="477">
      <c r="D477" s="123"/>
      <c r="L477" s="125"/>
      <c r="N477" s="126"/>
      <c r="P477" s="127"/>
      <c r="Q477" s="128"/>
      <c r="R477" s="74"/>
      <c r="AF477" s="76"/>
    </row>
    <row r="478">
      <c r="D478" s="123"/>
      <c r="L478" s="125"/>
      <c r="N478" s="126"/>
      <c r="P478" s="127"/>
      <c r="Q478" s="128"/>
      <c r="R478" s="74"/>
      <c r="AF478" s="76"/>
    </row>
    <row r="479">
      <c r="D479" s="123"/>
      <c r="L479" s="125"/>
      <c r="N479" s="126"/>
      <c r="P479" s="127"/>
      <c r="Q479" s="128"/>
      <c r="R479" s="74"/>
      <c r="AF479" s="76"/>
    </row>
    <row r="480">
      <c r="D480" s="123"/>
      <c r="L480" s="125"/>
      <c r="N480" s="126"/>
      <c r="P480" s="127"/>
      <c r="Q480" s="128"/>
      <c r="R480" s="74"/>
      <c r="AF480" s="76"/>
    </row>
    <row r="481">
      <c r="D481" s="123"/>
      <c r="L481" s="125"/>
      <c r="N481" s="126"/>
      <c r="P481" s="127"/>
      <c r="Q481" s="128"/>
      <c r="R481" s="74"/>
      <c r="AF481" s="76"/>
    </row>
    <row r="482">
      <c r="D482" s="123"/>
      <c r="L482" s="125"/>
      <c r="N482" s="126"/>
      <c r="P482" s="127"/>
      <c r="Q482" s="128"/>
      <c r="R482" s="74"/>
      <c r="AF482" s="76"/>
    </row>
    <row r="483">
      <c r="D483" s="123"/>
      <c r="L483" s="125"/>
      <c r="N483" s="126"/>
      <c r="P483" s="127"/>
      <c r="Q483" s="128"/>
      <c r="R483" s="74"/>
      <c r="AF483" s="76"/>
    </row>
    <row r="484">
      <c r="D484" s="123"/>
      <c r="L484" s="125"/>
      <c r="N484" s="126"/>
      <c r="P484" s="127"/>
      <c r="Q484" s="128"/>
      <c r="R484" s="74"/>
      <c r="AF484" s="76"/>
    </row>
    <row r="485">
      <c r="D485" s="123"/>
      <c r="L485" s="125"/>
      <c r="N485" s="126"/>
      <c r="P485" s="127"/>
      <c r="Q485" s="128"/>
      <c r="R485" s="74"/>
      <c r="AF485" s="76"/>
    </row>
    <row r="486">
      <c r="D486" s="123"/>
      <c r="L486" s="125"/>
      <c r="N486" s="126"/>
      <c r="P486" s="127"/>
      <c r="Q486" s="128"/>
      <c r="R486" s="74"/>
      <c r="AF486" s="76"/>
    </row>
    <row r="487">
      <c r="D487" s="123"/>
      <c r="L487" s="125"/>
      <c r="N487" s="126"/>
      <c r="P487" s="127"/>
      <c r="Q487" s="128"/>
      <c r="R487" s="74"/>
      <c r="AF487" s="76"/>
    </row>
    <row r="488">
      <c r="D488" s="123"/>
      <c r="L488" s="125"/>
      <c r="N488" s="126"/>
      <c r="P488" s="127"/>
      <c r="Q488" s="128"/>
      <c r="R488" s="74"/>
      <c r="AF488" s="76"/>
    </row>
    <row r="489">
      <c r="D489" s="123"/>
      <c r="L489" s="125"/>
      <c r="N489" s="126"/>
      <c r="P489" s="127"/>
      <c r="Q489" s="128"/>
      <c r="R489" s="74"/>
      <c r="AF489" s="76"/>
    </row>
    <row r="490">
      <c r="D490" s="123"/>
      <c r="L490" s="125"/>
      <c r="N490" s="126"/>
      <c r="P490" s="127"/>
      <c r="Q490" s="128"/>
      <c r="R490" s="74"/>
      <c r="AF490" s="76"/>
    </row>
    <row r="491">
      <c r="D491" s="123"/>
      <c r="L491" s="125"/>
      <c r="N491" s="126"/>
      <c r="P491" s="127"/>
      <c r="Q491" s="128"/>
      <c r="R491" s="74"/>
      <c r="AF491" s="76"/>
    </row>
    <row r="492">
      <c r="D492" s="123"/>
      <c r="L492" s="125"/>
      <c r="N492" s="126"/>
      <c r="P492" s="127"/>
      <c r="Q492" s="128"/>
      <c r="R492" s="74"/>
      <c r="AF492" s="76"/>
    </row>
    <row r="493">
      <c r="D493" s="123"/>
      <c r="L493" s="125"/>
      <c r="N493" s="126"/>
      <c r="P493" s="127"/>
      <c r="Q493" s="128"/>
      <c r="R493" s="74"/>
      <c r="AF493" s="76"/>
    </row>
    <row r="494">
      <c r="D494" s="123"/>
      <c r="L494" s="125"/>
      <c r="N494" s="126"/>
      <c r="P494" s="127"/>
      <c r="Q494" s="128"/>
      <c r="R494" s="74"/>
      <c r="AF494" s="76"/>
    </row>
    <row r="495">
      <c r="D495" s="123"/>
      <c r="L495" s="125"/>
      <c r="N495" s="126"/>
      <c r="P495" s="127"/>
      <c r="Q495" s="128"/>
      <c r="R495" s="74"/>
      <c r="AF495" s="76"/>
    </row>
    <row r="496">
      <c r="D496" s="123"/>
      <c r="L496" s="125"/>
      <c r="N496" s="126"/>
      <c r="P496" s="127"/>
      <c r="Q496" s="128"/>
      <c r="R496" s="74"/>
      <c r="AF496" s="76"/>
    </row>
    <row r="497">
      <c r="D497" s="123"/>
      <c r="L497" s="125"/>
      <c r="N497" s="126"/>
      <c r="P497" s="127"/>
      <c r="Q497" s="128"/>
      <c r="R497" s="74"/>
      <c r="AF497" s="76"/>
    </row>
    <row r="498">
      <c r="D498" s="123"/>
      <c r="L498" s="125"/>
      <c r="N498" s="126"/>
      <c r="P498" s="127"/>
      <c r="Q498" s="128"/>
      <c r="R498" s="74"/>
      <c r="AF498" s="76"/>
    </row>
    <row r="499">
      <c r="D499" s="123"/>
      <c r="L499" s="125"/>
      <c r="N499" s="126"/>
      <c r="P499" s="127"/>
      <c r="Q499" s="128"/>
      <c r="R499" s="74"/>
      <c r="AF499" s="76"/>
    </row>
    <row r="500">
      <c r="D500" s="123"/>
      <c r="L500" s="125"/>
      <c r="N500" s="126"/>
      <c r="P500" s="127"/>
      <c r="Q500" s="128"/>
      <c r="R500" s="74"/>
      <c r="AF500" s="76"/>
    </row>
    <row r="501">
      <c r="D501" s="123"/>
      <c r="L501" s="125"/>
      <c r="N501" s="126"/>
      <c r="P501" s="127"/>
      <c r="Q501" s="128"/>
      <c r="R501" s="74"/>
      <c r="AF501" s="76"/>
    </row>
    <row r="502">
      <c r="D502" s="123"/>
      <c r="L502" s="125"/>
      <c r="N502" s="126"/>
      <c r="P502" s="127"/>
      <c r="Q502" s="128"/>
      <c r="R502" s="74"/>
      <c r="AF502" s="76"/>
    </row>
    <row r="503">
      <c r="D503" s="123"/>
      <c r="L503" s="125"/>
      <c r="N503" s="126"/>
      <c r="P503" s="127"/>
      <c r="Q503" s="128"/>
      <c r="R503" s="74"/>
      <c r="AF503" s="76"/>
    </row>
    <row r="504">
      <c r="D504" s="123"/>
      <c r="L504" s="125"/>
      <c r="N504" s="126"/>
      <c r="P504" s="127"/>
      <c r="Q504" s="128"/>
      <c r="R504" s="74"/>
      <c r="AF504" s="76"/>
    </row>
    <row r="505">
      <c r="D505" s="123"/>
      <c r="L505" s="125"/>
      <c r="N505" s="126"/>
      <c r="P505" s="127"/>
      <c r="Q505" s="128"/>
      <c r="R505" s="74"/>
      <c r="AF505" s="76"/>
    </row>
    <row r="506">
      <c r="D506" s="123"/>
      <c r="L506" s="125"/>
      <c r="N506" s="126"/>
      <c r="P506" s="127"/>
      <c r="Q506" s="128"/>
      <c r="R506" s="74"/>
      <c r="AF506" s="76"/>
    </row>
    <row r="507">
      <c r="D507" s="123"/>
      <c r="L507" s="125"/>
      <c r="N507" s="126"/>
      <c r="P507" s="127"/>
      <c r="Q507" s="128"/>
      <c r="R507" s="74"/>
      <c r="AF507" s="76"/>
    </row>
    <row r="508">
      <c r="D508" s="123"/>
      <c r="L508" s="125"/>
      <c r="N508" s="126"/>
      <c r="P508" s="127"/>
      <c r="Q508" s="128"/>
      <c r="R508" s="74"/>
      <c r="AF508" s="76"/>
    </row>
    <row r="509">
      <c r="D509" s="123"/>
      <c r="L509" s="125"/>
      <c r="N509" s="126"/>
      <c r="P509" s="127"/>
      <c r="Q509" s="128"/>
      <c r="R509" s="74"/>
      <c r="AF509" s="76"/>
    </row>
    <row r="510">
      <c r="D510" s="123"/>
      <c r="L510" s="125"/>
      <c r="N510" s="126"/>
      <c r="P510" s="127"/>
      <c r="Q510" s="128"/>
      <c r="R510" s="74"/>
      <c r="AF510" s="76"/>
    </row>
    <row r="511">
      <c r="D511" s="123"/>
      <c r="L511" s="125"/>
      <c r="N511" s="126"/>
      <c r="P511" s="127"/>
      <c r="Q511" s="128"/>
      <c r="R511" s="74"/>
      <c r="AF511" s="76"/>
    </row>
    <row r="512">
      <c r="D512" s="123"/>
      <c r="L512" s="125"/>
      <c r="N512" s="126"/>
      <c r="P512" s="127"/>
      <c r="Q512" s="128"/>
      <c r="R512" s="74"/>
      <c r="AF512" s="76"/>
    </row>
    <row r="513">
      <c r="D513" s="123"/>
      <c r="L513" s="125"/>
      <c r="N513" s="126"/>
      <c r="P513" s="127"/>
      <c r="Q513" s="128"/>
      <c r="R513" s="74"/>
      <c r="AF513" s="76"/>
    </row>
    <row r="514">
      <c r="D514" s="123"/>
      <c r="L514" s="125"/>
      <c r="N514" s="126"/>
      <c r="P514" s="127"/>
      <c r="Q514" s="128"/>
      <c r="R514" s="74"/>
      <c r="AF514" s="76"/>
    </row>
    <row r="515">
      <c r="D515" s="123"/>
      <c r="L515" s="125"/>
      <c r="N515" s="126"/>
      <c r="P515" s="127"/>
      <c r="Q515" s="128"/>
      <c r="R515" s="74"/>
      <c r="AF515" s="76"/>
    </row>
    <row r="516">
      <c r="D516" s="123"/>
      <c r="L516" s="125"/>
      <c r="N516" s="126"/>
      <c r="P516" s="127"/>
      <c r="Q516" s="128"/>
      <c r="R516" s="74"/>
      <c r="AF516" s="76"/>
    </row>
    <row r="517">
      <c r="D517" s="123"/>
      <c r="L517" s="125"/>
      <c r="N517" s="126"/>
      <c r="P517" s="127"/>
      <c r="Q517" s="128"/>
      <c r="R517" s="74"/>
      <c r="AF517" s="76"/>
    </row>
    <row r="518">
      <c r="D518" s="123"/>
      <c r="L518" s="125"/>
      <c r="N518" s="126"/>
      <c r="P518" s="127"/>
      <c r="Q518" s="128"/>
      <c r="R518" s="74"/>
      <c r="AF518" s="76"/>
    </row>
    <row r="519">
      <c r="D519" s="123"/>
      <c r="L519" s="125"/>
      <c r="N519" s="126"/>
      <c r="P519" s="127"/>
      <c r="Q519" s="128"/>
      <c r="R519" s="74"/>
      <c r="AF519" s="76"/>
    </row>
    <row r="520">
      <c r="D520" s="123"/>
      <c r="L520" s="125"/>
      <c r="N520" s="126"/>
      <c r="P520" s="127"/>
      <c r="Q520" s="128"/>
      <c r="R520" s="74"/>
      <c r="AF520" s="76"/>
    </row>
    <row r="521">
      <c r="D521" s="123"/>
      <c r="L521" s="125"/>
      <c r="N521" s="126"/>
      <c r="P521" s="127"/>
      <c r="Q521" s="128"/>
      <c r="R521" s="74"/>
      <c r="AF521" s="76"/>
    </row>
    <row r="522">
      <c r="D522" s="123"/>
      <c r="L522" s="125"/>
      <c r="N522" s="126"/>
      <c r="P522" s="127"/>
      <c r="Q522" s="128"/>
      <c r="R522" s="74"/>
      <c r="AF522" s="76"/>
    </row>
    <row r="523">
      <c r="D523" s="123"/>
      <c r="L523" s="125"/>
      <c r="N523" s="126"/>
      <c r="P523" s="127"/>
      <c r="Q523" s="128"/>
      <c r="R523" s="74"/>
      <c r="AF523" s="76"/>
    </row>
    <row r="524">
      <c r="D524" s="123"/>
      <c r="L524" s="125"/>
      <c r="N524" s="126"/>
      <c r="P524" s="127"/>
      <c r="Q524" s="128"/>
      <c r="R524" s="74"/>
      <c r="AF524" s="76"/>
    </row>
    <row r="525">
      <c r="D525" s="123"/>
      <c r="L525" s="125"/>
      <c r="N525" s="126"/>
      <c r="P525" s="127"/>
      <c r="Q525" s="128"/>
      <c r="R525" s="74"/>
      <c r="AF525" s="76"/>
    </row>
    <row r="526">
      <c r="D526" s="123"/>
      <c r="L526" s="125"/>
      <c r="N526" s="126"/>
      <c r="P526" s="127"/>
      <c r="Q526" s="128"/>
      <c r="R526" s="74"/>
      <c r="AF526" s="76"/>
    </row>
    <row r="527">
      <c r="D527" s="123"/>
      <c r="L527" s="125"/>
      <c r="N527" s="126"/>
      <c r="P527" s="127"/>
      <c r="Q527" s="128"/>
      <c r="R527" s="74"/>
      <c r="AF527" s="76"/>
    </row>
    <row r="528">
      <c r="D528" s="123"/>
      <c r="L528" s="125"/>
      <c r="N528" s="126"/>
      <c r="P528" s="127"/>
      <c r="Q528" s="128"/>
      <c r="R528" s="74"/>
      <c r="AF528" s="76"/>
    </row>
    <row r="529">
      <c r="D529" s="123"/>
      <c r="L529" s="125"/>
      <c r="N529" s="126"/>
      <c r="P529" s="127"/>
      <c r="Q529" s="128"/>
      <c r="R529" s="74"/>
      <c r="AF529" s="76"/>
    </row>
    <row r="530">
      <c r="D530" s="123"/>
      <c r="L530" s="125"/>
      <c r="N530" s="126"/>
      <c r="P530" s="127"/>
      <c r="Q530" s="128"/>
      <c r="R530" s="74"/>
      <c r="AF530" s="76"/>
    </row>
    <row r="531">
      <c r="D531" s="123"/>
      <c r="L531" s="125"/>
      <c r="N531" s="126"/>
      <c r="P531" s="127"/>
      <c r="Q531" s="128"/>
      <c r="R531" s="74"/>
      <c r="AF531" s="76"/>
    </row>
    <row r="532">
      <c r="D532" s="123"/>
      <c r="L532" s="125"/>
      <c r="N532" s="126"/>
      <c r="P532" s="127"/>
      <c r="Q532" s="128"/>
      <c r="R532" s="74"/>
      <c r="AF532" s="76"/>
    </row>
    <row r="533">
      <c r="D533" s="123"/>
      <c r="L533" s="125"/>
      <c r="N533" s="126"/>
      <c r="P533" s="127"/>
      <c r="Q533" s="128"/>
      <c r="R533" s="74"/>
      <c r="AF533" s="76"/>
    </row>
    <row r="534">
      <c r="D534" s="123"/>
      <c r="L534" s="125"/>
      <c r="N534" s="126"/>
      <c r="P534" s="127"/>
      <c r="Q534" s="128"/>
      <c r="R534" s="74"/>
      <c r="AF534" s="76"/>
    </row>
    <row r="535">
      <c r="D535" s="123"/>
      <c r="L535" s="125"/>
      <c r="N535" s="126"/>
      <c r="P535" s="127"/>
      <c r="Q535" s="128"/>
      <c r="R535" s="74"/>
      <c r="AF535" s="76"/>
    </row>
    <row r="536">
      <c r="D536" s="123"/>
      <c r="L536" s="125"/>
      <c r="N536" s="126"/>
      <c r="P536" s="127"/>
      <c r="Q536" s="128"/>
      <c r="R536" s="74"/>
      <c r="AF536" s="76"/>
    </row>
    <row r="537">
      <c r="D537" s="123"/>
      <c r="L537" s="125"/>
      <c r="N537" s="126"/>
      <c r="P537" s="127"/>
      <c r="Q537" s="128"/>
      <c r="R537" s="74"/>
      <c r="AF537" s="76"/>
    </row>
    <row r="538">
      <c r="D538" s="123"/>
      <c r="L538" s="125"/>
      <c r="N538" s="126"/>
      <c r="P538" s="127"/>
      <c r="Q538" s="128"/>
      <c r="R538" s="74"/>
      <c r="AF538" s="76"/>
    </row>
    <row r="539">
      <c r="D539" s="123"/>
      <c r="L539" s="125"/>
      <c r="N539" s="126"/>
      <c r="P539" s="127"/>
      <c r="Q539" s="128"/>
      <c r="R539" s="74"/>
      <c r="AF539" s="76"/>
    </row>
    <row r="540">
      <c r="D540" s="123"/>
      <c r="L540" s="125"/>
      <c r="N540" s="126"/>
      <c r="P540" s="127"/>
      <c r="Q540" s="128"/>
      <c r="R540" s="74"/>
      <c r="AF540" s="76"/>
    </row>
    <row r="541">
      <c r="D541" s="123"/>
      <c r="L541" s="125"/>
      <c r="N541" s="126"/>
      <c r="P541" s="127"/>
      <c r="Q541" s="128"/>
      <c r="R541" s="74"/>
      <c r="AF541" s="76"/>
    </row>
    <row r="542">
      <c r="D542" s="123"/>
      <c r="L542" s="125"/>
      <c r="N542" s="126"/>
      <c r="P542" s="127"/>
      <c r="Q542" s="128"/>
      <c r="R542" s="74"/>
      <c r="AF542" s="76"/>
    </row>
    <row r="543">
      <c r="D543" s="123"/>
      <c r="L543" s="125"/>
      <c r="N543" s="126"/>
      <c r="P543" s="127"/>
      <c r="Q543" s="128"/>
      <c r="R543" s="74"/>
      <c r="AF543" s="76"/>
    </row>
    <row r="544">
      <c r="D544" s="123"/>
      <c r="L544" s="125"/>
      <c r="N544" s="126"/>
      <c r="P544" s="127"/>
      <c r="Q544" s="128"/>
      <c r="R544" s="74"/>
      <c r="AF544" s="76"/>
    </row>
    <row r="545">
      <c r="D545" s="123"/>
      <c r="L545" s="125"/>
      <c r="N545" s="126"/>
      <c r="P545" s="127"/>
      <c r="Q545" s="128"/>
      <c r="R545" s="74"/>
      <c r="AF545" s="76"/>
    </row>
    <row r="546">
      <c r="D546" s="123"/>
      <c r="L546" s="125"/>
      <c r="N546" s="126"/>
      <c r="P546" s="127"/>
      <c r="Q546" s="128"/>
      <c r="R546" s="74"/>
      <c r="AF546" s="76"/>
    </row>
    <row r="547">
      <c r="D547" s="123"/>
      <c r="L547" s="125"/>
      <c r="N547" s="126"/>
      <c r="P547" s="127"/>
      <c r="Q547" s="128"/>
      <c r="R547" s="74"/>
      <c r="AF547" s="76"/>
    </row>
    <row r="548">
      <c r="D548" s="123"/>
      <c r="L548" s="125"/>
      <c r="N548" s="126"/>
      <c r="P548" s="127"/>
      <c r="Q548" s="128"/>
      <c r="R548" s="74"/>
      <c r="AF548" s="76"/>
    </row>
    <row r="549">
      <c r="D549" s="123"/>
      <c r="L549" s="125"/>
      <c r="N549" s="126"/>
      <c r="P549" s="127"/>
      <c r="Q549" s="128"/>
      <c r="R549" s="74"/>
      <c r="AF549" s="76"/>
    </row>
    <row r="550">
      <c r="D550" s="123"/>
      <c r="L550" s="125"/>
      <c r="N550" s="126"/>
      <c r="P550" s="127"/>
      <c r="Q550" s="128"/>
      <c r="R550" s="74"/>
      <c r="AF550" s="76"/>
    </row>
    <row r="551">
      <c r="D551" s="123"/>
      <c r="L551" s="125"/>
      <c r="N551" s="126"/>
      <c r="P551" s="127"/>
      <c r="Q551" s="128"/>
      <c r="R551" s="74"/>
      <c r="AF551" s="76"/>
    </row>
    <row r="552">
      <c r="D552" s="123"/>
      <c r="L552" s="125"/>
      <c r="N552" s="126"/>
      <c r="P552" s="127"/>
      <c r="Q552" s="128"/>
      <c r="R552" s="74"/>
      <c r="AF552" s="76"/>
    </row>
    <row r="553">
      <c r="D553" s="123"/>
      <c r="L553" s="125"/>
      <c r="N553" s="126"/>
      <c r="P553" s="127"/>
      <c r="Q553" s="128"/>
      <c r="R553" s="74"/>
      <c r="AF553" s="76"/>
    </row>
    <row r="554">
      <c r="D554" s="123"/>
      <c r="L554" s="125"/>
      <c r="N554" s="126"/>
      <c r="P554" s="127"/>
      <c r="Q554" s="128"/>
      <c r="R554" s="74"/>
      <c r="AF554" s="76"/>
    </row>
    <row r="555">
      <c r="D555" s="123"/>
      <c r="L555" s="125"/>
      <c r="N555" s="126"/>
      <c r="P555" s="127"/>
      <c r="Q555" s="128"/>
      <c r="R555" s="74"/>
      <c r="AF555" s="76"/>
    </row>
    <row r="556">
      <c r="D556" s="123"/>
      <c r="L556" s="125"/>
      <c r="N556" s="126"/>
      <c r="P556" s="127"/>
      <c r="Q556" s="128"/>
      <c r="R556" s="74"/>
      <c r="AF556" s="76"/>
    </row>
    <row r="557">
      <c r="D557" s="123"/>
      <c r="L557" s="125"/>
      <c r="N557" s="126"/>
      <c r="P557" s="127"/>
      <c r="Q557" s="128"/>
      <c r="R557" s="74"/>
      <c r="AF557" s="76"/>
    </row>
    <row r="558">
      <c r="D558" s="123"/>
      <c r="L558" s="125"/>
      <c r="N558" s="126"/>
      <c r="P558" s="127"/>
      <c r="Q558" s="128"/>
      <c r="R558" s="74"/>
      <c r="AF558" s="76"/>
    </row>
    <row r="559">
      <c r="D559" s="123"/>
      <c r="L559" s="125"/>
      <c r="N559" s="126"/>
      <c r="P559" s="127"/>
      <c r="Q559" s="128"/>
      <c r="R559" s="74"/>
      <c r="AF559" s="76"/>
    </row>
    <row r="560">
      <c r="D560" s="123"/>
      <c r="L560" s="125"/>
      <c r="N560" s="126"/>
      <c r="P560" s="127"/>
      <c r="Q560" s="128"/>
      <c r="R560" s="74"/>
      <c r="AF560" s="76"/>
    </row>
    <row r="561">
      <c r="D561" s="123"/>
      <c r="L561" s="125"/>
      <c r="N561" s="126"/>
      <c r="P561" s="127"/>
      <c r="Q561" s="128"/>
      <c r="R561" s="74"/>
      <c r="AF561" s="76"/>
    </row>
    <row r="562">
      <c r="D562" s="123"/>
      <c r="L562" s="125"/>
      <c r="N562" s="126"/>
      <c r="P562" s="127"/>
      <c r="Q562" s="128"/>
      <c r="R562" s="74"/>
      <c r="AF562" s="76"/>
    </row>
    <row r="563">
      <c r="D563" s="123"/>
      <c r="L563" s="125"/>
      <c r="N563" s="126"/>
      <c r="P563" s="127"/>
      <c r="Q563" s="128"/>
      <c r="R563" s="74"/>
      <c r="AF563" s="76"/>
    </row>
    <row r="564">
      <c r="D564" s="123"/>
      <c r="L564" s="125"/>
      <c r="N564" s="126"/>
      <c r="P564" s="127"/>
      <c r="Q564" s="128"/>
      <c r="R564" s="74"/>
      <c r="AF564" s="76"/>
    </row>
    <row r="565">
      <c r="D565" s="123"/>
      <c r="L565" s="125"/>
      <c r="N565" s="126"/>
      <c r="P565" s="127"/>
      <c r="Q565" s="128"/>
      <c r="R565" s="74"/>
      <c r="AF565" s="76"/>
    </row>
    <row r="566">
      <c r="D566" s="123"/>
      <c r="L566" s="125"/>
      <c r="N566" s="126"/>
      <c r="P566" s="127"/>
      <c r="Q566" s="128"/>
      <c r="R566" s="74"/>
      <c r="AF566" s="76"/>
    </row>
    <row r="567">
      <c r="D567" s="123"/>
      <c r="L567" s="125"/>
      <c r="N567" s="126"/>
      <c r="P567" s="127"/>
      <c r="Q567" s="128"/>
      <c r="R567" s="74"/>
      <c r="AF567" s="76"/>
    </row>
    <row r="568">
      <c r="D568" s="123"/>
      <c r="L568" s="125"/>
      <c r="N568" s="126"/>
      <c r="P568" s="127"/>
      <c r="Q568" s="128"/>
      <c r="R568" s="74"/>
      <c r="AF568" s="76"/>
    </row>
    <row r="569">
      <c r="D569" s="123"/>
      <c r="L569" s="125"/>
      <c r="N569" s="126"/>
      <c r="P569" s="127"/>
      <c r="Q569" s="128"/>
      <c r="R569" s="74"/>
      <c r="AF569" s="76"/>
    </row>
    <row r="570">
      <c r="D570" s="123"/>
      <c r="L570" s="125"/>
      <c r="N570" s="126"/>
      <c r="P570" s="127"/>
      <c r="Q570" s="128"/>
      <c r="R570" s="74"/>
      <c r="AF570" s="76"/>
    </row>
    <row r="571">
      <c r="D571" s="123"/>
      <c r="L571" s="125"/>
      <c r="N571" s="126"/>
      <c r="P571" s="127"/>
      <c r="Q571" s="128"/>
      <c r="R571" s="74"/>
      <c r="AF571" s="76"/>
    </row>
    <row r="572">
      <c r="D572" s="123"/>
      <c r="L572" s="125"/>
      <c r="N572" s="126"/>
      <c r="P572" s="127"/>
      <c r="Q572" s="128"/>
      <c r="R572" s="74"/>
      <c r="AF572" s="76"/>
    </row>
    <row r="573">
      <c r="D573" s="123"/>
      <c r="L573" s="125"/>
      <c r="N573" s="126"/>
      <c r="P573" s="127"/>
      <c r="Q573" s="128"/>
      <c r="R573" s="74"/>
      <c r="AF573" s="76"/>
    </row>
    <row r="574">
      <c r="D574" s="123"/>
      <c r="L574" s="125"/>
      <c r="N574" s="126"/>
      <c r="P574" s="127"/>
      <c r="Q574" s="128"/>
      <c r="R574" s="74"/>
      <c r="AF574" s="76"/>
    </row>
    <row r="575">
      <c r="D575" s="123"/>
      <c r="L575" s="125"/>
      <c r="N575" s="126"/>
      <c r="P575" s="127"/>
      <c r="Q575" s="128"/>
      <c r="R575" s="74"/>
      <c r="AF575" s="76"/>
    </row>
    <row r="576">
      <c r="D576" s="123"/>
      <c r="L576" s="125"/>
      <c r="N576" s="126"/>
      <c r="P576" s="127"/>
      <c r="Q576" s="128"/>
      <c r="R576" s="74"/>
      <c r="AF576" s="76"/>
    </row>
    <row r="577">
      <c r="D577" s="123"/>
      <c r="L577" s="125"/>
      <c r="N577" s="126"/>
      <c r="P577" s="127"/>
      <c r="Q577" s="128"/>
      <c r="R577" s="74"/>
      <c r="AF577" s="76"/>
    </row>
    <row r="578">
      <c r="D578" s="123"/>
      <c r="L578" s="125"/>
      <c r="N578" s="126"/>
      <c r="P578" s="127"/>
      <c r="Q578" s="128"/>
      <c r="R578" s="74"/>
      <c r="AF578" s="76"/>
    </row>
    <row r="579">
      <c r="D579" s="123"/>
      <c r="L579" s="125"/>
      <c r="N579" s="126"/>
      <c r="P579" s="127"/>
      <c r="Q579" s="128"/>
      <c r="R579" s="74"/>
      <c r="AF579" s="76"/>
    </row>
    <row r="580">
      <c r="D580" s="123"/>
      <c r="L580" s="125"/>
      <c r="N580" s="126"/>
      <c r="P580" s="127"/>
      <c r="Q580" s="128"/>
      <c r="R580" s="74"/>
      <c r="AF580" s="76"/>
    </row>
    <row r="581">
      <c r="D581" s="123"/>
      <c r="L581" s="125"/>
      <c r="N581" s="126"/>
      <c r="P581" s="127"/>
      <c r="Q581" s="128"/>
      <c r="R581" s="74"/>
      <c r="AF581" s="76"/>
    </row>
    <row r="582">
      <c r="D582" s="123"/>
      <c r="L582" s="125"/>
      <c r="N582" s="126"/>
      <c r="P582" s="127"/>
      <c r="Q582" s="128"/>
      <c r="R582" s="74"/>
      <c r="AF582" s="76"/>
    </row>
    <row r="583">
      <c r="D583" s="123"/>
      <c r="L583" s="125"/>
      <c r="N583" s="126"/>
      <c r="P583" s="127"/>
      <c r="Q583" s="128"/>
      <c r="R583" s="74"/>
      <c r="AF583" s="76"/>
    </row>
    <row r="584">
      <c r="D584" s="123"/>
      <c r="L584" s="125"/>
      <c r="N584" s="126"/>
      <c r="P584" s="127"/>
      <c r="Q584" s="128"/>
      <c r="R584" s="74"/>
      <c r="AF584" s="76"/>
    </row>
    <row r="585">
      <c r="D585" s="123"/>
      <c r="L585" s="125"/>
      <c r="N585" s="126"/>
      <c r="P585" s="127"/>
      <c r="Q585" s="128"/>
      <c r="R585" s="74"/>
      <c r="AF585" s="76"/>
    </row>
    <row r="586">
      <c r="D586" s="123"/>
      <c r="L586" s="125"/>
      <c r="N586" s="126"/>
      <c r="P586" s="127"/>
      <c r="Q586" s="128"/>
      <c r="R586" s="74"/>
      <c r="AF586" s="76"/>
    </row>
    <row r="587">
      <c r="D587" s="123"/>
      <c r="L587" s="125"/>
      <c r="N587" s="126"/>
      <c r="P587" s="127"/>
      <c r="Q587" s="128"/>
      <c r="R587" s="74"/>
      <c r="AF587" s="76"/>
    </row>
    <row r="588">
      <c r="D588" s="123"/>
      <c r="L588" s="125"/>
      <c r="N588" s="126"/>
      <c r="P588" s="127"/>
      <c r="Q588" s="128"/>
      <c r="R588" s="74"/>
      <c r="AF588" s="76"/>
    </row>
    <row r="589">
      <c r="D589" s="123"/>
      <c r="L589" s="125"/>
      <c r="N589" s="126"/>
      <c r="P589" s="127"/>
      <c r="Q589" s="128"/>
      <c r="R589" s="74"/>
      <c r="AF589" s="76"/>
    </row>
    <row r="590">
      <c r="D590" s="123"/>
      <c r="L590" s="125"/>
      <c r="N590" s="126"/>
      <c r="P590" s="127"/>
      <c r="Q590" s="128"/>
      <c r="R590" s="74"/>
      <c r="AF590" s="76"/>
    </row>
    <row r="591">
      <c r="D591" s="123"/>
      <c r="L591" s="125"/>
      <c r="N591" s="126"/>
      <c r="P591" s="127"/>
      <c r="Q591" s="128"/>
      <c r="R591" s="74"/>
      <c r="AF591" s="76"/>
    </row>
    <row r="592">
      <c r="D592" s="123"/>
      <c r="L592" s="125"/>
      <c r="N592" s="126"/>
      <c r="P592" s="127"/>
      <c r="Q592" s="128"/>
      <c r="R592" s="74"/>
      <c r="AF592" s="76"/>
    </row>
    <row r="593">
      <c r="D593" s="123"/>
      <c r="L593" s="125"/>
      <c r="N593" s="126"/>
      <c r="P593" s="127"/>
      <c r="Q593" s="128"/>
      <c r="R593" s="74"/>
      <c r="AF593" s="76"/>
    </row>
    <row r="594">
      <c r="D594" s="123"/>
      <c r="L594" s="125"/>
      <c r="N594" s="126"/>
      <c r="P594" s="127"/>
      <c r="Q594" s="128"/>
      <c r="R594" s="74"/>
      <c r="AF594" s="76"/>
    </row>
    <row r="595">
      <c r="D595" s="123"/>
      <c r="L595" s="125"/>
      <c r="N595" s="126"/>
      <c r="P595" s="127"/>
      <c r="Q595" s="128"/>
      <c r="R595" s="74"/>
      <c r="AF595" s="76"/>
    </row>
    <row r="596">
      <c r="D596" s="123"/>
      <c r="L596" s="125"/>
      <c r="N596" s="126"/>
      <c r="P596" s="127"/>
      <c r="Q596" s="128"/>
      <c r="R596" s="74"/>
      <c r="AF596" s="76"/>
    </row>
    <row r="597">
      <c r="D597" s="123"/>
      <c r="L597" s="125"/>
      <c r="N597" s="126"/>
      <c r="P597" s="127"/>
      <c r="Q597" s="128"/>
      <c r="R597" s="74"/>
      <c r="AF597" s="76"/>
    </row>
    <row r="598">
      <c r="D598" s="123"/>
      <c r="L598" s="125"/>
      <c r="N598" s="126"/>
      <c r="P598" s="127"/>
      <c r="Q598" s="128"/>
      <c r="R598" s="74"/>
      <c r="AF598" s="76"/>
    </row>
    <row r="599">
      <c r="D599" s="123"/>
      <c r="L599" s="125"/>
      <c r="N599" s="126"/>
      <c r="P599" s="127"/>
      <c r="Q599" s="128"/>
      <c r="R599" s="74"/>
      <c r="AF599" s="76"/>
    </row>
    <row r="600">
      <c r="D600" s="123"/>
      <c r="L600" s="125"/>
      <c r="N600" s="126"/>
      <c r="P600" s="127"/>
      <c r="Q600" s="128"/>
      <c r="R600" s="74"/>
      <c r="AF600" s="76"/>
    </row>
    <row r="601">
      <c r="D601" s="123"/>
      <c r="L601" s="125"/>
      <c r="N601" s="126"/>
      <c r="P601" s="127"/>
      <c r="Q601" s="128"/>
      <c r="R601" s="74"/>
      <c r="AF601" s="76"/>
    </row>
    <row r="602">
      <c r="D602" s="123"/>
      <c r="L602" s="125"/>
      <c r="N602" s="126"/>
      <c r="P602" s="127"/>
      <c r="Q602" s="128"/>
      <c r="R602" s="74"/>
      <c r="AF602" s="76"/>
    </row>
    <row r="603">
      <c r="D603" s="123"/>
      <c r="L603" s="125"/>
      <c r="N603" s="126"/>
      <c r="P603" s="127"/>
      <c r="Q603" s="128"/>
      <c r="R603" s="74"/>
      <c r="AF603" s="76"/>
    </row>
    <row r="604">
      <c r="D604" s="123"/>
      <c r="L604" s="125"/>
      <c r="N604" s="126"/>
      <c r="P604" s="127"/>
      <c r="Q604" s="128"/>
      <c r="R604" s="74"/>
      <c r="AF604" s="76"/>
    </row>
    <row r="605">
      <c r="D605" s="123"/>
      <c r="L605" s="125"/>
      <c r="N605" s="126"/>
      <c r="P605" s="127"/>
      <c r="Q605" s="128"/>
      <c r="R605" s="74"/>
      <c r="AF605" s="76"/>
    </row>
    <row r="606">
      <c r="D606" s="123"/>
      <c r="L606" s="125"/>
      <c r="N606" s="126"/>
      <c r="P606" s="127"/>
      <c r="Q606" s="128"/>
      <c r="R606" s="74"/>
      <c r="AF606" s="76"/>
    </row>
    <row r="607">
      <c r="D607" s="123"/>
      <c r="L607" s="125"/>
      <c r="N607" s="126"/>
      <c r="P607" s="127"/>
      <c r="Q607" s="128"/>
      <c r="R607" s="74"/>
      <c r="AF607" s="76"/>
    </row>
    <row r="608">
      <c r="D608" s="123"/>
      <c r="L608" s="125"/>
      <c r="N608" s="126"/>
      <c r="P608" s="127"/>
      <c r="Q608" s="128"/>
      <c r="R608" s="74"/>
      <c r="AF608" s="76"/>
    </row>
    <row r="609">
      <c r="D609" s="123"/>
      <c r="L609" s="125"/>
      <c r="N609" s="126"/>
      <c r="P609" s="127"/>
      <c r="Q609" s="128"/>
      <c r="R609" s="74"/>
      <c r="AF609" s="76"/>
    </row>
    <row r="610">
      <c r="D610" s="123"/>
      <c r="L610" s="125"/>
      <c r="N610" s="126"/>
      <c r="P610" s="127"/>
      <c r="Q610" s="128"/>
      <c r="R610" s="74"/>
      <c r="AF610" s="76"/>
    </row>
    <row r="611">
      <c r="D611" s="123"/>
      <c r="L611" s="125"/>
      <c r="N611" s="126"/>
      <c r="P611" s="127"/>
      <c r="Q611" s="128"/>
      <c r="R611" s="74"/>
      <c r="AF611" s="76"/>
    </row>
    <row r="612">
      <c r="D612" s="123"/>
      <c r="L612" s="125"/>
      <c r="N612" s="126"/>
      <c r="P612" s="127"/>
      <c r="Q612" s="128"/>
      <c r="R612" s="74"/>
      <c r="AF612" s="76"/>
    </row>
    <row r="613">
      <c r="D613" s="123"/>
      <c r="L613" s="125"/>
      <c r="N613" s="126"/>
      <c r="P613" s="127"/>
      <c r="Q613" s="128"/>
      <c r="R613" s="74"/>
      <c r="AF613" s="76"/>
    </row>
    <row r="614">
      <c r="D614" s="123"/>
      <c r="L614" s="125"/>
      <c r="N614" s="126"/>
      <c r="P614" s="127"/>
      <c r="Q614" s="128"/>
      <c r="R614" s="74"/>
      <c r="AF614" s="76"/>
    </row>
    <row r="615">
      <c r="D615" s="123"/>
      <c r="L615" s="125"/>
      <c r="N615" s="126"/>
      <c r="P615" s="127"/>
      <c r="Q615" s="128"/>
      <c r="R615" s="74"/>
      <c r="AF615" s="76"/>
    </row>
    <row r="616">
      <c r="D616" s="123"/>
      <c r="L616" s="125"/>
      <c r="N616" s="126"/>
      <c r="P616" s="127"/>
      <c r="Q616" s="128"/>
      <c r="R616" s="74"/>
      <c r="AF616" s="76"/>
    </row>
    <row r="617">
      <c r="D617" s="123"/>
      <c r="L617" s="125"/>
      <c r="N617" s="126"/>
      <c r="P617" s="127"/>
      <c r="Q617" s="128"/>
      <c r="R617" s="74"/>
      <c r="AF617" s="76"/>
    </row>
    <row r="618">
      <c r="D618" s="123"/>
      <c r="L618" s="125"/>
      <c r="N618" s="126"/>
      <c r="P618" s="127"/>
      <c r="Q618" s="128"/>
      <c r="R618" s="74"/>
      <c r="AF618" s="76"/>
    </row>
    <row r="619">
      <c r="D619" s="123"/>
      <c r="L619" s="125"/>
      <c r="N619" s="126"/>
      <c r="P619" s="127"/>
      <c r="Q619" s="128"/>
      <c r="R619" s="74"/>
      <c r="AF619" s="76"/>
    </row>
    <row r="620">
      <c r="D620" s="123"/>
      <c r="L620" s="125"/>
      <c r="N620" s="126"/>
      <c r="P620" s="127"/>
      <c r="Q620" s="128"/>
      <c r="R620" s="74"/>
      <c r="AF620" s="76"/>
    </row>
    <row r="621">
      <c r="D621" s="123"/>
      <c r="L621" s="125"/>
      <c r="N621" s="126"/>
      <c r="P621" s="127"/>
      <c r="Q621" s="128"/>
      <c r="R621" s="74"/>
      <c r="AF621" s="76"/>
    </row>
    <row r="622">
      <c r="D622" s="123"/>
      <c r="L622" s="125"/>
      <c r="N622" s="126"/>
      <c r="P622" s="127"/>
      <c r="Q622" s="128"/>
      <c r="R622" s="74"/>
      <c r="AF622" s="76"/>
    </row>
    <row r="623">
      <c r="D623" s="123"/>
      <c r="L623" s="125"/>
      <c r="N623" s="126"/>
      <c r="P623" s="127"/>
      <c r="Q623" s="128"/>
      <c r="R623" s="74"/>
      <c r="AF623" s="76"/>
    </row>
    <row r="624">
      <c r="D624" s="123"/>
      <c r="L624" s="125"/>
      <c r="N624" s="126"/>
      <c r="P624" s="127"/>
      <c r="Q624" s="128"/>
      <c r="R624" s="74"/>
      <c r="AF624" s="76"/>
    </row>
    <row r="625">
      <c r="D625" s="123"/>
      <c r="L625" s="125"/>
      <c r="N625" s="126"/>
      <c r="P625" s="127"/>
      <c r="Q625" s="128"/>
      <c r="R625" s="74"/>
      <c r="AF625" s="76"/>
    </row>
    <row r="626">
      <c r="D626" s="123"/>
      <c r="L626" s="125"/>
      <c r="N626" s="126"/>
      <c r="P626" s="127"/>
      <c r="Q626" s="128"/>
      <c r="R626" s="74"/>
      <c r="AF626" s="76"/>
    </row>
    <row r="627">
      <c r="D627" s="123"/>
      <c r="L627" s="125"/>
      <c r="N627" s="126"/>
      <c r="P627" s="127"/>
      <c r="Q627" s="128"/>
      <c r="R627" s="74"/>
      <c r="AF627" s="76"/>
    </row>
    <row r="628">
      <c r="D628" s="123"/>
      <c r="L628" s="125"/>
      <c r="N628" s="126"/>
      <c r="P628" s="127"/>
      <c r="Q628" s="128"/>
      <c r="R628" s="74"/>
      <c r="AF628" s="76"/>
    </row>
    <row r="629">
      <c r="D629" s="123"/>
      <c r="L629" s="125"/>
      <c r="N629" s="126"/>
      <c r="P629" s="127"/>
      <c r="Q629" s="128"/>
      <c r="R629" s="74"/>
      <c r="AF629" s="76"/>
    </row>
    <row r="630">
      <c r="D630" s="123"/>
      <c r="L630" s="125"/>
      <c r="N630" s="126"/>
      <c r="P630" s="127"/>
      <c r="Q630" s="128"/>
      <c r="R630" s="74"/>
      <c r="AF630" s="76"/>
    </row>
    <row r="631">
      <c r="D631" s="123"/>
      <c r="L631" s="125"/>
      <c r="N631" s="126"/>
      <c r="P631" s="127"/>
      <c r="Q631" s="128"/>
      <c r="R631" s="74"/>
      <c r="AF631" s="76"/>
    </row>
    <row r="632">
      <c r="D632" s="123"/>
      <c r="L632" s="125"/>
      <c r="N632" s="126"/>
      <c r="P632" s="127"/>
      <c r="Q632" s="128"/>
      <c r="R632" s="74"/>
      <c r="AF632" s="76"/>
    </row>
    <row r="633">
      <c r="D633" s="123"/>
      <c r="L633" s="125"/>
      <c r="N633" s="126"/>
      <c r="P633" s="127"/>
      <c r="Q633" s="128"/>
      <c r="R633" s="74"/>
      <c r="AF633" s="76"/>
    </row>
    <row r="634">
      <c r="D634" s="123"/>
      <c r="L634" s="125"/>
      <c r="N634" s="126"/>
      <c r="P634" s="127"/>
      <c r="Q634" s="128"/>
      <c r="R634" s="74"/>
      <c r="AF634" s="76"/>
    </row>
    <row r="635">
      <c r="D635" s="123"/>
      <c r="L635" s="125"/>
      <c r="N635" s="126"/>
      <c r="P635" s="127"/>
      <c r="Q635" s="128"/>
      <c r="R635" s="74"/>
      <c r="AF635" s="76"/>
    </row>
    <row r="636">
      <c r="D636" s="123"/>
      <c r="L636" s="125"/>
      <c r="N636" s="126"/>
      <c r="P636" s="127"/>
      <c r="Q636" s="128"/>
      <c r="R636" s="74"/>
      <c r="AF636" s="76"/>
    </row>
    <row r="637">
      <c r="D637" s="123"/>
      <c r="L637" s="125"/>
      <c r="N637" s="126"/>
      <c r="P637" s="127"/>
      <c r="Q637" s="128"/>
      <c r="R637" s="74"/>
      <c r="AF637" s="76"/>
    </row>
    <row r="638">
      <c r="D638" s="123"/>
      <c r="L638" s="125"/>
      <c r="N638" s="126"/>
      <c r="P638" s="127"/>
      <c r="Q638" s="128"/>
      <c r="R638" s="74"/>
      <c r="AF638" s="76"/>
    </row>
    <row r="639">
      <c r="D639" s="123"/>
      <c r="L639" s="125"/>
      <c r="N639" s="126"/>
      <c r="P639" s="127"/>
      <c r="Q639" s="128"/>
      <c r="R639" s="74"/>
      <c r="AF639" s="76"/>
    </row>
    <row r="640">
      <c r="D640" s="123"/>
      <c r="L640" s="125"/>
      <c r="N640" s="126"/>
      <c r="P640" s="127"/>
      <c r="Q640" s="128"/>
      <c r="R640" s="74"/>
      <c r="AF640" s="76"/>
    </row>
    <row r="641">
      <c r="D641" s="123"/>
      <c r="L641" s="125"/>
      <c r="N641" s="126"/>
      <c r="P641" s="127"/>
      <c r="Q641" s="128"/>
      <c r="R641" s="74"/>
      <c r="AF641" s="76"/>
    </row>
    <row r="642">
      <c r="D642" s="123"/>
      <c r="L642" s="125"/>
      <c r="N642" s="126"/>
      <c r="P642" s="127"/>
      <c r="Q642" s="128"/>
      <c r="R642" s="74"/>
      <c r="AF642" s="76"/>
    </row>
    <row r="643">
      <c r="D643" s="123"/>
      <c r="L643" s="125"/>
      <c r="N643" s="126"/>
      <c r="P643" s="127"/>
      <c r="Q643" s="128"/>
      <c r="R643" s="74"/>
      <c r="AF643" s="76"/>
    </row>
    <row r="644">
      <c r="D644" s="123"/>
      <c r="L644" s="125"/>
      <c r="N644" s="126"/>
      <c r="P644" s="127"/>
      <c r="Q644" s="128"/>
      <c r="R644" s="74"/>
      <c r="AF644" s="76"/>
    </row>
    <row r="645">
      <c r="D645" s="123"/>
      <c r="L645" s="125"/>
      <c r="N645" s="126"/>
      <c r="P645" s="127"/>
      <c r="Q645" s="128"/>
      <c r="R645" s="74"/>
      <c r="AF645" s="76"/>
    </row>
    <row r="646">
      <c r="D646" s="123"/>
      <c r="L646" s="125"/>
      <c r="N646" s="126"/>
      <c r="P646" s="127"/>
      <c r="Q646" s="128"/>
      <c r="R646" s="74"/>
      <c r="AF646" s="76"/>
    </row>
    <row r="647">
      <c r="D647" s="123"/>
      <c r="L647" s="125"/>
      <c r="N647" s="126"/>
      <c r="P647" s="127"/>
      <c r="Q647" s="128"/>
      <c r="R647" s="74"/>
      <c r="AF647" s="76"/>
    </row>
    <row r="648">
      <c r="D648" s="123"/>
      <c r="L648" s="125"/>
      <c r="N648" s="126"/>
      <c r="P648" s="127"/>
      <c r="Q648" s="128"/>
      <c r="R648" s="74"/>
      <c r="AF648" s="76"/>
    </row>
    <row r="649">
      <c r="D649" s="123"/>
      <c r="L649" s="125"/>
      <c r="N649" s="126"/>
      <c r="P649" s="127"/>
      <c r="Q649" s="128"/>
      <c r="R649" s="74"/>
      <c r="AF649" s="76"/>
    </row>
    <row r="650">
      <c r="D650" s="123"/>
      <c r="L650" s="125"/>
      <c r="N650" s="126"/>
      <c r="P650" s="127"/>
      <c r="Q650" s="128"/>
      <c r="R650" s="74"/>
      <c r="AF650" s="76"/>
    </row>
    <row r="651">
      <c r="D651" s="123"/>
      <c r="L651" s="125"/>
      <c r="N651" s="126"/>
      <c r="P651" s="127"/>
      <c r="Q651" s="128"/>
      <c r="R651" s="74"/>
      <c r="AF651" s="76"/>
    </row>
    <row r="652">
      <c r="D652" s="123"/>
      <c r="L652" s="125"/>
      <c r="N652" s="126"/>
      <c r="P652" s="127"/>
      <c r="Q652" s="128"/>
      <c r="R652" s="74"/>
      <c r="AF652" s="76"/>
    </row>
    <row r="653">
      <c r="D653" s="123"/>
      <c r="L653" s="125"/>
      <c r="N653" s="126"/>
      <c r="P653" s="127"/>
      <c r="Q653" s="128"/>
      <c r="R653" s="74"/>
      <c r="AF653" s="76"/>
    </row>
    <row r="654">
      <c r="D654" s="123"/>
      <c r="L654" s="125"/>
      <c r="N654" s="126"/>
      <c r="P654" s="127"/>
      <c r="Q654" s="128"/>
      <c r="R654" s="74"/>
      <c r="AF654" s="76"/>
    </row>
    <row r="655">
      <c r="D655" s="123"/>
      <c r="L655" s="125"/>
      <c r="N655" s="126"/>
      <c r="P655" s="127"/>
      <c r="Q655" s="128"/>
      <c r="R655" s="74"/>
      <c r="AF655" s="76"/>
    </row>
    <row r="656">
      <c r="D656" s="123"/>
      <c r="L656" s="125"/>
      <c r="N656" s="126"/>
      <c r="P656" s="127"/>
      <c r="Q656" s="128"/>
      <c r="R656" s="74"/>
      <c r="AF656" s="76"/>
    </row>
    <row r="657">
      <c r="D657" s="123"/>
      <c r="L657" s="125"/>
      <c r="N657" s="126"/>
      <c r="P657" s="127"/>
      <c r="Q657" s="128"/>
      <c r="R657" s="74"/>
      <c r="AF657" s="76"/>
    </row>
    <row r="658">
      <c r="D658" s="123"/>
      <c r="L658" s="125"/>
      <c r="N658" s="126"/>
      <c r="P658" s="127"/>
      <c r="Q658" s="128"/>
      <c r="R658" s="74"/>
      <c r="AF658" s="76"/>
    </row>
    <row r="659">
      <c r="D659" s="123"/>
      <c r="L659" s="125"/>
      <c r="N659" s="126"/>
      <c r="P659" s="127"/>
      <c r="Q659" s="128"/>
      <c r="R659" s="74"/>
      <c r="AF659" s="76"/>
    </row>
    <row r="660">
      <c r="D660" s="123"/>
      <c r="L660" s="125"/>
      <c r="N660" s="126"/>
      <c r="P660" s="127"/>
      <c r="Q660" s="128"/>
      <c r="R660" s="74"/>
      <c r="AF660" s="76"/>
    </row>
    <row r="661">
      <c r="D661" s="123"/>
      <c r="L661" s="125"/>
      <c r="N661" s="126"/>
      <c r="P661" s="127"/>
      <c r="Q661" s="128"/>
      <c r="R661" s="74"/>
      <c r="AF661" s="76"/>
    </row>
    <row r="662">
      <c r="D662" s="123"/>
      <c r="L662" s="125"/>
      <c r="N662" s="126"/>
      <c r="P662" s="127"/>
      <c r="Q662" s="128"/>
      <c r="R662" s="74"/>
      <c r="AF662" s="76"/>
    </row>
    <row r="663">
      <c r="D663" s="123"/>
      <c r="L663" s="125"/>
      <c r="N663" s="126"/>
      <c r="P663" s="127"/>
      <c r="Q663" s="128"/>
      <c r="R663" s="74"/>
      <c r="AF663" s="76"/>
    </row>
    <row r="664">
      <c r="D664" s="123"/>
      <c r="L664" s="125"/>
      <c r="N664" s="126"/>
      <c r="P664" s="127"/>
      <c r="Q664" s="128"/>
      <c r="R664" s="74"/>
      <c r="AF664" s="76"/>
    </row>
    <row r="665">
      <c r="D665" s="123"/>
      <c r="L665" s="125"/>
      <c r="N665" s="126"/>
      <c r="P665" s="127"/>
      <c r="Q665" s="128"/>
      <c r="R665" s="74"/>
      <c r="AF665" s="76"/>
    </row>
    <row r="666">
      <c r="D666" s="123"/>
      <c r="L666" s="125"/>
      <c r="N666" s="126"/>
      <c r="P666" s="127"/>
      <c r="Q666" s="128"/>
      <c r="R666" s="74"/>
      <c r="AF666" s="76"/>
    </row>
    <row r="667">
      <c r="D667" s="123"/>
      <c r="L667" s="125"/>
      <c r="N667" s="126"/>
      <c r="P667" s="127"/>
      <c r="Q667" s="128"/>
      <c r="R667" s="74"/>
      <c r="AF667" s="76"/>
    </row>
    <row r="668">
      <c r="D668" s="123"/>
      <c r="L668" s="125"/>
      <c r="N668" s="126"/>
      <c r="P668" s="127"/>
      <c r="Q668" s="128"/>
      <c r="R668" s="74"/>
      <c r="AF668" s="76"/>
    </row>
    <row r="669">
      <c r="D669" s="123"/>
      <c r="L669" s="125"/>
      <c r="N669" s="126"/>
      <c r="P669" s="127"/>
      <c r="Q669" s="128"/>
      <c r="R669" s="74"/>
      <c r="AF669" s="76"/>
    </row>
    <row r="670">
      <c r="D670" s="123"/>
      <c r="L670" s="125"/>
      <c r="N670" s="126"/>
      <c r="P670" s="127"/>
      <c r="Q670" s="128"/>
      <c r="R670" s="74"/>
      <c r="AF670" s="76"/>
    </row>
    <row r="671">
      <c r="D671" s="123"/>
      <c r="L671" s="125"/>
      <c r="N671" s="126"/>
      <c r="P671" s="127"/>
      <c r="Q671" s="128"/>
      <c r="R671" s="74"/>
      <c r="AF671" s="76"/>
    </row>
    <row r="672">
      <c r="D672" s="123"/>
      <c r="L672" s="125"/>
      <c r="N672" s="126"/>
      <c r="P672" s="127"/>
      <c r="Q672" s="128"/>
      <c r="R672" s="74"/>
      <c r="AF672" s="76"/>
    </row>
    <row r="673">
      <c r="D673" s="123"/>
      <c r="L673" s="125"/>
      <c r="N673" s="126"/>
      <c r="P673" s="127"/>
      <c r="Q673" s="128"/>
      <c r="R673" s="74"/>
      <c r="AF673" s="76"/>
    </row>
    <row r="674">
      <c r="D674" s="123"/>
      <c r="L674" s="125"/>
      <c r="N674" s="126"/>
      <c r="P674" s="127"/>
      <c r="Q674" s="128"/>
      <c r="R674" s="74"/>
      <c r="AF674" s="76"/>
    </row>
    <row r="675">
      <c r="D675" s="123"/>
      <c r="L675" s="125"/>
      <c r="N675" s="126"/>
      <c r="P675" s="127"/>
      <c r="Q675" s="128"/>
      <c r="R675" s="74"/>
      <c r="AF675" s="76"/>
    </row>
    <row r="676">
      <c r="D676" s="123"/>
      <c r="L676" s="125"/>
      <c r="N676" s="126"/>
      <c r="P676" s="127"/>
      <c r="Q676" s="128"/>
      <c r="R676" s="74"/>
      <c r="AF676" s="76"/>
    </row>
    <row r="677">
      <c r="D677" s="123"/>
      <c r="L677" s="125"/>
      <c r="N677" s="126"/>
      <c r="P677" s="127"/>
      <c r="Q677" s="128"/>
      <c r="R677" s="74"/>
      <c r="AF677" s="76"/>
    </row>
    <row r="678">
      <c r="D678" s="123"/>
      <c r="L678" s="125"/>
      <c r="N678" s="126"/>
      <c r="P678" s="127"/>
      <c r="Q678" s="128"/>
      <c r="R678" s="74"/>
      <c r="AF678" s="76"/>
    </row>
    <row r="679">
      <c r="D679" s="123"/>
      <c r="L679" s="125"/>
      <c r="N679" s="126"/>
      <c r="P679" s="127"/>
      <c r="Q679" s="128"/>
      <c r="R679" s="74"/>
      <c r="AF679" s="76"/>
    </row>
    <row r="680">
      <c r="D680" s="123"/>
      <c r="L680" s="125"/>
      <c r="N680" s="126"/>
      <c r="P680" s="127"/>
      <c r="Q680" s="128"/>
      <c r="R680" s="74"/>
      <c r="AF680" s="76"/>
    </row>
    <row r="681">
      <c r="D681" s="123"/>
      <c r="L681" s="125"/>
      <c r="N681" s="126"/>
      <c r="P681" s="127"/>
      <c r="Q681" s="128"/>
      <c r="R681" s="74"/>
      <c r="AF681" s="76"/>
    </row>
    <row r="682">
      <c r="D682" s="123"/>
      <c r="L682" s="125"/>
      <c r="N682" s="126"/>
      <c r="P682" s="127"/>
      <c r="Q682" s="128"/>
      <c r="R682" s="74"/>
      <c r="AF682" s="76"/>
    </row>
    <row r="683">
      <c r="D683" s="123"/>
      <c r="L683" s="125"/>
      <c r="N683" s="126"/>
      <c r="P683" s="127"/>
      <c r="Q683" s="128"/>
      <c r="R683" s="74"/>
      <c r="AF683" s="76"/>
    </row>
    <row r="684">
      <c r="D684" s="123"/>
      <c r="L684" s="125"/>
      <c r="N684" s="126"/>
      <c r="P684" s="127"/>
      <c r="Q684" s="128"/>
      <c r="R684" s="74"/>
      <c r="AF684" s="76"/>
    </row>
    <row r="685">
      <c r="D685" s="123"/>
      <c r="L685" s="125"/>
      <c r="N685" s="126"/>
      <c r="P685" s="127"/>
      <c r="Q685" s="128"/>
      <c r="R685" s="74"/>
      <c r="AF685" s="76"/>
    </row>
    <row r="686">
      <c r="D686" s="123"/>
      <c r="L686" s="125"/>
      <c r="N686" s="126"/>
      <c r="P686" s="127"/>
      <c r="Q686" s="128"/>
      <c r="R686" s="74"/>
      <c r="AF686" s="76"/>
    </row>
    <row r="687">
      <c r="D687" s="123"/>
      <c r="L687" s="125"/>
      <c r="N687" s="126"/>
      <c r="P687" s="127"/>
      <c r="Q687" s="128"/>
      <c r="R687" s="74"/>
      <c r="AF687" s="76"/>
    </row>
    <row r="688">
      <c r="D688" s="123"/>
      <c r="L688" s="125"/>
      <c r="N688" s="126"/>
      <c r="P688" s="127"/>
      <c r="Q688" s="128"/>
      <c r="R688" s="74"/>
      <c r="AF688" s="76"/>
    </row>
    <row r="689">
      <c r="D689" s="123"/>
      <c r="L689" s="125"/>
      <c r="N689" s="126"/>
      <c r="P689" s="127"/>
      <c r="Q689" s="128"/>
      <c r="R689" s="74"/>
      <c r="AF689" s="76"/>
    </row>
    <row r="690">
      <c r="D690" s="123"/>
      <c r="L690" s="125"/>
      <c r="N690" s="126"/>
      <c r="P690" s="127"/>
      <c r="Q690" s="128"/>
      <c r="R690" s="74"/>
      <c r="AF690" s="76"/>
    </row>
    <row r="691">
      <c r="D691" s="123"/>
      <c r="L691" s="125"/>
      <c r="N691" s="126"/>
      <c r="P691" s="127"/>
      <c r="Q691" s="128"/>
      <c r="R691" s="74"/>
      <c r="AF691" s="76"/>
    </row>
    <row r="692">
      <c r="D692" s="123"/>
      <c r="L692" s="125"/>
      <c r="N692" s="126"/>
      <c r="P692" s="127"/>
      <c r="Q692" s="128"/>
      <c r="R692" s="74"/>
      <c r="AF692" s="76"/>
    </row>
    <row r="693">
      <c r="D693" s="123"/>
      <c r="L693" s="125"/>
      <c r="N693" s="126"/>
      <c r="P693" s="127"/>
      <c r="Q693" s="128"/>
      <c r="R693" s="74"/>
      <c r="AF693" s="76"/>
    </row>
    <row r="694">
      <c r="D694" s="123"/>
      <c r="L694" s="125"/>
      <c r="N694" s="126"/>
      <c r="P694" s="127"/>
      <c r="Q694" s="128"/>
      <c r="R694" s="74"/>
      <c r="AF694" s="76"/>
    </row>
    <row r="695">
      <c r="D695" s="123"/>
      <c r="L695" s="125"/>
      <c r="N695" s="126"/>
      <c r="P695" s="127"/>
      <c r="Q695" s="128"/>
      <c r="R695" s="74"/>
      <c r="AF695" s="76"/>
    </row>
    <row r="696">
      <c r="D696" s="123"/>
      <c r="L696" s="125"/>
      <c r="N696" s="126"/>
      <c r="P696" s="127"/>
      <c r="Q696" s="128"/>
      <c r="R696" s="74"/>
      <c r="AF696" s="76"/>
    </row>
    <row r="697">
      <c r="D697" s="123"/>
      <c r="L697" s="125"/>
      <c r="N697" s="126"/>
      <c r="P697" s="127"/>
      <c r="Q697" s="128"/>
      <c r="R697" s="74"/>
      <c r="AF697" s="76"/>
    </row>
    <row r="698">
      <c r="D698" s="123"/>
      <c r="L698" s="125"/>
      <c r="N698" s="126"/>
      <c r="P698" s="127"/>
      <c r="Q698" s="128"/>
      <c r="R698" s="74"/>
      <c r="AF698" s="76"/>
    </row>
    <row r="699">
      <c r="D699" s="123"/>
      <c r="L699" s="125"/>
      <c r="N699" s="126"/>
      <c r="P699" s="127"/>
      <c r="Q699" s="128"/>
      <c r="R699" s="74"/>
      <c r="AF699" s="76"/>
    </row>
    <row r="700">
      <c r="D700" s="123"/>
      <c r="L700" s="125"/>
      <c r="N700" s="126"/>
      <c r="P700" s="127"/>
      <c r="Q700" s="128"/>
      <c r="R700" s="74"/>
      <c r="AF700" s="76"/>
    </row>
    <row r="701">
      <c r="D701" s="123"/>
      <c r="L701" s="125"/>
      <c r="N701" s="126"/>
      <c r="P701" s="127"/>
      <c r="Q701" s="128"/>
      <c r="R701" s="74"/>
      <c r="AF701" s="76"/>
    </row>
    <row r="702">
      <c r="D702" s="123"/>
      <c r="L702" s="125"/>
      <c r="N702" s="126"/>
      <c r="P702" s="127"/>
      <c r="Q702" s="128"/>
      <c r="R702" s="74"/>
      <c r="AF702" s="76"/>
    </row>
    <row r="703">
      <c r="D703" s="123"/>
      <c r="L703" s="125"/>
      <c r="N703" s="126"/>
      <c r="P703" s="127"/>
      <c r="Q703" s="128"/>
      <c r="R703" s="74"/>
      <c r="AF703" s="76"/>
    </row>
    <row r="704">
      <c r="D704" s="123"/>
      <c r="L704" s="125"/>
      <c r="N704" s="126"/>
      <c r="P704" s="127"/>
      <c r="Q704" s="128"/>
      <c r="R704" s="74"/>
      <c r="AF704" s="76"/>
    </row>
    <row r="705">
      <c r="D705" s="123"/>
      <c r="L705" s="125"/>
      <c r="N705" s="126"/>
      <c r="P705" s="127"/>
      <c r="Q705" s="128"/>
      <c r="R705" s="74"/>
      <c r="AF705" s="76"/>
    </row>
    <row r="706">
      <c r="D706" s="123"/>
      <c r="L706" s="125"/>
      <c r="N706" s="126"/>
      <c r="P706" s="127"/>
      <c r="Q706" s="128"/>
      <c r="R706" s="74"/>
      <c r="AF706" s="76"/>
    </row>
    <row r="707">
      <c r="D707" s="123"/>
      <c r="L707" s="125"/>
      <c r="N707" s="126"/>
      <c r="P707" s="127"/>
      <c r="Q707" s="128"/>
      <c r="R707" s="74"/>
      <c r="AF707" s="76"/>
    </row>
    <row r="708">
      <c r="D708" s="123"/>
      <c r="L708" s="125"/>
      <c r="N708" s="126"/>
      <c r="P708" s="127"/>
      <c r="Q708" s="128"/>
      <c r="R708" s="74"/>
      <c r="AF708" s="76"/>
    </row>
    <row r="709">
      <c r="D709" s="123"/>
      <c r="L709" s="125"/>
      <c r="N709" s="126"/>
      <c r="P709" s="127"/>
      <c r="Q709" s="128"/>
      <c r="R709" s="74"/>
      <c r="AF709" s="76"/>
    </row>
    <row r="710">
      <c r="D710" s="123"/>
      <c r="L710" s="125"/>
      <c r="N710" s="126"/>
      <c r="P710" s="127"/>
      <c r="Q710" s="128"/>
      <c r="R710" s="74"/>
      <c r="AF710" s="76"/>
    </row>
    <row r="711">
      <c r="D711" s="123"/>
      <c r="L711" s="125"/>
      <c r="N711" s="126"/>
      <c r="P711" s="127"/>
      <c r="Q711" s="128"/>
      <c r="R711" s="74"/>
      <c r="AF711" s="76"/>
    </row>
    <row r="712">
      <c r="D712" s="123"/>
      <c r="L712" s="125"/>
      <c r="N712" s="126"/>
      <c r="P712" s="127"/>
      <c r="Q712" s="128"/>
      <c r="R712" s="74"/>
      <c r="AF712" s="76"/>
    </row>
    <row r="713">
      <c r="D713" s="123"/>
      <c r="L713" s="125"/>
      <c r="N713" s="126"/>
      <c r="P713" s="127"/>
      <c r="Q713" s="128"/>
      <c r="R713" s="74"/>
      <c r="AF713" s="76"/>
    </row>
    <row r="714">
      <c r="D714" s="123"/>
      <c r="L714" s="125"/>
      <c r="N714" s="126"/>
      <c r="P714" s="127"/>
      <c r="Q714" s="128"/>
      <c r="R714" s="74"/>
      <c r="AF714" s="76"/>
    </row>
    <row r="715">
      <c r="D715" s="123"/>
      <c r="L715" s="125"/>
      <c r="N715" s="126"/>
      <c r="P715" s="127"/>
      <c r="Q715" s="128"/>
      <c r="R715" s="74"/>
      <c r="AF715" s="76"/>
    </row>
    <row r="716">
      <c r="D716" s="123"/>
      <c r="L716" s="125"/>
      <c r="N716" s="126"/>
      <c r="P716" s="127"/>
      <c r="Q716" s="128"/>
      <c r="R716" s="74"/>
      <c r="AF716" s="76"/>
    </row>
    <row r="717">
      <c r="D717" s="123"/>
      <c r="L717" s="125"/>
      <c r="N717" s="126"/>
      <c r="P717" s="127"/>
      <c r="Q717" s="128"/>
      <c r="R717" s="74"/>
      <c r="AF717" s="76"/>
    </row>
    <row r="718">
      <c r="D718" s="123"/>
      <c r="L718" s="125"/>
      <c r="N718" s="126"/>
      <c r="P718" s="127"/>
      <c r="Q718" s="128"/>
      <c r="R718" s="74"/>
      <c r="AF718" s="76"/>
    </row>
    <row r="719">
      <c r="D719" s="123"/>
      <c r="L719" s="125"/>
      <c r="N719" s="126"/>
      <c r="P719" s="127"/>
      <c r="Q719" s="128"/>
      <c r="R719" s="74"/>
      <c r="AF719" s="76"/>
    </row>
    <row r="720">
      <c r="D720" s="123"/>
      <c r="L720" s="125"/>
      <c r="N720" s="126"/>
      <c r="P720" s="127"/>
      <c r="Q720" s="128"/>
      <c r="R720" s="74"/>
      <c r="AF720" s="76"/>
    </row>
    <row r="721">
      <c r="D721" s="123"/>
      <c r="L721" s="125"/>
      <c r="N721" s="126"/>
      <c r="P721" s="127"/>
      <c r="Q721" s="128"/>
      <c r="R721" s="74"/>
      <c r="AF721" s="76"/>
    </row>
    <row r="722">
      <c r="D722" s="123"/>
      <c r="L722" s="125"/>
      <c r="N722" s="126"/>
      <c r="P722" s="127"/>
      <c r="Q722" s="128"/>
      <c r="R722" s="74"/>
      <c r="AF722" s="76"/>
    </row>
    <row r="723">
      <c r="D723" s="123"/>
      <c r="L723" s="125"/>
      <c r="N723" s="126"/>
      <c r="P723" s="127"/>
      <c r="Q723" s="128"/>
      <c r="R723" s="74"/>
      <c r="AF723" s="76"/>
    </row>
    <row r="724">
      <c r="D724" s="123"/>
      <c r="L724" s="125"/>
      <c r="N724" s="126"/>
      <c r="P724" s="127"/>
      <c r="Q724" s="128"/>
      <c r="R724" s="74"/>
      <c r="AF724" s="76"/>
    </row>
    <row r="725">
      <c r="D725" s="123"/>
      <c r="L725" s="125"/>
      <c r="N725" s="126"/>
      <c r="P725" s="127"/>
      <c r="Q725" s="128"/>
      <c r="R725" s="74"/>
      <c r="AF725" s="76"/>
    </row>
    <row r="726">
      <c r="D726" s="123"/>
      <c r="L726" s="125"/>
      <c r="N726" s="126"/>
      <c r="P726" s="127"/>
      <c r="Q726" s="128"/>
      <c r="R726" s="74"/>
      <c r="AF726" s="76"/>
    </row>
    <row r="727">
      <c r="D727" s="123"/>
      <c r="L727" s="125"/>
      <c r="N727" s="126"/>
      <c r="P727" s="127"/>
      <c r="Q727" s="128"/>
      <c r="R727" s="74"/>
      <c r="AF727" s="76"/>
    </row>
    <row r="728">
      <c r="D728" s="123"/>
      <c r="L728" s="125"/>
      <c r="N728" s="126"/>
      <c r="P728" s="127"/>
      <c r="Q728" s="128"/>
      <c r="R728" s="74"/>
      <c r="AF728" s="76"/>
    </row>
    <row r="729">
      <c r="D729" s="123"/>
      <c r="L729" s="125"/>
      <c r="N729" s="126"/>
      <c r="P729" s="127"/>
      <c r="Q729" s="128"/>
      <c r="R729" s="74"/>
      <c r="AF729" s="76"/>
    </row>
    <row r="730">
      <c r="D730" s="123"/>
      <c r="L730" s="125"/>
      <c r="N730" s="126"/>
      <c r="P730" s="127"/>
      <c r="Q730" s="128"/>
      <c r="R730" s="74"/>
      <c r="AF730" s="76"/>
    </row>
    <row r="731">
      <c r="D731" s="123"/>
      <c r="L731" s="125"/>
      <c r="N731" s="126"/>
      <c r="P731" s="127"/>
      <c r="Q731" s="128"/>
      <c r="R731" s="74"/>
      <c r="AF731" s="76"/>
    </row>
    <row r="732">
      <c r="D732" s="123"/>
      <c r="L732" s="125"/>
      <c r="N732" s="126"/>
      <c r="P732" s="127"/>
      <c r="Q732" s="128"/>
      <c r="R732" s="74"/>
      <c r="AF732" s="76"/>
    </row>
    <row r="733">
      <c r="D733" s="123"/>
      <c r="L733" s="125"/>
      <c r="N733" s="126"/>
      <c r="P733" s="127"/>
      <c r="Q733" s="128"/>
      <c r="R733" s="74"/>
      <c r="AF733" s="76"/>
    </row>
    <row r="734">
      <c r="D734" s="123"/>
      <c r="L734" s="125"/>
      <c r="N734" s="126"/>
      <c r="P734" s="127"/>
      <c r="Q734" s="128"/>
      <c r="R734" s="74"/>
      <c r="AF734" s="76"/>
    </row>
    <row r="735">
      <c r="D735" s="123"/>
      <c r="L735" s="125"/>
      <c r="N735" s="126"/>
      <c r="P735" s="127"/>
      <c r="Q735" s="128"/>
      <c r="R735" s="74"/>
      <c r="AF735" s="76"/>
    </row>
    <row r="736">
      <c r="D736" s="123"/>
      <c r="L736" s="125"/>
      <c r="N736" s="126"/>
      <c r="P736" s="127"/>
      <c r="Q736" s="128"/>
      <c r="R736" s="74"/>
      <c r="AF736" s="76"/>
    </row>
    <row r="737">
      <c r="D737" s="123"/>
      <c r="L737" s="125"/>
      <c r="N737" s="126"/>
      <c r="P737" s="127"/>
      <c r="Q737" s="128"/>
      <c r="R737" s="74"/>
      <c r="AF737" s="76"/>
    </row>
    <row r="738">
      <c r="D738" s="123"/>
      <c r="L738" s="125"/>
      <c r="N738" s="126"/>
      <c r="P738" s="127"/>
      <c r="Q738" s="128"/>
      <c r="R738" s="74"/>
      <c r="AF738" s="76"/>
    </row>
    <row r="739">
      <c r="D739" s="123"/>
      <c r="L739" s="125"/>
      <c r="N739" s="126"/>
      <c r="P739" s="127"/>
      <c r="Q739" s="128"/>
      <c r="R739" s="74"/>
      <c r="AF739" s="76"/>
    </row>
    <row r="740">
      <c r="D740" s="123"/>
      <c r="L740" s="125"/>
      <c r="N740" s="126"/>
      <c r="P740" s="127"/>
      <c r="Q740" s="128"/>
      <c r="R740" s="74"/>
      <c r="AF740" s="76"/>
    </row>
    <row r="741">
      <c r="D741" s="123"/>
      <c r="L741" s="125"/>
      <c r="N741" s="126"/>
      <c r="P741" s="127"/>
      <c r="Q741" s="128"/>
      <c r="R741" s="74"/>
      <c r="AF741" s="76"/>
    </row>
    <row r="742">
      <c r="D742" s="123"/>
      <c r="L742" s="125"/>
      <c r="N742" s="126"/>
      <c r="P742" s="127"/>
      <c r="Q742" s="128"/>
      <c r="R742" s="74"/>
      <c r="AF742" s="76"/>
    </row>
    <row r="743">
      <c r="D743" s="123"/>
      <c r="L743" s="125"/>
      <c r="N743" s="126"/>
      <c r="P743" s="127"/>
      <c r="Q743" s="128"/>
      <c r="R743" s="74"/>
      <c r="AF743" s="76"/>
    </row>
    <row r="744">
      <c r="D744" s="123"/>
      <c r="L744" s="125"/>
      <c r="N744" s="126"/>
      <c r="P744" s="127"/>
      <c r="Q744" s="128"/>
      <c r="R744" s="74"/>
      <c r="AF744" s="76"/>
    </row>
    <row r="745">
      <c r="D745" s="123"/>
      <c r="L745" s="125"/>
      <c r="N745" s="126"/>
      <c r="P745" s="127"/>
      <c r="Q745" s="128"/>
      <c r="R745" s="74"/>
      <c r="AF745" s="76"/>
    </row>
    <row r="746">
      <c r="D746" s="123"/>
      <c r="L746" s="125"/>
      <c r="N746" s="126"/>
      <c r="P746" s="127"/>
      <c r="Q746" s="128"/>
      <c r="R746" s="74"/>
      <c r="AF746" s="76"/>
    </row>
    <row r="747">
      <c r="D747" s="123"/>
      <c r="L747" s="125"/>
      <c r="N747" s="126"/>
      <c r="P747" s="127"/>
      <c r="Q747" s="128"/>
      <c r="R747" s="74"/>
      <c r="AF747" s="76"/>
    </row>
    <row r="748">
      <c r="D748" s="123"/>
      <c r="L748" s="125"/>
      <c r="N748" s="126"/>
      <c r="P748" s="127"/>
      <c r="Q748" s="128"/>
      <c r="R748" s="74"/>
      <c r="AF748" s="76"/>
    </row>
    <row r="749">
      <c r="D749" s="123"/>
      <c r="L749" s="125"/>
      <c r="N749" s="126"/>
      <c r="P749" s="127"/>
      <c r="Q749" s="128"/>
      <c r="R749" s="74"/>
      <c r="AF749" s="76"/>
    </row>
    <row r="750">
      <c r="D750" s="123"/>
      <c r="L750" s="125"/>
      <c r="N750" s="126"/>
      <c r="P750" s="127"/>
      <c r="Q750" s="128"/>
      <c r="R750" s="74"/>
      <c r="AF750" s="76"/>
    </row>
    <row r="751">
      <c r="D751" s="123"/>
      <c r="L751" s="125"/>
      <c r="N751" s="126"/>
      <c r="P751" s="127"/>
      <c r="Q751" s="128"/>
      <c r="R751" s="74"/>
      <c r="AF751" s="76"/>
    </row>
    <row r="752">
      <c r="D752" s="123"/>
      <c r="L752" s="125"/>
      <c r="N752" s="126"/>
      <c r="P752" s="127"/>
      <c r="Q752" s="128"/>
      <c r="R752" s="74"/>
      <c r="AF752" s="76"/>
    </row>
    <row r="753">
      <c r="D753" s="123"/>
      <c r="L753" s="125"/>
      <c r="N753" s="126"/>
      <c r="P753" s="127"/>
      <c r="Q753" s="128"/>
      <c r="R753" s="74"/>
      <c r="AF753" s="76"/>
    </row>
    <row r="754">
      <c r="D754" s="123"/>
      <c r="L754" s="125"/>
      <c r="N754" s="126"/>
      <c r="P754" s="127"/>
      <c r="Q754" s="128"/>
      <c r="R754" s="74"/>
      <c r="AF754" s="76"/>
    </row>
    <row r="755">
      <c r="D755" s="123"/>
      <c r="L755" s="125"/>
      <c r="N755" s="126"/>
      <c r="P755" s="127"/>
      <c r="Q755" s="128"/>
      <c r="R755" s="74"/>
      <c r="AF755" s="76"/>
    </row>
    <row r="756">
      <c r="D756" s="123"/>
      <c r="L756" s="125"/>
      <c r="N756" s="126"/>
      <c r="P756" s="127"/>
      <c r="Q756" s="128"/>
      <c r="R756" s="74"/>
      <c r="AF756" s="76"/>
    </row>
    <row r="757">
      <c r="D757" s="123"/>
      <c r="L757" s="125"/>
      <c r="N757" s="126"/>
      <c r="P757" s="127"/>
      <c r="Q757" s="128"/>
      <c r="R757" s="74"/>
      <c r="AF757" s="76"/>
    </row>
    <row r="758">
      <c r="D758" s="123"/>
      <c r="L758" s="125"/>
      <c r="N758" s="126"/>
      <c r="P758" s="127"/>
      <c r="Q758" s="128"/>
      <c r="R758" s="74"/>
      <c r="AF758" s="76"/>
    </row>
    <row r="759">
      <c r="D759" s="123"/>
      <c r="L759" s="125"/>
      <c r="N759" s="126"/>
      <c r="P759" s="127"/>
      <c r="Q759" s="128"/>
      <c r="R759" s="74"/>
      <c r="AF759" s="76"/>
    </row>
    <row r="760">
      <c r="D760" s="123"/>
      <c r="L760" s="125"/>
      <c r="N760" s="126"/>
      <c r="P760" s="127"/>
      <c r="Q760" s="128"/>
      <c r="R760" s="74"/>
      <c r="AF760" s="76"/>
    </row>
    <row r="761">
      <c r="D761" s="123"/>
      <c r="L761" s="125"/>
      <c r="N761" s="126"/>
      <c r="P761" s="127"/>
      <c r="Q761" s="128"/>
      <c r="R761" s="74"/>
      <c r="AF761" s="76"/>
    </row>
    <row r="762">
      <c r="D762" s="123"/>
      <c r="L762" s="125"/>
      <c r="N762" s="126"/>
      <c r="P762" s="127"/>
      <c r="Q762" s="128"/>
      <c r="R762" s="74"/>
      <c r="AF762" s="76"/>
    </row>
    <row r="763">
      <c r="D763" s="123"/>
      <c r="L763" s="125"/>
      <c r="N763" s="126"/>
      <c r="P763" s="127"/>
      <c r="Q763" s="128"/>
      <c r="R763" s="74"/>
      <c r="AF763" s="76"/>
    </row>
    <row r="764">
      <c r="D764" s="123"/>
      <c r="L764" s="125"/>
      <c r="N764" s="126"/>
      <c r="P764" s="127"/>
      <c r="Q764" s="128"/>
      <c r="R764" s="74"/>
      <c r="AF764" s="76"/>
    </row>
    <row r="765">
      <c r="D765" s="123"/>
      <c r="L765" s="125"/>
      <c r="N765" s="126"/>
      <c r="P765" s="127"/>
      <c r="Q765" s="128"/>
      <c r="R765" s="74"/>
      <c r="AF765" s="76"/>
    </row>
    <row r="766">
      <c r="D766" s="123"/>
      <c r="L766" s="125"/>
      <c r="N766" s="126"/>
      <c r="P766" s="127"/>
      <c r="Q766" s="128"/>
      <c r="R766" s="74"/>
      <c r="AF766" s="76"/>
    </row>
    <row r="767">
      <c r="D767" s="123"/>
      <c r="L767" s="125"/>
      <c r="N767" s="126"/>
      <c r="P767" s="127"/>
      <c r="Q767" s="128"/>
      <c r="R767" s="74"/>
      <c r="AF767" s="76"/>
    </row>
    <row r="768">
      <c r="D768" s="123"/>
      <c r="L768" s="125"/>
      <c r="N768" s="126"/>
      <c r="P768" s="127"/>
      <c r="Q768" s="128"/>
      <c r="R768" s="74"/>
      <c r="AF768" s="76"/>
    </row>
    <row r="769">
      <c r="D769" s="123"/>
      <c r="L769" s="125"/>
      <c r="N769" s="126"/>
      <c r="P769" s="127"/>
      <c r="Q769" s="128"/>
      <c r="R769" s="74"/>
      <c r="AF769" s="76"/>
    </row>
    <row r="770">
      <c r="D770" s="123"/>
      <c r="L770" s="125"/>
      <c r="N770" s="126"/>
      <c r="P770" s="127"/>
      <c r="Q770" s="128"/>
      <c r="R770" s="74"/>
      <c r="AF770" s="76"/>
    </row>
    <row r="771">
      <c r="D771" s="123"/>
      <c r="L771" s="125"/>
      <c r="N771" s="126"/>
      <c r="P771" s="127"/>
      <c r="Q771" s="128"/>
      <c r="R771" s="74"/>
      <c r="AF771" s="76"/>
    </row>
    <row r="772">
      <c r="D772" s="123"/>
      <c r="L772" s="125"/>
      <c r="N772" s="126"/>
      <c r="P772" s="127"/>
      <c r="Q772" s="128"/>
      <c r="R772" s="74"/>
      <c r="AF772" s="76"/>
    </row>
    <row r="773">
      <c r="D773" s="123"/>
      <c r="L773" s="125"/>
      <c r="N773" s="126"/>
      <c r="P773" s="127"/>
      <c r="Q773" s="128"/>
      <c r="R773" s="74"/>
      <c r="AF773" s="76"/>
    </row>
    <row r="774">
      <c r="D774" s="123"/>
      <c r="L774" s="125"/>
      <c r="N774" s="126"/>
      <c r="P774" s="127"/>
      <c r="Q774" s="128"/>
      <c r="R774" s="74"/>
      <c r="AF774" s="76"/>
    </row>
    <row r="775">
      <c r="D775" s="123"/>
      <c r="L775" s="125"/>
      <c r="N775" s="126"/>
      <c r="P775" s="127"/>
      <c r="Q775" s="128"/>
      <c r="R775" s="74"/>
      <c r="AF775" s="76"/>
    </row>
    <row r="776">
      <c r="D776" s="123"/>
      <c r="L776" s="125"/>
      <c r="N776" s="126"/>
      <c r="P776" s="127"/>
      <c r="Q776" s="128"/>
      <c r="R776" s="74"/>
      <c r="AF776" s="76"/>
    </row>
    <row r="777">
      <c r="D777" s="123"/>
      <c r="L777" s="125"/>
      <c r="N777" s="126"/>
      <c r="P777" s="127"/>
      <c r="Q777" s="128"/>
      <c r="R777" s="74"/>
      <c r="AF777" s="76"/>
    </row>
    <row r="778">
      <c r="D778" s="123"/>
      <c r="L778" s="125"/>
      <c r="N778" s="126"/>
      <c r="P778" s="127"/>
      <c r="Q778" s="128"/>
      <c r="R778" s="74"/>
      <c r="AF778" s="76"/>
    </row>
    <row r="779">
      <c r="D779" s="123"/>
      <c r="L779" s="125"/>
      <c r="N779" s="126"/>
      <c r="P779" s="127"/>
      <c r="Q779" s="128"/>
      <c r="R779" s="74"/>
      <c r="AF779" s="76"/>
    </row>
    <row r="780">
      <c r="D780" s="123"/>
      <c r="L780" s="125"/>
      <c r="N780" s="126"/>
      <c r="P780" s="127"/>
      <c r="Q780" s="128"/>
      <c r="R780" s="74"/>
      <c r="AF780" s="76"/>
    </row>
    <row r="781">
      <c r="D781" s="123"/>
      <c r="L781" s="125"/>
      <c r="N781" s="126"/>
      <c r="P781" s="127"/>
      <c r="Q781" s="128"/>
      <c r="R781" s="74"/>
      <c r="AF781" s="76"/>
    </row>
    <row r="782">
      <c r="D782" s="123"/>
      <c r="L782" s="125"/>
      <c r="N782" s="126"/>
      <c r="P782" s="127"/>
      <c r="Q782" s="128"/>
      <c r="R782" s="74"/>
      <c r="AF782" s="76"/>
    </row>
    <row r="783">
      <c r="D783" s="123"/>
      <c r="L783" s="125"/>
      <c r="N783" s="126"/>
      <c r="P783" s="127"/>
      <c r="Q783" s="128"/>
      <c r="R783" s="74"/>
      <c r="AF783" s="76"/>
    </row>
    <row r="784">
      <c r="D784" s="123"/>
      <c r="L784" s="125"/>
      <c r="N784" s="126"/>
      <c r="P784" s="127"/>
      <c r="Q784" s="128"/>
      <c r="R784" s="74"/>
      <c r="AF784" s="76"/>
    </row>
    <row r="785">
      <c r="D785" s="123"/>
      <c r="L785" s="125"/>
      <c r="N785" s="126"/>
      <c r="P785" s="127"/>
      <c r="Q785" s="128"/>
      <c r="R785" s="74"/>
      <c r="AF785" s="76"/>
    </row>
    <row r="786">
      <c r="D786" s="123"/>
      <c r="L786" s="125"/>
      <c r="N786" s="126"/>
      <c r="P786" s="127"/>
      <c r="Q786" s="128"/>
      <c r="R786" s="74"/>
      <c r="AF786" s="76"/>
    </row>
    <row r="787">
      <c r="D787" s="123"/>
      <c r="L787" s="125"/>
      <c r="N787" s="126"/>
      <c r="P787" s="127"/>
      <c r="Q787" s="128"/>
      <c r="R787" s="74"/>
      <c r="AF787" s="76"/>
    </row>
    <row r="788">
      <c r="D788" s="123"/>
      <c r="L788" s="125"/>
      <c r="N788" s="126"/>
      <c r="P788" s="127"/>
      <c r="Q788" s="128"/>
      <c r="R788" s="74"/>
      <c r="AF788" s="76"/>
    </row>
    <row r="789">
      <c r="D789" s="123"/>
      <c r="L789" s="125"/>
      <c r="N789" s="126"/>
      <c r="P789" s="127"/>
      <c r="Q789" s="128"/>
      <c r="R789" s="74"/>
      <c r="AF789" s="76"/>
    </row>
    <row r="790">
      <c r="D790" s="123"/>
      <c r="L790" s="125"/>
      <c r="N790" s="126"/>
      <c r="P790" s="127"/>
      <c r="Q790" s="128"/>
      <c r="R790" s="74"/>
      <c r="AF790" s="76"/>
    </row>
    <row r="791">
      <c r="D791" s="123"/>
      <c r="L791" s="125"/>
      <c r="N791" s="126"/>
      <c r="P791" s="127"/>
      <c r="Q791" s="128"/>
      <c r="R791" s="74"/>
      <c r="AF791" s="76"/>
    </row>
    <row r="792">
      <c r="D792" s="123"/>
      <c r="L792" s="125"/>
      <c r="N792" s="126"/>
      <c r="P792" s="127"/>
      <c r="Q792" s="128"/>
      <c r="R792" s="74"/>
      <c r="AF792" s="76"/>
    </row>
    <row r="793">
      <c r="D793" s="123"/>
      <c r="L793" s="125"/>
      <c r="N793" s="126"/>
      <c r="P793" s="127"/>
      <c r="Q793" s="128"/>
      <c r="R793" s="74"/>
      <c r="AF793" s="76"/>
    </row>
    <row r="794">
      <c r="D794" s="123"/>
      <c r="L794" s="125"/>
      <c r="N794" s="126"/>
      <c r="P794" s="127"/>
      <c r="Q794" s="128"/>
      <c r="R794" s="74"/>
      <c r="AF794" s="76"/>
    </row>
    <row r="795">
      <c r="D795" s="123"/>
      <c r="L795" s="125"/>
      <c r="N795" s="126"/>
      <c r="P795" s="127"/>
      <c r="Q795" s="128"/>
      <c r="R795" s="74"/>
      <c r="AF795" s="76"/>
    </row>
    <row r="796">
      <c r="D796" s="123"/>
      <c r="L796" s="125"/>
      <c r="N796" s="126"/>
      <c r="P796" s="127"/>
      <c r="Q796" s="128"/>
      <c r="R796" s="74"/>
      <c r="AF796" s="76"/>
    </row>
    <row r="797">
      <c r="D797" s="123"/>
      <c r="L797" s="125"/>
      <c r="N797" s="126"/>
      <c r="P797" s="127"/>
      <c r="Q797" s="128"/>
      <c r="R797" s="74"/>
      <c r="AF797" s="76"/>
    </row>
    <row r="798">
      <c r="D798" s="123"/>
      <c r="L798" s="125"/>
      <c r="N798" s="126"/>
      <c r="P798" s="127"/>
      <c r="Q798" s="128"/>
      <c r="R798" s="74"/>
      <c r="AF798" s="76"/>
    </row>
    <row r="799">
      <c r="D799" s="123"/>
      <c r="L799" s="125"/>
      <c r="N799" s="126"/>
      <c r="P799" s="127"/>
      <c r="Q799" s="128"/>
      <c r="R799" s="74"/>
      <c r="AF799" s="76"/>
    </row>
    <row r="800">
      <c r="D800" s="123"/>
      <c r="L800" s="125"/>
      <c r="N800" s="126"/>
      <c r="P800" s="127"/>
      <c r="Q800" s="128"/>
      <c r="R800" s="74"/>
      <c r="AF800" s="76"/>
    </row>
    <row r="801">
      <c r="D801" s="123"/>
      <c r="L801" s="125"/>
      <c r="N801" s="126"/>
      <c r="P801" s="127"/>
      <c r="Q801" s="128"/>
      <c r="R801" s="74"/>
      <c r="AF801" s="76"/>
    </row>
    <row r="802">
      <c r="D802" s="123"/>
      <c r="L802" s="125"/>
      <c r="N802" s="126"/>
      <c r="P802" s="127"/>
      <c r="Q802" s="128"/>
      <c r="R802" s="74"/>
      <c r="AF802" s="76"/>
    </row>
    <row r="803">
      <c r="D803" s="123"/>
      <c r="L803" s="125"/>
      <c r="N803" s="126"/>
      <c r="P803" s="127"/>
      <c r="Q803" s="128"/>
      <c r="R803" s="74"/>
      <c r="AF803" s="76"/>
    </row>
    <row r="804">
      <c r="D804" s="123"/>
      <c r="L804" s="125"/>
      <c r="N804" s="126"/>
      <c r="P804" s="127"/>
      <c r="Q804" s="128"/>
      <c r="R804" s="74"/>
      <c r="AF804" s="76"/>
    </row>
    <row r="805">
      <c r="D805" s="123"/>
      <c r="L805" s="125"/>
      <c r="N805" s="126"/>
      <c r="P805" s="127"/>
      <c r="Q805" s="128"/>
      <c r="R805" s="74"/>
      <c r="AF805" s="76"/>
    </row>
    <row r="806">
      <c r="D806" s="123"/>
      <c r="L806" s="125"/>
      <c r="N806" s="126"/>
      <c r="P806" s="127"/>
      <c r="Q806" s="128"/>
      <c r="R806" s="74"/>
      <c r="AF806" s="76"/>
    </row>
    <row r="807">
      <c r="D807" s="123"/>
      <c r="L807" s="125"/>
      <c r="N807" s="126"/>
      <c r="P807" s="127"/>
      <c r="Q807" s="128"/>
      <c r="R807" s="74"/>
      <c r="AF807" s="76"/>
    </row>
    <row r="808">
      <c r="D808" s="123"/>
      <c r="L808" s="125"/>
      <c r="N808" s="126"/>
      <c r="P808" s="127"/>
      <c r="Q808" s="128"/>
      <c r="R808" s="74"/>
      <c r="AF808" s="76"/>
    </row>
    <row r="809">
      <c r="D809" s="123"/>
      <c r="L809" s="125"/>
      <c r="N809" s="126"/>
      <c r="P809" s="127"/>
      <c r="Q809" s="128"/>
      <c r="R809" s="74"/>
      <c r="AF809" s="76"/>
    </row>
    <row r="810">
      <c r="D810" s="123"/>
      <c r="L810" s="125"/>
      <c r="N810" s="126"/>
      <c r="P810" s="127"/>
      <c r="Q810" s="128"/>
      <c r="R810" s="74"/>
      <c r="AF810" s="76"/>
    </row>
    <row r="811">
      <c r="D811" s="123"/>
      <c r="L811" s="125"/>
      <c r="N811" s="126"/>
      <c r="P811" s="127"/>
      <c r="Q811" s="128"/>
      <c r="R811" s="74"/>
      <c r="AF811" s="76"/>
    </row>
    <row r="812">
      <c r="D812" s="123"/>
      <c r="L812" s="125"/>
      <c r="N812" s="126"/>
      <c r="P812" s="127"/>
      <c r="Q812" s="128"/>
      <c r="R812" s="74"/>
      <c r="AF812" s="76"/>
    </row>
    <row r="813">
      <c r="D813" s="123"/>
      <c r="L813" s="125"/>
      <c r="N813" s="126"/>
      <c r="P813" s="127"/>
      <c r="Q813" s="128"/>
      <c r="R813" s="74"/>
      <c r="AF813" s="76"/>
    </row>
    <row r="814">
      <c r="D814" s="123"/>
      <c r="L814" s="125"/>
      <c r="N814" s="126"/>
      <c r="P814" s="127"/>
      <c r="Q814" s="128"/>
      <c r="R814" s="74"/>
      <c r="AF814" s="76"/>
    </row>
    <row r="815">
      <c r="D815" s="123"/>
      <c r="L815" s="125"/>
      <c r="N815" s="126"/>
      <c r="P815" s="127"/>
      <c r="Q815" s="128"/>
      <c r="R815" s="74"/>
      <c r="AF815" s="76"/>
    </row>
    <row r="816">
      <c r="D816" s="123"/>
      <c r="L816" s="125"/>
      <c r="N816" s="126"/>
      <c r="P816" s="127"/>
      <c r="Q816" s="128"/>
      <c r="R816" s="74"/>
      <c r="AF816" s="76"/>
    </row>
    <row r="817">
      <c r="D817" s="123"/>
      <c r="L817" s="125"/>
      <c r="N817" s="126"/>
      <c r="P817" s="127"/>
      <c r="Q817" s="128"/>
      <c r="R817" s="74"/>
      <c r="AF817" s="76"/>
    </row>
    <row r="818">
      <c r="D818" s="123"/>
      <c r="L818" s="125"/>
      <c r="N818" s="126"/>
      <c r="P818" s="127"/>
      <c r="Q818" s="128"/>
      <c r="R818" s="74"/>
      <c r="AF818" s="76"/>
    </row>
    <row r="819">
      <c r="D819" s="123"/>
      <c r="L819" s="125"/>
      <c r="N819" s="126"/>
      <c r="P819" s="127"/>
      <c r="Q819" s="128"/>
      <c r="R819" s="74"/>
      <c r="AF819" s="76"/>
    </row>
    <row r="820">
      <c r="D820" s="123"/>
      <c r="L820" s="125"/>
      <c r="N820" s="126"/>
      <c r="P820" s="127"/>
      <c r="Q820" s="128"/>
      <c r="R820" s="74"/>
      <c r="AF820" s="76"/>
    </row>
    <row r="821">
      <c r="D821" s="123"/>
      <c r="L821" s="125"/>
      <c r="N821" s="126"/>
      <c r="P821" s="127"/>
      <c r="Q821" s="128"/>
      <c r="R821" s="74"/>
      <c r="AF821" s="76"/>
    </row>
    <row r="822">
      <c r="D822" s="123"/>
      <c r="L822" s="125"/>
      <c r="N822" s="126"/>
      <c r="P822" s="127"/>
      <c r="Q822" s="128"/>
      <c r="R822" s="74"/>
      <c r="AF822" s="76"/>
    </row>
    <row r="823">
      <c r="D823" s="123"/>
      <c r="L823" s="125"/>
      <c r="N823" s="126"/>
      <c r="P823" s="127"/>
      <c r="Q823" s="128"/>
      <c r="R823" s="74"/>
      <c r="AF823" s="76"/>
    </row>
    <row r="824">
      <c r="D824" s="123"/>
      <c r="L824" s="125"/>
      <c r="N824" s="126"/>
      <c r="P824" s="127"/>
      <c r="Q824" s="128"/>
      <c r="R824" s="74"/>
      <c r="AF824" s="76"/>
    </row>
    <row r="825">
      <c r="D825" s="123"/>
      <c r="L825" s="125"/>
      <c r="N825" s="126"/>
      <c r="P825" s="127"/>
      <c r="Q825" s="128"/>
      <c r="R825" s="74"/>
      <c r="AF825" s="76"/>
    </row>
    <row r="826">
      <c r="D826" s="123"/>
      <c r="L826" s="125"/>
      <c r="N826" s="126"/>
      <c r="P826" s="127"/>
      <c r="Q826" s="128"/>
      <c r="R826" s="74"/>
      <c r="AF826" s="76"/>
    </row>
    <row r="827">
      <c r="D827" s="123"/>
      <c r="L827" s="125"/>
      <c r="N827" s="126"/>
      <c r="P827" s="127"/>
      <c r="Q827" s="128"/>
      <c r="R827" s="74"/>
      <c r="AF827" s="76"/>
    </row>
    <row r="828">
      <c r="D828" s="123"/>
      <c r="L828" s="125"/>
      <c r="N828" s="126"/>
      <c r="P828" s="127"/>
      <c r="Q828" s="128"/>
      <c r="R828" s="74"/>
      <c r="AF828" s="76"/>
    </row>
    <row r="829">
      <c r="D829" s="123"/>
      <c r="L829" s="125"/>
      <c r="N829" s="126"/>
      <c r="P829" s="127"/>
      <c r="Q829" s="128"/>
      <c r="R829" s="74"/>
      <c r="AF829" s="76"/>
    </row>
    <row r="830">
      <c r="D830" s="123"/>
      <c r="L830" s="125"/>
      <c r="N830" s="126"/>
      <c r="P830" s="127"/>
      <c r="Q830" s="128"/>
      <c r="R830" s="74"/>
      <c r="AF830" s="76"/>
    </row>
    <row r="831">
      <c r="D831" s="123"/>
      <c r="L831" s="125"/>
      <c r="N831" s="126"/>
      <c r="P831" s="127"/>
      <c r="Q831" s="128"/>
      <c r="R831" s="74"/>
      <c r="AF831" s="76"/>
    </row>
    <row r="832">
      <c r="D832" s="123"/>
      <c r="L832" s="125"/>
      <c r="N832" s="126"/>
      <c r="P832" s="127"/>
      <c r="Q832" s="128"/>
      <c r="R832" s="74"/>
      <c r="AF832" s="76"/>
    </row>
    <row r="833">
      <c r="D833" s="123"/>
      <c r="L833" s="125"/>
      <c r="N833" s="126"/>
      <c r="P833" s="127"/>
      <c r="Q833" s="128"/>
      <c r="R833" s="74"/>
      <c r="AF833" s="76"/>
    </row>
    <row r="834">
      <c r="D834" s="123"/>
      <c r="L834" s="125"/>
      <c r="N834" s="126"/>
      <c r="P834" s="127"/>
      <c r="Q834" s="128"/>
      <c r="R834" s="74"/>
      <c r="AF834" s="76"/>
    </row>
    <row r="835">
      <c r="D835" s="123"/>
      <c r="L835" s="125"/>
      <c r="N835" s="126"/>
      <c r="P835" s="127"/>
      <c r="Q835" s="128"/>
      <c r="R835" s="74"/>
      <c r="AF835" s="76"/>
    </row>
    <row r="836">
      <c r="D836" s="123"/>
      <c r="L836" s="125"/>
      <c r="N836" s="126"/>
      <c r="P836" s="127"/>
      <c r="Q836" s="128"/>
      <c r="R836" s="74"/>
      <c r="AF836" s="76"/>
    </row>
    <row r="837">
      <c r="D837" s="123"/>
      <c r="L837" s="125"/>
      <c r="N837" s="126"/>
      <c r="P837" s="127"/>
      <c r="Q837" s="128"/>
      <c r="R837" s="74"/>
      <c r="AF837" s="76"/>
    </row>
    <row r="838">
      <c r="D838" s="123"/>
      <c r="L838" s="125"/>
      <c r="N838" s="126"/>
      <c r="P838" s="127"/>
      <c r="Q838" s="128"/>
      <c r="R838" s="74"/>
      <c r="AF838" s="76"/>
    </row>
    <row r="839">
      <c r="D839" s="123"/>
      <c r="L839" s="125"/>
      <c r="N839" s="126"/>
      <c r="P839" s="127"/>
      <c r="Q839" s="128"/>
      <c r="R839" s="74"/>
      <c r="AF839" s="76"/>
    </row>
    <row r="840">
      <c r="D840" s="123"/>
      <c r="L840" s="125"/>
      <c r="N840" s="126"/>
      <c r="P840" s="127"/>
      <c r="Q840" s="128"/>
      <c r="R840" s="74"/>
      <c r="AF840" s="76"/>
    </row>
    <row r="841">
      <c r="D841" s="123"/>
      <c r="L841" s="125"/>
      <c r="N841" s="126"/>
      <c r="P841" s="127"/>
      <c r="Q841" s="128"/>
      <c r="R841" s="74"/>
      <c r="AF841" s="76"/>
    </row>
    <row r="842">
      <c r="D842" s="123"/>
      <c r="L842" s="125"/>
      <c r="N842" s="126"/>
      <c r="P842" s="127"/>
      <c r="Q842" s="128"/>
      <c r="R842" s="74"/>
      <c r="AF842" s="76"/>
    </row>
    <row r="843">
      <c r="D843" s="123"/>
      <c r="L843" s="125"/>
      <c r="N843" s="126"/>
      <c r="P843" s="127"/>
      <c r="Q843" s="128"/>
      <c r="R843" s="74"/>
      <c r="AF843" s="76"/>
    </row>
    <row r="844">
      <c r="D844" s="123"/>
      <c r="L844" s="125"/>
      <c r="N844" s="126"/>
      <c r="P844" s="127"/>
      <c r="Q844" s="128"/>
      <c r="R844" s="74"/>
      <c r="AF844" s="76"/>
    </row>
    <row r="845">
      <c r="D845" s="123"/>
      <c r="L845" s="125"/>
      <c r="N845" s="126"/>
      <c r="P845" s="127"/>
      <c r="Q845" s="128"/>
      <c r="R845" s="74"/>
      <c r="AF845" s="76"/>
    </row>
    <row r="846">
      <c r="D846" s="123"/>
      <c r="L846" s="125"/>
      <c r="N846" s="126"/>
      <c r="P846" s="127"/>
      <c r="Q846" s="128"/>
      <c r="R846" s="74"/>
      <c r="AF846" s="76"/>
    </row>
    <row r="847">
      <c r="D847" s="123"/>
      <c r="L847" s="125"/>
      <c r="N847" s="126"/>
      <c r="P847" s="127"/>
      <c r="Q847" s="128"/>
      <c r="R847" s="74"/>
      <c r="AF847" s="76"/>
    </row>
    <row r="848">
      <c r="D848" s="123"/>
      <c r="L848" s="125"/>
      <c r="N848" s="126"/>
      <c r="P848" s="127"/>
      <c r="Q848" s="128"/>
      <c r="R848" s="74"/>
      <c r="AF848" s="76"/>
    </row>
    <row r="849">
      <c r="D849" s="123"/>
      <c r="L849" s="125"/>
      <c r="N849" s="126"/>
      <c r="P849" s="127"/>
      <c r="Q849" s="128"/>
      <c r="R849" s="74"/>
      <c r="AF849" s="76"/>
    </row>
    <row r="850">
      <c r="D850" s="123"/>
      <c r="L850" s="125"/>
      <c r="N850" s="126"/>
      <c r="P850" s="127"/>
      <c r="Q850" s="128"/>
      <c r="R850" s="74"/>
      <c r="AF850" s="76"/>
    </row>
    <row r="851">
      <c r="D851" s="123"/>
      <c r="L851" s="125"/>
      <c r="N851" s="126"/>
      <c r="P851" s="127"/>
      <c r="Q851" s="128"/>
      <c r="R851" s="74"/>
      <c r="AF851" s="76"/>
    </row>
    <row r="852">
      <c r="D852" s="123"/>
      <c r="L852" s="125"/>
      <c r="N852" s="126"/>
      <c r="P852" s="127"/>
      <c r="Q852" s="128"/>
      <c r="R852" s="74"/>
      <c r="AF852" s="76"/>
    </row>
    <row r="853">
      <c r="D853" s="123"/>
      <c r="L853" s="125"/>
      <c r="N853" s="126"/>
      <c r="P853" s="127"/>
      <c r="Q853" s="128"/>
      <c r="R853" s="74"/>
      <c r="AF853" s="76"/>
    </row>
    <row r="854">
      <c r="D854" s="123"/>
      <c r="L854" s="125"/>
      <c r="N854" s="126"/>
      <c r="P854" s="127"/>
      <c r="Q854" s="128"/>
      <c r="R854" s="74"/>
      <c r="AF854" s="76"/>
    </row>
    <row r="855">
      <c r="D855" s="123"/>
      <c r="L855" s="125"/>
      <c r="N855" s="126"/>
      <c r="P855" s="127"/>
      <c r="Q855" s="128"/>
      <c r="R855" s="74"/>
      <c r="AF855" s="76"/>
    </row>
    <row r="856">
      <c r="D856" s="123"/>
      <c r="L856" s="125"/>
      <c r="N856" s="126"/>
      <c r="P856" s="127"/>
      <c r="Q856" s="128"/>
      <c r="R856" s="74"/>
      <c r="AF856" s="76"/>
    </row>
    <row r="857">
      <c r="D857" s="123"/>
      <c r="L857" s="125"/>
      <c r="N857" s="126"/>
      <c r="P857" s="127"/>
      <c r="Q857" s="128"/>
      <c r="R857" s="74"/>
      <c r="AF857" s="76"/>
    </row>
    <row r="858">
      <c r="D858" s="123"/>
      <c r="L858" s="125"/>
      <c r="N858" s="126"/>
      <c r="P858" s="127"/>
      <c r="Q858" s="128"/>
      <c r="R858" s="74"/>
      <c r="AF858" s="76"/>
    </row>
    <row r="859">
      <c r="D859" s="123"/>
      <c r="L859" s="125"/>
      <c r="N859" s="126"/>
      <c r="P859" s="127"/>
      <c r="Q859" s="128"/>
      <c r="R859" s="74"/>
      <c r="AF859" s="76"/>
    </row>
    <row r="860">
      <c r="D860" s="123"/>
      <c r="L860" s="125"/>
      <c r="N860" s="126"/>
      <c r="P860" s="127"/>
      <c r="Q860" s="128"/>
      <c r="R860" s="74"/>
      <c r="AF860" s="76"/>
    </row>
    <row r="861">
      <c r="D861" s="123"/>
      <c r="L861" s="125"/>
      <c r="N861" s="126"/>
      <c r="P861" s="127"/>
      <c r="Q861" s="128"/>
      <c r="R861" s="74"/>
      <c r="AF861" s="76"/>
    </row>
    <row r="862">
      <c r="D862" s="123"/>
      <c r="L862" s="125"/>
      <c r="N862" s="126"/>
      <c r="P862" s="127"/>
      <c r="Q862" s="128"/>
      <c r="R862" s="74"/>
      <c r="AF862" s="76"/>
    </row>
    <row r="863">
      <c r="D863" s="123"/>
      <c r="L863" s="125"/>
      <c r="N863" s="126"/>
      <c r="P863" s="127"/>
      <c r="Q863" s="128"/>
      <c r="R863" s="74"/>
      <c r="AF863" s="76"/>
    </row>
    <row r="864">
      <c r="D864" s="123"/>
      <c r="L864" s="125"/>
      <c r="N864" s="126"/>
      <c r="P864" s="127"/>
      <c r="Q864" s="128"/>
      <c r="R864" s="74"/>
      <c r="AF864" s="76"/>
    </row>
    <row r="865">
      <c r="D865" s="123"/>
      <c r="L865" s="125"/>
      <c r="N865" s="126"/>
      <c r="P865" s="127"/>
      <c r="Q865" s="128"/>
      <c r="R865" s="74"/>
      <c r="AF865" s="76"/>
    </row>
    <row r="866">
      <c r="D866" s="123"/>
      <c r="L866" s="125"/>
      <c r="N866" s="126"/>
      <c r="P866" s="127"/>
      <c r="Q866" s="128"/>
      <c r="R866" s="74"/>
      <c r="AF866" s="76"/>
    </row>
    <row r="867">
      <c r="D867" s="123"/>
      <c r="L867" s="125"/>
      <c r="N867" s="126"/>
      <c r="P867" s="127"/>
      <c r="Q867" s="128"/>
      <c r="R867" s="74"/>
      <c r="AF867" s="76"/>
    </row>
    <row r="868">
      <c r="D868" s="123"/>
      <c r="L868" s="125"/>
      <c r="N868" s="126"/>
      <c r="P868" s="127"/>
      <c r="Q868" s="128"/>
      <c r="R868" s="74"/>
      <c r="AF868" s="76"/>
    </row>
    <row r="869">
      <c r="D869" s="123"/>
      <c r="L869" s="125"/>
      <c r="N869" s="126"/>
      <c r="P869" s="127"/>
      <c r="Q869" s="128"/>
      <c r="R869" s="74"/>
      <c r="AF869" s="76"/>
    </row>
    <row r="870">
      <c r="D870" s="123"/>
      <c r="L870" s="125"/>
      <c r="N870" s="126"/>
      <c r="P870" s="127"/>
      <c r="Q870" s="128"/>
      <c r="R870" s="74"/>
      <c r="AF870" s="76"/>
    </row>
    <row r="871">
      <c r="D871" s="123"/>
      <c r="L871" s="125"/>
      <c r="N871" s="126"/>
      <c r="P871" s="127"/>
      <c r="Q871" s="128"/>
      <c r="R871" s="74"/>
      <c r="AF871" s="76"/>
    </row>
    <row r="872">
      <c r="D872" s="123"/>
      <c r="L872" s="125"/>
      <c r="N872" s="126"/>
      <c r="P872" s="127"/>
      <c r="Q872" s="128"/>
      <c r="R872" s="74"/>
      <c r="AF872" s="76"/>
    </row>
    <row r="873">
      <c r="D873" s="123"/>
      <c r="L873" s="125"/>
      <c r="N873" s="126"/>
      <c r="P873" s="127"/>
      <c r="Q873" s="128"/>
      <c r="R873" s="74"/>
      <c r="AF873" s="76"/>
    </row>
    <row r="874">
      <c r="D874" s="123"/>
      <c r="L874" s="125"/>
      <c r="N874" s="126"/>
      <c r="P874" s="127"/>
      <c r="Q874" s="128"/>
      <c r="R874" s="74"/>
      <c r="AF874" s="76"/>
    </row>
    <row r="875">
      <c r="D875" s="123"/>
      <c r="L875" s="125"/>
      <c r="N875" s="126"/>
      <c r="P875" s="127"/>
      <c r="Q875" s="128"/>
      <c r="R875" s="74"/>
      <c r="AF875" s="76"/>
    </row>
    <row r="876">
      <c r="D876" s="123"/>
      <c r="L876" s="125"/>
      <c r="N876" s="126"/>
      <c r="P876" s="127"/>
      <c r="Q876" s="128"/>
      <c r="R876" s="74"/>
      <c r="AF876" s="76"/>
    </row>
    <row r="877">
      <c r="D877" s="123"/>
      <c r="L877" s="125"/>
      <c r="N877" s="126"/>
      <c r="P877" s="127"/>
      <c r="Q877" s="128"/>
      <c r="R877" s="74"/>
      <c r="AF877" s="76"/>
    </row>
    <row r="878">
      <c r="D878" s="123"/>
      <c r="L878" s="125"/>
      <c r="N878" s="126"/>
      <c r="P878" s="127"/>
      <c r="Q878" s="128"/>
      <c r="R878" s="74"/>
      <c r="AF878" s="76"/>
    </row>
    <row r="879">
      <c r="D879" s="123"/>
      <c r="L879" s="125"/>
      <c r="N879" s="126"/>
      <c r="P879" s="127"/>
      <c r="Q879" s="128"/>
      <c r="R879" s="74"/>
      <c r="AF879" s="76"/>
    </row>
    <row r="880">
      <c r="D880" s="123"/>
      <c r="L880" s="125"/>
      <c r="N880" s="126"/>
      <c r="P880" s="127"/>
      <c r="Q880" s="128"/>
      <c r="R880" s="74"/>
      <c r="AF880" s="76"/>
    </row>
    <row r="881">
      <c r="D881" s="123"/>
      <c r="L881" s="125"/>
      <c r="N881" s="126"/>
      <c r="P881" s="127"/>
      <c r="Q881" s="128"/>
      <c r="R881" s="74"/>
      <c r="AF881" s="76"/>
    </row>
    <row r="882">
      <c r="D882" s="123"/>
      <c r="L882" s="125"/>
      <c r="N882" s="126"/>
      <c r="P882" s="127"/>
      <c r="Q882" s="128"/>
      <c r="R882" s="74"/>
      <c r="AF882" s="76"/>
    </row>
    <row r="883">
      <c r="D883" s="123"/>
      <c r="L883" s="125"/>
      <c r="N883" s="126"/>
      <c r="P883" s="127"/>
      <c r="Q883" s="128"/>
      <c r="R883" s="74"/>
      <c r="AF883" s="76"/>
    </row>
    <row r="884">
      <c r="D884" s="123"/>
      <c r="L884" s="125"/>
      <c r="N884" s="126"/>
      <c r="P884" s="127"/>
      <c r="Q884" s="128"/>
      <c r="R884" s="74"/>
      <c r="AF884" s="76"/>
    </row>
    <row r="885">
      <c r="D885" s="123"/>
      <c r="L885" s="125"/>
      <c r="N885" s="126"/>
      <c r="P885" s="127"/>
      <c r="Q885" s="128"/>
      <c r="R885" s="74"/>
      <c r="AF885" s="76"/>
    </row>
    <row r="886">
      <c r="D886" s="123"/>
      <c r="L886" s="125"/>
      <c r="N886" s="126"/>
      <c r="P886" s="127"/>
      <c r="Q886" s="128"/>
      <c r="R886" s="74"/>
      <c r="AF886" s="76"/>
    </row>
    <row r="887">
      <c r="D887" s="123"/>
      <c r="L887" s="125"/>
      <c r="N887" s="126"/>
      <c r="P887" s="127"/>
      <c r="Q887" s="128"/>
      <c r="R887" s="74"/>
      <c r="AF887" s="76"/>
    </row>
    <row r="888">
      <c r="D888" s="123"/>
      <c r="L888" s="125"/>
      <c r="N888" s="126"/>
      <c r="P888" s="127"/>
      <c r="Q888" s="128"/>
      <c r="R888" s="74"/>
      <c r="AF888" s="76"/>
    </row>
    <row r="889">
      <c r="D889" s="123"/>
      <c r="L889" s="125"/>
      <c r="N889" s="126"/>
      <c r="P889" s="127"/>
      <c r="Q889" s="128"/>
      <c r="R889" s="74"/>
      <c r="AF889" s="76"/>
    </row>
    <row r="890">
      <c r="D890" s="123"/>
      <c r="L890" s="125"/>
      <c r="N890" s="126"/>
      <c r="P890" s="127"/>
      <c r="Q890" s="128"/>
      <c r="R890" s="74"/>
      <c r="AF890" s="76"/>
    </row>
    <row r="891">
      <c r="D891" s="123"/>
      <c r="L891" s="125"/>
      <c r="N891" s="126"/>
      <c r="P891" s="127"/>
      <c r="Q891" s="128"/>
      <c r="R891" s="74"/>
      <c r="AF891" s="76"/>
    </row>
    <row r="892">
      <c r="D892" s="123"/>
      <c r="L892" s="125"/>
      <c r="N892" s="126"/>
      <c r="P892" s="127"/>
      <c r="Q892" s="128"/>
      <c r="R892" s="74"/>
      <c r="AF892" s="76"/>
    </row>
    <row r="893">
      <c r="D893" s="123"/>
      <c r="L893" s="125"/>
      <c r="N893" s="126"/>
      <c r="P893" s="127"/>
      <c r="Q893" s="128"/>
      <c r="R893" s="74"/>
      <c r="AF893" s="76"/>
    </row>
    <row r="894">
      <c r="D894" s="123"/>
      <c r="L894" s="125"/>
      <c r="N894" s="126"/>
      <c r="P894" s="127"/>
      <c r="Q894" s="128"/>
      <c r="R894" s="74"/>
      <c r="AF894" s="76"/>
    </row>
    <row r="895">
      <c r="D895" s="123"/>
      <c r="L895" s="125"/>
      <c r="N895" s="126"/>
      <c r="P895" s="127"/>
      <c r="Q895" s="128"/>
      <c r="R895" s="74"/>
      <c r="AF895" s="76"/>
    </row>
    <row r="896">
      <c r="D896" s="123"/>
      <c r="L896" s="125"/>
      <c r="N896" s="126"/>
      <c r="P896" s="127"/>
      <c r="Q896" s="128"/>
      <c r="R896" s="74"/>
      <c r="AF896" s="76"/>
    </row>
    <row r="897">
      <c r="D897" s="123"/>
      <c r="L897" s="125"/>
      <c r="N897" s="126"/>
      <c r="P897" s="127"/>
      <c r="Q897" s="128"/>
      <c r="R897" s="74"/>
      <c r="AF897" s="76"/>
    </row>
    <row r="898">
      <c r="D898" s="123"/>
      <c r="L898" s="125"/>
      <c r="N898" s="126"/>
      <c r="P898" s="127"/>
      <c r="Q898" s="128"/>
      <c r="R898" s="74"/>
      <c r="AF898" s="76"/>
    </row>
    <row r="899">
      <c r="D899" s="123"/>
      <c r="L899" s="125"/>
      <c r="N899" s="126"/>
      <c r="P899" s="127"/>
      <c r="Q899" s="128"/>
      <c r="R899" s="74"/>
      <c r="AF899" s="76"/>
    </row>
    <row r="900">
      <c r="D900" s="123"/>
      <c r="L900" s="125"/>
      <c r="N900" s="126"/>
      <c r="P900" s="127"/>
      <c r="Q900" s="128"/>
      <c r="R900" s="74"/>
      <c r="AF900" s="76"/>
    </row>
    <row r="901">
      <c r="D901" s="123"/>
      <c r="L901" s="125"/>
      <c r="N901" s="126"/>
      <c r="P901" s="127"/>
      <c r="Q901" s="128"/>
      <c r="R901" s="74"/>
      <c r="AF901" s="76"/>
    </row>
    <row r="902">
      <c r="D902" s="123"/>
      <c r="L902" s="125"/>
      <c r="N902" s="126"/>
      <c r="P902" s="127"/>
      <c r="Q902" s="128"/>
      <c r="R902" s="74"/>
      <c r="AF902" s="76"/>
    </row>
    <row r="903">
      <c r="D903" s="123"/>
      <c r="L903" s="125"/>
      <c r="N903" s="126"/>
      <c r="P903" s="127"/>
      <c r="Q903" s="128"/>
      <c r="R903" s="74"/>
      <c r="AF903" s="76"/>
    </row>
    <row r="904">
      <c r="D904" s="123"/>
      <c r="L904" s="125"/>
      <c r="N904" s="126"/>
      <c r="P904" s="127"/>
      <c r="Q904" s="128"/>
      <c r="R904" s="74"/>
      <c r="AF904" s="76"/>
    </row>
    <row r="905">
      <c r="D905" s="123"/>
      <c r="L905" s="125"/>
      <c r="N905" s="126"/>
      <c r="P905" s="127"/>
      <c r="Q905" s="128"/>
      <c r="R905" s="74"/>
      <c r="AF905" s="76"/>
    </row>
    <row r="906">
      <c r="D906" s="123"/>
      <c r="L906" s="125"/>
      <c r="N906" s="126"/>
      <c r="P906" s="127"/>
      <c r="Q906" s="128"/>
      <c r="R906" s="74"/>
      <c r="AF906" s="76"/>
    </row>
    <row r="907">
      <c r="D907" s="123"/>
      <c r="L907" s="125"/>
      <c r="N907" s="126"/>
      <c r="P907" s="127"/>
      <c r="Q907" s="128"/>
      <c r="R907" s="74"/>
      <c r="AF907" s="76"/>
    </row>
    <row r="908">
      <c r="D908" s="123"/>
      <c r="L908" s="125"/>
      <c r="N908" s="126"/>
      <c r="P908" s="127"/>
      <c r="Q908" s="128"/>
      <c r="R908" s="74"/>
      <c r="AF908" s="76"/>
    </row>
    <row r="909">
      <c r="D909" s="123"/>
      <c r="L909" s="125"/>
      <c r="N909" s="126"/>
      <c r="P909" s="127"/>
      <c r="Q909" s="128"/>
      <c r="R909" s="74"/>
      <c r="AF909" s="76"/>
    </row>
    <row r="910">
      <c r="D910" s="123"/>
      <c r="L910" s="125"/>
      <c r="N910" s="126"/>
      <c r="P910" s="127"/>
      <c r="Q910" s="128"/>
      <c r="R910" s="74"/>
      <c r="AF910" s="76"/>
    </row>
    <row r="911">
      <c r="D911" s="123"/>
      <c r="L911" s="125"/>
      <c r="N911" s="126"/>
      <c r="P911" s="127"/>
      <c r="Q911" s="128"/>
      <c r="R911" s="74"/>
      <c r="AF911" s="76"/>
    </row>
    <row r="912">
      <c r="D912" s="123"/>
      <c r="L912" s="125"/>
      <c r="N912" s="126"/>
      <c r="P912" s="127"/>
      <c r="Q912" s="128"/>
      <c r="R912" s="74"/>
      <c r="AF912" s="76"/>
    </row>
    <row r="913">
      <c r="D913" s="123"/>
      <c r="L913" s="125"/>
      <c r="N913" s="126"/>
      <c r="P913" s="127"/>
      <c r="Q913" s="128"/>
      <c r="R913" s="74"/>
      <c r="AF913" s="76"/>
    </row>
    <row r="914">
      <c r="D914" s="123"/>
      <c r="L914" s="125"/>
      <c r="N914" s="126"/>
      <c r="P914" s="127"/>
      <c r="Q914" s="128"/>
      <c r="R914" s="74"/>
      <c r="AF914" s="76"/>
    </row>
    <row r="915">
      <c r="D915" s="123"/>
      <c r="L915" s="125"/>
      <c r="N915" s="126"/>
      <c r="P915" s="127"/>
      <c r="Q915" s="128"/>
      <c r="R915" s="74"/>
      <c r="AF915" s="76"/>
    </row>
    <row r="916">
      <c r="D916" s="123"/>
      <c r="L916" s="125"/>
      <c r="N916" s="126"/>
      <c r="P916" s="127"/>
      <c r="Q916" s="128"/>
      <c r="R916" s="74"/>
      <c r="AF916" s="76"/>
    </row>
    <row r="917">
      <c r="D917" s="123"/>
      <c r="L917" s="125"/>
      <c r="N917" s="126"/>
      <c r="P917" s="127"/>
      <c r="Q917" s="128"/>
      <c r="R917" s="74"/>
      <c r="AF917" s="76"/>
    </row>
    <row r="918">
      <c r="D918" s="123"/>
      <c r="L918" s="125"/>
      <c r="N918" s="126"/>
      <c r="P918" s="127"/>
      <c r="Q918" s="128"/>
      <c r="R918" s="74"/>
      <c r="AF918" s="76"/>
    </row>
    <row r="919">
      <c r="D919" s="123"/>
      <c r="L919" s="125"/>
      <c r="N919" s="126"/>
      <c r="P919" s="127"/>
      <c r="Q919" s="128"/>
      <c r="R919" s="74"/>
      <c r="AF919" s="76"/>
    </row>
    <row r="920">
      <c r="D920" s="123"/>
      <c r="L920" s="125"/>
      <c r="N920" s="126"/>
      <c r="P920" s="127"/>
      <c r="Q920" s="128"/>
      <c r="R920" s="74"/>
      <c r="AF920" s="76"/>
    </row>
    <row r="921">
      <c r="D921" s="123"/>
      <c r="L921" s="125"/>
      <c r="N921" s="126"/>
      <c r="P921" s="127"/>
      <c r="Q921" s="128"/>
      <c r="R921" s="74"/>
      <c r="AF921" s="76"/>
    </row>
    <row r="922">
      <c r="D922" s="123"/>
      <c r="L922" s="125"/>
      <c r="N922" s="126"/>
      <c r="P922" s="127"/>
      <c r="Q922" s="128"/>
      <c r="R922" s="74"/>
      <c r="AF922" s="76"/>
    </row>
    <row r="923">
      <c r="D923" s="123"/>
      <c r="L923" s="125"/>
      <c r="N923" s="126"/>
      <c r="P923" s="127"/>
      <c r="Q923" s="128"/>
      <c r="R923" s="74"/>
      <c r="AF923" s="76"/>
    </row>
    <row r="924">
      <c r="D924" s="123"/>
      <c r="L924" s="125"/>
      <c r="N924" s="126"/>
      <c r="P924" s="127"/>
      <c r="Q924" s="128"/>
      <c r="R924" s="74"/>
      <c r="AF924" s="76"/>
    </row>
    <row r="925">
      <c r="D925" s="123"/>
      <c r="L925" s="125"/>
      <c r="N925" s="126"/>
      <c r="P925" s="127"/>
      <c r="Q925" s="128"/>
      <c r="R925" s="74"/>
      <c r="AF925" s="76"/>
    </row>
    <row r="926">
      <c r="D926" s="123"/>
      <c r="L926" s="125"/>
      <c r="N926" s="126"/>
      <c r="P926" s="127"/>
      <c r="Q926" s="128"/>
      <c r="R926" s="74"/>
      <c r="AF926" s="76"/>
    </row>
    <row r="927">
      <c r="D927" s="123"/>
      <c r="L927" s="125"/>
      <c r="N927" s="126"/>
      <c r="P927" s="127"/>
      <c r="Q927" s="128"/>
      <c r="R927" s="74"/>
      <c r="AF927" s="76"/>
    </row>
    <row r="928">
      <c r="D928" s="123"/>
      <c r="L928" s="125"/>
      <c r="N928" s="126"/>
      <c r="P928" s="127"/>
      <c r="Q928" s="128"/>
      <c r="R928" s="74"/>
      <c r="AF928" s="76"/>
    </row>
    <row r="929">
      <c r="D929" s="123"/>
      <c r="L929" s="125"/>
      <c r="N929" s="126"/>
      <c r="P929" s="127"/>
      <c r="Q929" s="128"/>
      <c r="R929" s="74"/>
      <c r="AF929" s="76"/>
    </row>
    <row r="930">
      <c r="D930" s="123"/>
      <c r="L930" s="125"/>
      <c r="N930" s="126"/>
      <c r="P930" s="127"/>
      <c r="Q930" s="128"/>
      <c r="R930" s="74"/>
      <c r="AF930" s="76"/>
    </row>
    <row r="931">
      <c r="D931" s="123"/>
      <c r="L931" s="125"/>
      <c r="N931" s="126"/>
      <c r="P931" s="127"/>
      <c r="Q931" s="128"/>
      <c r="R931" s="74"/>
      <c r="AF931" s="76"/>
    </row>
    <row r="932">
      <c r="D932" s="123"/>
      <c r="L932" s="125"/>
      <c r="N932" s="126"/>
      <c r="P932" s="127"/>
      <c r="Q932" s="128"/>
      <c r="R932" s="74"/>
      <c r="AF932" s="76"/>
    </row>
    <row r="933">
      <c r="D933" s="123"/>
      <c r="L933" s="125"/>
      <c r="N933" s="126"/>
      <c r="P933" s="127"/>
      <c r="Q933" s="128"/>
      <c r="R933" s="74"/>
      <c r="AF933" s="76"/>
    </row>
    <row r="934">
      <c r="D934" s="123"/>
      <c r="L934" s="125"/>
      <c r="N934" s="126"/>
      <c r="P934" s="127"/>
      <c r="Q934" s="128"/>
      <c r="R934" s="74"/>
      <c r="AF934" s="76"/>
    </row>
    <row r="935">
      <c r="D935" s="123"/>
      <c r="L935" s="125"/>
      <c r="N935" s="126"/>
      <c r="P935" s="127"/>
      <c r="Q935" s="128"/>
      <c r="R935" s="74"/>
      <c r="AF935" s="76"/>
    </row>
    <row r="936">
      <c r="D936" s="123"/>
      <c r="L936" s="125"/>
      <c r="N936" s="126"/>
      <c r="P936" s="127"/>
      <c r="Q936" s="128"/>
      <c r="R936" s="74"/>
      <c r="AF936" s="76"/>
    </row>
    <row r="937">
      <c r="D937" s="123"/>
      <c r="L937" s="125"/>
      <c r="N937" s="126"/>
      <c r="P937" s="127"/>
      <c r="Q937" s="128"/>
      <c r="R937" s="74"/>
      <c r="AF937" s="76"/>
    </row>
    <row r="938">
      <c r="D938" s="123"/>
      <c r="L938" s="125"/>
      <c r="N938" s="126"/>
      <c r="P938" s="127"/>
      <c r="Q938" s="128"/>
      <c r="R938" s="74"/>
      <c r="AF938" s="76"/>
    </row>
    <row r="939">
      <c r="D939" s="123"/>
      <c r="L939" s="125"/>
      <c r="N939" s="126"/>
      <c r="P939" s="127"/>
      <c r="Q939" s="128"/>
      <c r="R939" s="74"/>
      <c r="AF939" s="76"/>
    </row>
    <row r="940">
      <c r="D940" s="123"/>
      <c r="L940" s="125"/>
      <c r="N940" s="126"/>
      <c r="P940" s="127"/>
      <c r="Q940" s="128"/>
      <c r="R940" s="74"/>
      <c r="AF940" s="76"/>
    </row>
    <row r="941">
      <c r="D941" s="123"/>
      <c r="L941" s="125"/>
      <c r="N941" s="126"/>
      <c r="P941" s="127"/>
      <c r="Q941" s="128"/>
      <c r="R941" s="74"/>
      <c r="AF941" s="76"/>
    </row>
    <row r="942">
      <c r="D942" s="123"/>
      <c r="L942" s="125"/>
      <c r="N942" s="126"/>
      <c r="P942" s="127"/>
      <c r="Q942" s="128"/>
      <c r="R942" s="74"/>
      <c r="AF942" s="76"/>
    </row>
    <row r="943">
      <c r="D943" s="123"/>
      <c r="L943" s="125"/>
      <c r="N943" s="126"/>
      <c r="P943" s="127"/>
      <c r="Q943" s="128"/>
      <c r="R943" s="74"/>
      <c r="AF943" s="76"/>
    </row>
    <row r="944">
      <c r="D944" s="123"/>
      <c r="L944" s="125"/>
      <c r="N944" s="126"/>
      <c r="P944" s="127"/>
      <c r="Q944" s="128"/>
      <c r="R944" s="74"/>
      <c r="AF944" s="76"/>
    </row>
    <row r="945">
      <c r="D945" s="123"/>
      <c r="L945" s="125"/>
      <c r="N945" s="126"/>
      <c r="P945" s="127"/>
      <c r="Q945" s="128"/>
      <c r="R945" s="74"/>
      <c r="AF945" s="76"/>
    </row>
    <row r="946">
      <c r="D946" s="123"/>
      <c r="L946" s="125"/>
      <c r="N946" s="126"/>
      <c r="P946" s="127"/>
      <c r="Q946" s="128"/>
      <c r="R946" s="74"/>
      <c r="AF946" s="76"/>
    </row>
    <row r="947">
      <c r="D947" s="123"/>
      <c r="L947" s="125"/>
      <c r="N947" s="126"/>
      <c r="P947" s="127"/>
      <c r="Q947" s="128"/>
      <c r="R947" s="74"/>
      <c r="AF947" s="76"/>
    </row>
    <row r="948">
      <c r="D948" s="123"/>
      <c r="L948" s="125"/>
      <c r="N948" s="126"/>
      <c r="P948" s="127"/>
      <c r="Q948" s="128"/>
      <c r="R948" s="74"/>
      <c r="AF948" s="76"/>
    </row>
    <row r="949">
      <c r="D949" s="123"/>
      <c r="L949" s="125"/>
      <c r="N949" s="126"/>
      <c r="P949" s="127"/>
      <c r="Q949" s="128"/>
      <c r="R949" s="74"/>
      <c r="AF949" s="76"/>
    </row>
    <row r="950">
      <c r="D950" s="123"/>
      <c r="L950" s="125"/>
      <c r="N950" s="126"/>
      <c r="P950" s="127"/>
      <c r="Q950" s="128"/>
      <c r="R950" s="74"/>
      <c r="AF950" s="76"/>
    </row>
    <row r="951">
      <c r="D951" s="123"/>
      <c r="L951" s="125"/>
      <c r="N951" s="126"/>
      <c r="P951" s="127"/>
      <c r="Q951" s="128"/>
      <c r="R951" s="74"/>
      <c r="AF951" s="76"/>
    </row>
    <row r="952">
      <c r="D952" s="123"/>
      <c r="L952" s="125"/>
      <c r="N952" s="126"/>
      <c r="P952" s="127"/>
      <c r="Q952" s="128"/>
      <c r="R952" s="74"/>
      <c r="AF952" s="76"/>
    </row>
    <row r="953">
      <c r="D953" s="123"/>
      <c r="L953" s="125"/>
      <c r="N953" s="126"/>
      <c r="P953" s="127"/>
      <c r="Q953" s="128"/>
      <c r="R953" s="74"/>
      <c r="AF953" s="76"/>
    </row>
    <row r="954">
      <c r="D954" s="123"/>
      <c r="L954" s="125"/>
      <c r="N954" s="126"/>
      <c r="P954" s="127"/>
      <c r="Q954" s="128"/>
      <c r="R954" s="74"/>
      <c r="AF954" s="76"/>
    </row>
    <row r="955">
      <c r="D955" s="123"/>
      <c r="L955" s="125"/>
      <c r="N955" s="126"/>
      <c r="P955" s="127"/>
      <c r="Q955" s="128"/>
      <c r="R955" s="74"/>
      <c r="AF955" s="76"/>
    </row>
    <row r="956">
      <c r="D956" s="123"/>
      <c r="L956" s="125"/>
      <c r="N956" s="126"/>
      <c r="P956" s="127"/>
      <c r="Q956" s="128"/>
      <c r="R956" s="74"/>
      <c r="AF956" s="76"/>
    </row>
    <row r="957">
      <c r="D957" s="123"/>
      <c r="L957" s="125"/>
      <c r="N957" s="126"/>
      <c r="P957" s="127"/>
      <c r="Q957" s="128"/>
      <c r="R957" s="74"/>
      <c r="AF957" s="76"/>
    </row>
    <row r="958">
      <c r="D958" s="123"/>
      <c r="L958" s="125"/>
      <c r="N958" s="126"/>
      <c r="P958" s="127"/>
      <c r="Q958" s="128"/>
      <c r="R958" s="74"/>
      <c r="AF958" s="76"/>
    </row>
    <row r="959">
      <c r="D959" s="123"/>
      <c r="L959" s="125"/>
      <c r="N959" s="126"/>
      <c r="P959" s="127"/>
      <c r="Q959" s="128"/>
      <c r="R959" s="74"/>
      <c r="AF959" s="76"/>
    </row>
    <row r="960">
      <c r="D960" s="123"/>
      <c r="L960" s="125"/>
      <c r="N960" s="126"/>
      <c r="P960" s="127"/>
      <c r="Q960" s="128"/>
      <c r="R960" s="74"/>
      <c r="AF960" s="76"/>
    </row>
    <row r="961">
      <c r="D961" s="123"/>
      <c r="L961" s="125"/>
      <c r="N961" s="126"/>
      <c r="P961" s="127"/>
      <c r="Q961" s="128"/>
      <c r="R961" s="74"/>
      <c r="AF961" s="76"/>
    </row>
    <row r="962">
      <c r="D962" s="123"/>
      <c r="L962" s="125"/>
      <c r="N962" s="126"/>
      <c r="P962" s="127"/>
      <c r="Q962" s="128"/>
      <c r="R962" s="74"/>
      <c r="AF962" s="76"/>
    </row>
    <row r="963">
      <c r="D963" s="123"/>
      <c r="L963" s="125"/>
      <c r="N963" s="126"/>
      <c r="P963" s="127"/>
      <c r="Q963" s="128"/>
      <c r="R963" s="74"/>
      <c r="AF963" s="76"/>
    </row>
    <row r="964">
      <c r="D964" s="123"/>
      <c r="L964" s="125"/>
      <c r="N964" s="126"/>
      <c r="P964" s="127"/>
      <c r="Q964" s="128"/>
      <c r="R964" s="74"/>
      <c r="AF964" s="76"/>
    </row>
    <row r="965">
      <c r="D965" s="123"/>
      <c r="L965" s="125"/>
      <c r="N965" s="126"/>
      <c r="P965" s="127"/>
      <c r="Q965" s="128"/>
      <c r="R965" s="74"/>
      <c r="AF965" s="76"/>
    </row>
    <row r="966">
      <c r="D966" s="123"/>
      <c r="L966" s="125"/>
      <c r="N966" s="126"/>
      <c r="P966" s="127"/>
      <c r="Q966" s="128"/>
      <c r="R966" s="74"/>
      <c r="AF966" s="76"/>
    </row>
    <row r="967">
      <c r="D967" s="123"/>
      <c r="L967" s="125"/>
      <c r="N967" s="126"/>
      <c r="P967" s="127"/>
      <c r="Q967" s="128"/>
      <c r="R967" s="74"/>
      <c r="AF967" s="76"/>
    </row>
    <row r="968">
      <c r="D968" s="123"/>
      <c r="L968" s="125"/>
      <c r="N968" s="126"/>
      <c r="P968" s="127"/>
      <c r="Q968" s="128"/>
      <c r="R968" s="74"/>
      <c r="AF968" s="76"/>
    </row>
    <row r="969">
      <c r="D969" s="123"/>
      <c r="L969" s="125"/>
      <c r="N969" s="126"/>
      <c r="P969" s="127"/>
      <c r="Q969" s="128"/>
      <c r="R969" s="74"/>
      <c r="AF969" s="76"/>
    </row>
    <row r="970">
      <c r="D970" s="123"/>
      <c r="L970" s="125"/>
      <c r="N970" s="126"/>
      <c r="P970" s="127"/>
      <c r="Q970" s="128"/>
      <c r="R970" s="74"/>
      <c r="AF970" s="76"/>
    </row>
    <row r="971">
      <c r="D971" s="123"/>
      <c r="L971" s="125"/>
      <c r="N971" s="126"/>
      <c r="P971" s="127"/>
      <c r="Q971" s="128"/>
      <c r="R971" s="74"/>
      <c r="AF971" s="76"/>
    </row>
    <row r="972">
      <c r="D972" s="123"/>
      <c r="L972" s="125"/>
      <c r="N972" s="126"/>
      <c r="P972" s="127"/>
      <c r="Q972" s="128"/>
      <c r="R972" s="74"/>
      <c r="AF972" s="76"/>
    </row>
    <row r="973">
      <c r="D973" s="123"/>
      <c r="L973" s="125"/>
      <c r="N973" s="126"/>
      <c r="P973" s="127"/>
      <c r="Q973" s="128"/>
      <c r="R973" s="74"/>
      <c r="AF973" s="76"/>
    </row>
    <row r="974">
      <c r="D974" s="123"/>
      <c r="L974" s="125"/>
      <c r="N974" s="126"/>
      <c r="P974" s="127"/>
      <c r="Q974" s="128"/>
      <c r="R974" s="74"/>
      <c r="AF974" s="76"/>
    </row>
    <row r="975">
      <c r="D975" s="123"/>
      <c r="L975" s="125"/>
      <c r="N975" s="126"/>
      <c r="P975" s="127"/>
      <c r="Q975" s="128"/>
      <c r="R975" s="74"/>
      <c r="AF975" s="76"/>
    </row>
    <row r="976">
      <c r="D976" s="123"/>
      <c r="L976" s="125"/>
      <c r="N976" s="126"/>
      <c r="P976" s="127"/>
      <c r="Q976" s="128"/>
      <c r="R976" s="74"/>
      <c r="AF976" s="76"/>
    </row>
    <row r="977">
      <c r="D977" s="123"/>
      <c r="L977" s="125"/>
      <c r="N977" s="126"/>
      <c r="P977" s="127"/>
      <c r="Q977" s="128"/>
      <c r="R977" s="74"/>
      <c r="AF977" s="76"/>
    </row>
    <row r="978">
      <c r="D978" s="123"/>
      <c r="L978" s="125"/>
      <c r="N978" s="126"/>
      <c r="P978" s="127"/>
      <c r="Q978" s="128"/>
      <c r="R978" s="74"/>
      <c r="AF978" s="76"/>
    </row>
    <row r="979">
      <c r="D979" s="123"/>
      <c r="L979" s="125"/>
      <c r="N979" s="126"/>
      <c r="P979" s="127"/>
      <c r="Q979" s="128"/>
      <c r="R979" s="74"/>
      <c r="AF979" s="76"/>
    </row>
    <row r="980">
      <c r="D980" s="123"/>
      <c r="L980" s="125"/>
      <c r="N980" s="126"/>
      <c r="P980" s="127"/>
      <c r="Q980" s="128"/>
      <c r="R980" s="74"/>
      <c r="AF980" s="76"/>
    </row>
    <row r="981">
      <c r="D981" s="123"/>
      <c r="L981" s="125"/>
      <c r="N981" s="126"/>
      <c r="P981" s="127"/>
      <c r="Q981" s="128"/>
      <c r="R981" s="74"/>
      <c r="AF981" s="76"/>
    </row>
    <row r="982">
      <c r="D982" s="123"/>
      <c r="L982" s="125"/>
      <c r="N982" s="126"/>
      <c r="P982" s="127"/>
      <c r="Q982" s="128"/>
      <c r="R982" s="74"/>
      <c r="AF982" s="76"/>
    </row>
    <row r="983">
      <c r="D983" s="123"/>
      <c r="L983" s="125"/>
      <c r="N983" s="126"/>
      <c r="P983" s="127"/>
      <c r="Q983" s="128"/>
      <c r="R983" s="74"/>
      <c r="AF983" s="76"/>
    </row>
    <row r="984">
      <c r="D984" s="123"/>
      <c r="L984" s="125"/>
      <c r="N984" s="126"/>
      <c r="P984" s="127"/>
      <c r="Q984" s="128"/>
      <c r="R984" s="74"/>
      <c r="AF984" s="76"/>
    </row>
    <row r="985">
      <c r="D985" s="123"/>
      <c r="L985" s="125"/>
      <c r="N985" s="126"/>
      <c r="P985" s="127"/>
      <c r="Q985" s="128"/>
      <c r="R985" s="74"/>
      <c r="AF985" s="76"/>
    </row>
    <row r="986">
      <c r="D986" s="123"/>
      <c r="L986" s="125"/>
      <c r="N986" s="126"/>
      <c r="P986" s="127"/>
      <c r="Q986" s="128"/>
      <c r="R986" s="74"/>
      <c r="AF986" s="76"/>
    </row>
    <row r="987">
      <c r="D987" s="123"/>
      <c r="L987" s="125"/>
      <c r="N987" s="126"/>
      <c r="P987" s="127"/>
      <c r="Q987" s="128"/>
      <c r="R987" s="74"/>
      <c r="AF987" s="76"/>
    </row>
    <row r="988">
      <c r="D988" s="123"/>
      <c r="L988" s="125"/>
      <c r="N988" s="126"/>
      <c r="P988" s="127"/>
      <c r="Q988" s="128"/>
      <c r="R988" s="74"/>
      <c r="AF988" s="76"/>
    </row>
    <row r="989">
      <c r="D989" s="123"/>
      <c r="L989" s="125"/>
      <c r="N989" s="126"/>
      <c r="P989" s="127"/>
      <c r="Q989" s="128"/>
      <c r="R989" s="74"/>
      <c r="AF989" s="76"/>
    </row>
    <row r="990">
      <c r="D990" s="123"/>
      <c r="L990" s="125"/>
      <c r="N990" s="126"/>
      <c r="P990" s="127"/>
      <c r="Q990" s="128"/>
      <c r="R990" s="74"/>
      <c r="AF990" s="76"/>
    </row>
    <row r="991">
      <c r="D991" s="123"/>
      <c r="L991" s="125"/>
      <c r="N991" s="126"/>
      <c r="P991" s="127"/>
      <c r="Q991" s="128"/>
      <c r="R991" s="74"/>
      <c r="AF991" s="76"/>
    </row>
    <row r="992">
      <c r="D992" s="123"/>
      <c r="L992" s="125"/>
      <c r="N992" s="126"/>
      <c r="P992" s="127"/>
      <c r="Q992" s="128"/>
      <c r="R992" s="74"/>
      <c r="AF992" s="76"/>
    </row>
    <row r="993">
      <c r="D993" s="123"/>
      <c r="L993" s="125"/>
      <c r="N993" s="126"/>
      <c r="P993" s="127"/>
      <c r="Q993" s="128"/>
      <c r="R993" s="74"/>
      <c r="AF993" s="76"/>
    </row>
    <row r="994">
      <c r="D994" s="123"/>
      <c r="L994" s="125"/>
      <c r="N994" s="126"/>
      <c r="P994" s="127"/>
      <c r="Q994" s="128"/>
      <c r="R994" s="74"/>
      <c r="AF994" s="76"/>
    </row>
    <row r="995">
      <c r="D995" s="123"/>
      <c r="L995" s="125"/>
      <c r="N995" s="126"/>
      <c r="P995" s="127"/>
      <c r="Q995" s="128"/>
      <c r="R995" s="74"/>
      <c r="AF995" s="76"/>
    </row>
    <row r="996">
      <c r="D996" s="123"/>
      <c r="L996" s="125"/>
      <c r="N996" s="126"/>
      <c r="P996" s="127"/>
      <c r="Q996" s="128"/>
      <c r="R996" s="74"/>
      <c r="AF996" s="76"/>
    </row>
    <row r="997">
      <c r="D997" s="123"/>
      <c r="L997" s="125"/>
      <c r="N997" s="126"/>
      <c r="P997" s="127"/>
      <c r="Q997" s="128"/>
      <c r="R997" s="74"/>
      <c r="AF997" s="76"/>
    </row>
    <row r="998">
      <c r="D998" s="123"/>
      <c r="L998" s="125"/>
      <c r="N998" s="126"/>
      <c r="P998" s="127"/>
      <c r="Q998" s="128"/>
      <c r="R998" s="74"/>
      <c r="AF998" s="76"/>
    </row>
    <row r="999">
      <c r="D999" s="123"/>
      <c r="L999" s="125"/>
      <c r="N999" s="126"/>
      <c r="P999" s="127"/>
      <c r="Q999" s="128"/>
      <c r="R999" s="74"/>
      <c r="AF999" s="76"/>
    </row>
    <row r="1000">
      <c r="D1000" s="123"/>
      <c r="L1000" s="125"/>
      <c r="N1000" s="126"/>
      <c r="P1000" s="127"/>
      <c r="Q1000" s="128"/>
      <c r="R1000" s="74"/>
      <c r="AF1000" s="76"/>
    </row>
    <row r="1001">
      <c r="D1001" s="123"/>
      <c r="L1001" s="125"/>
      <c r="N1001" s="126"/>
      <c r="P1001" s="127"/>
      <c r="Q1001" s="128"/>
      <c r="R1001" s="74"/>
      <c r="AF1001" s="76"/>
    </row>
    <row r="1002">
      <c r="D1002" s="123"/>
      <c r="L1002" s="125"/>
      <c r="N1002" s="126"/>
      <c r="P1002" s="127"/>
      <c r="Q1002" s="128"/>
      <c r="R1002" s="74"/>
      <c r="AF1002" s="76"/>
    </row>
    <row r="1003">
      <c r="D1003" s="123"/>
      <c r="L1003" s="125"/>
      <c r="N1003" s="126"/>
      <c r="P1003" s="127"/>
      <c r="Q1003" s="128"/>
      <c r="R1003" s="74"/>
      <c r="AF1003" s="76"/>
    </row>
    <row r="1004">
      <c r="D1004" s="123"/>
      <c r="L1004" s="125"/>
      <c r="N1004" s="126"/>
      <c r="P1004" s="127"/>
      <c r="Q1004" s="128"/>
      <c r="R1004" s="74"/>
      <c r="AF1004" s="76"/>
    </row>
    <row r="1005">
      <c r="D1005" s="123"/>
      <c r="L1005" s="125"/>
      <c r="N1005" s="126"/>
      <c r="P1005" s="127"/>
      <c r="Q1005" s="128"/>
      <c r="R1005" s="74"/>
      <c r="AF1005" s="76"/>
    </row>
    <row r="1006">
      <c r="D1006" s="123"/>
      <c r="L1006" s="125"/>
      <c r="N1006" s="126"/>
      <c r="P1006" s="127"/>
      <c r="Q1006" s="128"/>
      <c r="R1006" s="74"/>
      <c r="AF1006" s="76"/>
    </row>
    <row r="1007">
      <c r="D1007" s="123"/>
      <c r="L1007" s="125"/>
      <c r="N1007" s="126"/>
      <c r="P1007" s="127"/>
      <c r="Q1007" s="128"/>
      <c r="R1007" s="74"/>
      <c r="AF1007" s="76"/>
    </row>
    <row r="1008">
      <c r="D1008" s="123"/>
      <c r="L1008" s="125"/>
      <c r="N1008" s="126"/>
      <c r="P1008" s="127"/>
      <c r="Q1008" s="128"/>
      <c r="R1008" s="74"/>
      <c r="AF1008" s="76"/>
    </row>
    <row r="1009">
      <c r="D1009" s="123"/>
      <c r="L1009" s="125"/>
      <c r="N1009" s="126"/>
      <c r="P1009" s="127"/>
      <c r="Q1009" s="128"/>
      <c r="R1009" s="74"/>
      <c r="AF1009" s="76"/>
    </row>
    <row r="1010">
      <c r="D1010" s="123"/>
      <c r="L1010" s="125"/>
      <c r="N1010" s="126"/>
      <c r="P1010" s="127"/>
      <c r="Q1010" s="128"/>
      <c r="R1010" s="74"/>
      <c r="AF1010" s="76"/>
    </row>
    <row r="1011">
      <c r="D1011" s="123"/>
      <c r="L1011" s="125"/>
      <c r="N1011" s="126"/>
      <c r="P1011" s="127"/>
      <c r="Q1011" s="128"/>
      <c r="R1011" s="74"/>
      <c r="AF1011" s="76"/>
    </row>
    <row r="1012">
      <c r="D1012" s="123"/>
      <c r="L1012" s="125"/>
      <c r="N1012" s="126"/>
      <c r="P1012" s="127"/>
      <c r="Q1012" s="128"/>
      <c r="R1012" s="74"/>
      <c r="AF1012" s="76"/>
    </row>
    <row r="1013">
      <c r="D1013" s="123"/>
      <c r="L1013" s="125"/>
      <c r="N1013" s="126"/>
      <c r="P1013" s="127"/>
      <c r="Q1013" s="128"/>
      <c r="R1013" s="74"/>
      <c r="AF1013" s="76"/>
    </row>
    <row r="1014">
      <c r="D1014" s="123"/>
      <c r="L1014" s="125"/>
      <c r="N1014" s="126"/>
      <c r="P1014" s="127"/>
      <c r="Q1014" s="128"/>
      <c r="R1014" s="74"/>
      <c r="AF1014" s="76"/>
    </row>
    <row r="1015">
      <c r="D1015" s="123"/>
      <c r="L1015" s="125"/>
      <c r="N1015" s="126"/>
      <c r="P1015" s="127"/>
      <c r="Q1015" s="128"/>
      <c r="R1015" s="74"/>
      <c r="AF1015" s="76"/>
    </row>
    <row r="1016">
      <c r="D1016" s="123"/>
      <c r="L1016" s="125"/>
      <c r="N1016" s="126"/>
      <c r="P1016" s="127"/>
      <c r="Q1016" s="128"/>
      <c r="R1016" s="74"/>
      <c r="AF1016" s="76"/>
    </row>
    <row r="1017">
      <c r="D1017" s="123"/>
      <c r="L1017" s="125"/>
      <c r="N1017" s="126"/>
      <c r="P1017" s="127"/>
      <c r="Q1017" s="128"/>
      <c r="R1017" s="74"/>
      <c r="AF1017" s="76"/>
    </row>
    <row r="1018">
      <c r="D1018" s="123"/>
      <c r="L1018" s="125"/>
      <c r="N1018" s="126"/>
      <c r="P1018" s="127"/>
      <c r="Q1018" s="128"/>
      <c r="R1018" s="74"/>
      <c r="AF1018" s="76"/>
    </row>
    <row r="1019">
      <c r="D1019" s="123"/>
      <c r="L1019" s="125"/>
      <c r="N1019" s="126"/>
      <c r="P1019" s="127"/>
      <c r="Q1019" s="128"/>
      <c r="R1019" s="74"/>
      <c r="AF1019" s="76"/>
    </row>
    <row r="1020">
      <c r="D1020" s="123"/>
      <c r="L1020" s="125"/>
      <c r="N1020" s="126"/>
      <c r="P1020" s="127"/>
      <c r="Q1020" s="128"/>
      <c r="R1020" s="74"/>
      <c r="AF1020" s="76"/>
    </row>
    <row r="1021">
      <c r="D1021" s="123"/>
      <c r="L1021" s="125"/>
      <c r="N1021" s="126"/>
      <c r="P1021" s="127"/>
      <c r="Q1021" s="128"/>
      <c r="R1021" s="74"/>
      <c r="AF1021" s="76"/>
    </row>
    <row r="1022">
      <c r="D1022" s="123"/>
      <c r="L1022" s="125"/>
      <c r="N1022" s="126"/>
      <c r="P1022" s="127"/>
      <c r="Q1022" s="128"/>
      <c r="R1022" s="74"/>
      <c r="AF1022" s="76"/>
    </row>
    <row r="1023">
      <c r="D1023" s="123"/>
      <c r="L1023" s="125"/>
      <c r="N1023" s="126"/>
      <c r="P1023" s="127"/>
      <c r="Q1023" s="128"/>
      <c r="R1023" s="74"/>
      <c r="AF1023" s="76"/>
    </row>
    <row r="1024">
      <c r="D1024" s="123"/>
      <c r="L1024" s="125"/>
      <c r="N1024" s="126"/>
      <c r="P1024" s="127"/>
      <c r="Q1024" s="128"/>
      <c r="R1024" s="74"/>
      <c r="AF1024" s="76"/>
    </row>
    <row r="1025">
      <c r="D1025" s="123"/>
      <c r="L1025" s="125"/>
      <c r="N1025" s="126"/>
      <c r="P1025" s="127"/>
      <c r="Q1025" s="128"/>
      <c r="R1025" s="74"/>
      <c r="AF1025" s="76"/>
    </row>
    <row r="1026">
      <c r="D1026" s="123"/>
      <c r="L1026" s="125"/>
      <c r="N1026" s="126"/>
      <c r="P1026" s="127"/>
      <c r="Q1026" s="128"/>
      <c r="R1026" s="74"/>
      <c r="AF1026" s="76"/>
    </row>
    <row r="1027">
      <c r="D1027" s="123"/>
      <c r="L1027" s="125"/>
      <c r="N1027" s="126"/>
      <c r="P1027" s="127"/>
      <c r="Q1027" s="128"/>
      <c r="R1027" s="74"/>
      <c r="AF1027" s="76"/>
    </row>
    <row r="1028">
      <c r="D1028" s="123"/>
      <c r="L1028" s="125"/>
      <c r="N1028" s="126"/>
      <c r="P1028" s="127"/>
      <c r="Q1028" s="128"/>
      <c r="R1028" s="74"/>
      <c r="AF1028" s="76"/>
    </row>
    <row r="1029">
      <c r="D1029" s="123"/>
      <c r="L1029" s="125"/>
      <c r="N1029" s="126"/>
      <c r="P1029" s="127"/>
      <c r="Q1029" s="128"/>
      <c r="R1029" s="74"/>
      <c r="AF1029" s="76"/>
    </row>
    <row r="1030">
      <c r="D1030" s="123"/>
      <c r="L1030" s="125"/>
      <c r="N1030" s="126"/>
      <c r="P1030" s="127"/>
      <c r="Q1030" s="128"/>
      <c r="R1030" s="74"/>
      <c r="AF1030" s="76"/>
    </row>
    <row r="1031">
      <c r="D1031" s="123"/>
      <c r="L1031" s="125"/>
      <c r="N1031" s="126"/>
      <c r="P1031" s="127"/>
      <c r="Q1031" s="128"/>
      <c r="R1031" s="74"/>
      <c r="AF1031" s="76"/>
    </row>
    <row r="1032">
      <c r="D1032" s="123"/>
      <c r="L1032" s="125"/>
      <c r="N1032" s="126"/>
      <c r="P1032" s="127"/>
      <c r="Q1032" s="128"/>
      <c r="R1032" s="74"/>
      <c r="AF1032" s="76"/>
    </row>
    <row r="1033">
      <c r="D1033" s="123"/>
      <c r="L1033" s="125"/>
      <c r="N1033" s="126"/>
      <c r="P1033" s="127"/>
      <c r="Q1033" s="128"/>
      <c r="R1033" s="74"/>
      <c r="AF1033" s="76"/>
    </row>
    <row r="1034">
      <c r="D1034" s="123"/>
      <c r="L1034" s="125"/>
      <c r="N1034" s="126"/>
      <c r="P1034" s="127"/>
      <c r="Q1034" s="128"/>
      <c r="R1034" s="74"/>
      <c r="AF1034" s="76"/>
    </row>
    <row r="1035">
      <c r="D1035" s="123"/>
      <c r="L1035" s="125"/>
      <c r="N1035" s="126"/>
      <c r="P1035" s="127"/>
      <c r="Q1035" s="128"/>
      <c r="R1035" s="74"/>
      <c r="AF1035" s="76"/>
    </row>
    <row r="1036">
      <c r="D1036" s="123"/>
      <c r="L1036" s="125"/>
      <c r="N1036" s="126"/>
      <c r="P1036" s="127"/>
      <c r="Q1036" s="128"/>
      <c r="R1036" s="74"/>
      <c r="AF1036" s="76"/>
    </row>
    <row r="1037">
      <c r="D1037" s="123"/>
      <c r="L1037" s="125"/>
      <c r="N1037" s="126"/>
      <c r="P1037" s="127"/>
      <c r="Q1037" s="128"/>
      <c r="R1037" s="74"/>
      <c r="AF1037" s="76"/>
    </row>
    <row r="1038">
      <c r="D1038" s="123"/>
      <c r="L1038" s="125"/>
      <c r="N1038" s="126"/>
      <c r="P1038" s="127"/>
      <c r="Q1038" s="128"/>
      <c r="R1038" s="74"/>
      <c r="AF1038" s="76"/>
    </row>
    <row r="1039">
      <c r="D1039" s="123"/>
      <c r="L1039" s="125"/>
      <c r="N1039" s="126"/>
      <c r="P1039" s="127"/>
      <c r="Q1039" s="128"/>
      <c r="R1039" s="74"/>
      <c r="AF1039" s="76"/>
    </row>
    <row r="1040">
      <c r="D1040" s="123"/>
      <c r="L1040" s="125"/>
      <c r="N1040" s="126"/>
      <c r="P1040" s="127"/>
      <c r="Q1040" s="128"/>
      <c r="R1040" s="74"/>
      <c r="AF1040" s="76"/>
    </row>
    <row r="1041">
      <c r="D1041" s="123"/>
      <c r="L1041" s="125"/>
      <c r="N1041" s="126"/>
      <c r="P1041" s="127"/>
      <c r="Q1041" s="128"/>
      <c r="R1041" s="74"/>
      <c r="AF1041" s="76"/>
    </row>
    <row r="1042">
      <c r="D1042" s="123"/>
      <c r="L1042" s="125"/>
      <c r="N1042" s="126"/>
      <c r="P1042" s="127"/>
      <c r="Q1042" s="128"/>
      <c r="R1042" s="74"/>
      <c r="AF1042" s="76"/>
    </row>
    <row r="1043">
      <c r="D1043" s="123"/>
      <c r="L1043" s="125"/>
      <c r="N1043" s="126"/>
      <c r="P1043" s="127"/>
      <c r="Q1043" s="128"/>
      <c r="R1043" s="74"/>
      <c r="AF1043" s="76"/>
    </row>
    <row r="1044">
      <c r="D1044" s="123"/>
      <c r="L1044" s="125"/>
      <c r="N1044" s="126"/>
      <c r="P1044" s="127"/>
      <c r="Q1044" s="128"/>
      <c r="R1044" s="74"/>
      <c r="AF1044" s="76"/>
    </row>
    <row r="1045">
      <c r="D1045" s="123"/>
      <c r="L1045" s="125"/>
      <c r="N1045" s="126"/>
      <c r="P1045" s="127"/>
      <c r="Q1045" s="128"/>
      <c r="R1045" s="74"/>
      <c r="AF1045" s="76"/>
    </row>
    <row r="1046">
      <c r="D1046" s="123"/>
      <c r="L1046" s="125"/>
      <c r="N1046" s="126"/>
      <c r="P1046" s="127"/>
      <c r="Q1046" s="128"/>
      <c r="R1046" s="74"/>
      <c r="AF1046" s="76"/>
    </row>
    <row r="1047">
      <c r="D1047" s="123"/>
      <c r="L1047" s="125"/>
      <c r="N1047" s="126"/>
      <c r="P1047" s="127"/>
      <c r="Q1047" s="128"/>
      <c r="R1047" s="74"/>
      <c r="AF1047" s="76"/>
    </row>
    <row r="1048">
      <c r="D1048" s="123"/>
      <c r="L1048" s="125"/>
      <c r="N1048" s="126"/>
      <c r="P1048" s="127"/>
      <c r="Q1048" s="128"/>
      <c r="R1048" s="74"/>
      <c r="AF1048" s="76"/>
    </row>
    <row r="1049">
      <c r="D1049" s="123"/>
      <c r="L1049" s="125"/>
      <c r="N1049" s="126"/>
      <c r="P1049" s="127"/>
      <c r="Q1049" s="128"/>
      <c r="R1049" s="74"/>
      <c r="AF1049" s="76"/>
    </row>
    <row r="1050">
      <c r="D1050" s="123"/>
      <c r="L1050" s="125"/>
      <c r="N1050" s="126"/>
      <c r="P1050" s="127"/>
      <c r="Q1050" s="128"/>
      <c r="R1050" s="74"/>
      <c r="AF1050" s="76"/>
    </row>
    <row r="1051">
      <c r="D1051" s="123"/>
      <c r="L1051" s="125"/>
      <c r="N1051" s="126"/>
      <c r="P1051" s="127"/>
      <c r="Q1051" s="128"/>
      <c r="R1051" s="74"/>
      <c r="AF1051" s="76"/>
    </row>
    <row r="1052">
      <c r="D1052" s="123"/>
      <c r="L1052" s="125"/>
      <c r="N1052" s="126"/>
      <c r="P1052" s="127"/>
      <c r="Q1052" s="128"/>
      <c r="R1052" s="74"/>
      <c r="AF1052" s="76"/>
    </row>
    <row r="1053">
      <c r="D1053" s="123"/>
      <c r="L1053" s="125"/>
      <c r="N1053" s="126"/>
      <c r="P1053" s="127"/>
      <c r="Q1053" s="128"/>
      <c r="R1053" s="74"/>
      <c r="AF1053" s="76"/>
    </row>
    <row r="1054">
      <c r="D1054" s="123"/>
      <c r="L1054" s="125"/>
      <c r="N1054" s="126"/>
      <c r="P1054" s="127"/>
      <c r="Q1054" s="128"/>
      <c r="R1054" s="74"/>
      <c r="AF1054" s="76"/>
    </row>
    <row r="1055">
      <c r="D1055" s="123"/>
      <c r="L1055" s="125"/>
      <c r="N1055" s="126"/>
      <c r="P1055" s="127"/>
      <c r="Q1055" s="128"/>
      <c r="R1055" s="74"/>
      <c r="AF1055" s="76"/>
    </row>
    <row r="1056">
      <c r="D1056" s="123"/>
      <c r="L1056" s="125"/>
      <c r="N1056" s="126"/>
      <c r="P1056" s="127"/>
      <c r="Q1056" s="128"/>
      <c r="R1056" s="74"/>
      <c r="AF1056" s="76"/>
    </row>
    <row r="1057">
      <c r="D1057" s="123"/>
      <c r="L1057" s="125"/>
      <c r="N1057" s="126"/>
      <c r="P1057" s="127"/>
      <c r="Q1057" s="128"/>
      <c r="R1057" s="74"/>
      <c r="AF1057" s="76"/>
    </row>
    <row r="1058">
      <c r="D1058" s="123"/>
      <c r="L1058" s="125"/>
      <c r="N1058" s="126"/>
      <c r="P1058" s="127"/>
      <c r="Q1058" s="128"/>
      <c r="R1058" s="74"/>
      <c r="AF1058" s="76"/>
    </row>
    <row r="1059">
      <c r="D1059" s="123"/>
      <c r="L1059" s="125"/>
      <c r="N1059" s="126"/>
      <c r="P1059" s="127"/>
      <c r="Q1059" s="128"/>
      <c r="R1059" s="74"/>
      <c r="AF1059" s="76"/>
    </row>
    <row r="1060">
      <c r="D1060" s="123"/>
      <c r="L1060" s="125"/>
      <c r="N1060" s="126"/>
      <c r="P1060" s="127"/>
      <c r="Q1060" s="128"/>
      <c r="R1060" s="74"/>
      <c r="AF1060" s="76"/>
    </row>
    <row r="1061">
      <c r="D1061" s="123"/>
      <c r="L1061" s="125"/>
      <c r="N1061" s="126"/>
      <c r="P1061" s="127"/>
      <c r="Q1061" s="128"/>
      <c r="R1061" s="74"/>
      <c r="AF1061" s="76"/>
    </row>
    <row r="1062">
      <c r="D1062" s="123"/>
      <c r="L1062" s="125"/>
      <c r="N1062" s="126"/>
      <c r="P1062" s="127"/>
      <c r="Q1062" s="128"/>
      <c r="R1062" s="74"/>
      <c r="AF1062" s="76"/>
    </row>
  </sheetData>
  <mergeCells count="90">
    <mergeCell ref="F2:I2"/>
    <mergeCell ref="N2:N3"/>
    <mergeCell ref="AQ2:AR2"/>
    <mergeCell ref="AS2:AS3"/>
    <mergeCell ref="AT2:AT3"/>
    <mergeCell ref="AY2:AY3"/>
    <mergeCell ref="AZ2:AZ3"/>
    <mergeCell ref="BA2:BB2"/>
    <mergeCell ref="A1:A3"/>
    <mergeCell ref="B1:B2"/>
    <mergeCell ref="C1:C2"/>
    <mergeCell ref="E1:Q1"/>
    <mergeCell ref="S1:AE1"/>
    <mergeCell ref="AG1:AS1"/>
    <mergeCell ref="AT1:BC1"/>
    <mergeCell ref="BC2:BC3"/>
    <mergeCell ref="D1:D2"/>
    <mergeCell ref="E2:E3"/>
    <mergeCell ref="A145:A147"/>
    <mergeCell ref="B145:B146"/>
    <mergeCell ref="C145:C146"/>
    <mergeCell ref="D145:D146"/>
    <mergeCell ref="E145:Q145"/>
    <mergeCell ref="Q146:Q147"/>
    <mergeCell ref="E156:E157"/>
    <mergeCell ref="F156:I156"/>
    <mergeCell ref="N156:N157"/>
    <mergeCell ref="O156:P156"/>
    <mergeCell ref="E146:E147"/>
    <mergeCell ref="F146:I146"/>
    <mergeCell ref="A155:A157"/>
    <mergeCell ref="B155:B156"/>
    <mergeCell ref="C155:C156"/>
    <mergeCell ref="D155:D156"/>
    <mergeCell ref="E155:Q155"/>
    <mergeCell ref="Q156:Q157"/>
    <mergeCell ref="O2:P2"/>
    <mergeCell ref="Q2:Q3"/>
    <mergeCell ref="S2:S3"/>
    <mergeCell ref="T2:W2"/>
    <mergeCell ref="S145:AE145"/>
    <mergeCell ref="AA2:AA3"/>
    <mergeCell ref="AB2:AB3"/>
    <mergeCell ref="AC2:AD2"/>
    <mergeCell ref="AE2:AE3"/>
    <mergeCell ref="AG2:AG3"/>
    <mergeCell ref="AH2:AK2"/>
    <mergeCell ref="AG145:AS145"/>
    <mergeCell ref="AT145:BC145"/>
    <mergeCell ref="AO2:AO3"/>
    <mergeCell ref="AP2:AP3"/>
    <mergeCell ref="AZ146:AZ147"/>
    <mergeCell ref="BA146:BB146"/>
    <mergeCell ref="BC146:BC147"/>
    <mergeCell ref="N146:N147"/>
    <mergeCell ref="O146:P146"/>
    <mergeCell ref="S146:S147"/>
    <mergeCell ref="T146:W146"/>
    <mergeCell ref="AA146:AA147"/>
    <mergeCell ref="AB146:AB147"/>
    <mergeCell ref="AC146:AD146"/>
    <mergeCell ref="AT156:AT157"/>
    <mergeCell ref="AY156:AY157"/>
    <mergeCell ref="S155:AE155"/>
    <mergeCell ref="AG155:AS155"/>
    <mergeCell ref="AT155:BC155"/>
    <mergeCell ref="S156:S157"/>
    <mergeCell ref="T156:W156"/>
    <mergeCell ref="AA156:AA157"/>
    <mergeCell ref="AB156:AB157"/>
    <mergeCell ref="BC156:BC157"/>
    <mergeCell ref="AT146:AT147"/>
    <mergeCell ref="AY146:AY147"/>
    <mergeCell ref="AE146:AE147"/>
    <mergeCell ref="AG146:AG147"/>
    <mergeCell ref="AH146:AK146"/>
    <mergeCell ref="AO146:AO147"/>
    <mergeCell ref="AP146:AP147"/>
    <mergeCell ref="AQ146:AR146"/>
    <mergeCell ref="AS146:AS147"/>
    <mergeCell ref="AC156:AD156"/>
    <mergeCell ref="AE156:AE157"/>
    <mergeCell ref="AG156:AG157"/>
    <mergeCell ref="AH156:AK156"/>
    <mergeCell ref="AO156:AO157"/>
    <mergeCell ref="AP156:AP157"/>
    <mergeCell ref="AQ156:AR156"/>
    <mergeCell ref="AS156:AS157"/>
    <mergeCell ref="AZ156:AZ157"/>
    <mergeCell ref="BA156:BB156"/>
  </mergeCells>
  <conditionalFormatting sqref="M5:M20 AA5:AA20 AO5:AO20 M22:M45 AA22:AA45 AO22:AO45 M47:M82 AA47:AA69 AO47:AO82 M84:M97 AA84:AA97 AO84:AO97 M99:M103 AA99:AA103 AO99:AO103 M105 AO105 M107:M116 AA107:AA116 AO107:AO116 M118:M124 AA118:AA124 AO118:AO124 M126:M144 AA126:AA128 AO126:AO128 M148:M154 M158:M1062">
    <cfRule type="cellIs" dxfId="0" priority="1" operator="lessThan">
      <formula>"0%"</formula>
    </cfRule>
  </conditionalFormatting>
  <conditionalFormatting sqref="M5:M20 AA5:AA20 AO5:AO20 M22:M45 AA22:AA45 AO22:AO45 M47:M82 AA47:AA69 AO47:AO82 M84:M97 AA84:AA97 AO84:AO97 M99:M103 AA99:AA103 AO99:AO103 M105 AO105 M107:M116 AA107:AA116 AO107:AO116 M118:M124 AA118:AA124 AO118:AO124 M126:M144 AA126:AA128 AO126:AO128 M148:M154 M158:M1062">
    <cfRule type="cellIs" dxfId="1" priority="2" operator="lessThan">
      <formula>"2.50%"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0.0"/>
    <col customWidth="1" min="2" max="2" width="10.5"/>
    <col customWidth="1" min="5" max="5" width="6.13"/>
    <col customWidth="1" min="6" max="6" width="10.0"/>
    <col customWidth="1" min="7" max="7" width="6.13"/>
    <col customWidth="1" min="8" max="8" width="6.0"/>
    <col customWidth="1" hidden="1" min="9" max="9" width="11.0"/>
    <col customWidth="1" min="10" max="10" width="8.75"/>
    <col customWidth="1" min="11" max="11" width="9.88"/>
    <col customWidth="1" min="12" max="12" width="9.38"/>
    <col customWidth="1" min="13" max="13" width="9.63"/>
    <col customWidth="1" min="14" max="14" width="7.63"/>
    <col customWidth="1" min="16" max="16" width="9.75"/>
    <col customWidth="1" min="17" max="17" width="10.75"/>
    <col customWidth="1" min="18" max="18" width="5.0"/>
    <col customWidth="1" min="19" max="19" width="6.88"/>
    <col customWidth="1" min="20" max="20" width="13.38"/>
    <col customWidth="1" min="21" max="21" width="7.38"/>
    <col customWidth="1" min="22" max="22" width="6.13"/>
    <col customWidth="1" hidden="1" min="23" max="23" width="5.13"/>
    <col customWidth="1" min="24" max="24" width="5.5"/>
    <col customWidth="1" min="25" max="25" width="9.88"/>
    <col customWidth="1" min="26" max="26" width="9.38"/>
    <col customWidth="1" min="27" max="27" width="9.13"/>
    <col customWidth="1" min="28" max="28" width="7.63"/>
    <col customWidth="1" min="30" max="30" width="8.88"/>
    <col customWidth="1" min="32" max="32" width="4.25"/>
    <col customWidth="1" min="33" max="33" width="8.88"/>
    <col customWidth="1" min="34" max="34" width="7.63"/>
    <col customWidth="1" min="35" max="35" width="6.13"/>
    <col customWidth="1" min="36" max="36" width="5.13"/>
    <col customWidth="1" hidden="1" min="37" max="37" width="4.75"/>
    <col customWidth="1" min="38" max="38" width="5.5"/>
    <col customWidth="1" min="40" max="40" width="9.38"/>
    <col hidden="1" min="46" max="55" width="12.63"/>
  </cols>
  <sheetData>
    <row r="1">
      <c r="A1" s="180" t="s">
        <v>161</v>
      </c>
      <c r="B1" s="2" t="s">
        <v>1</v>
      </c>
      <c r="C1" s="2" t="s">
        <v>2</v>
      </c>
      <c r="D1" s="2" t="s">
        <v>2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 t="s">
        <v>4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8"/>
      <c r="AG1" s="9" t="s">
        <v>5</v>
      </c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1"/>
      <c r="AU1" s="10"/>
      <c r="AV1" s="10"/>
      <c r="AW1" s="10"/>
      <c r="AX1" s="10"/>
      <c r="AY1" s="10"/>
      <c r="AZ1" s="10"/>
      <c r="BA1" s="10"/>
      <c r="BB1" s="10"/>
      <c r="BC1" s="12"/>
    </row>
    <row r="2">
      <c r="A2" s="13"/>
      <c r="B2" s="13"/>
      <c r="C2" s="14"/>
      <c r="D2" s="14"/>
      <c r="E2" s="15" t="s">
        <v>6</v>
      </c>
      <c r="F2" s="16" t="s">
        <v>7</v>
      </c>
      <c r="G2" s="4"/>
      <c r="H2" s="4"/>
      <c r="I2" s="5"/>
      <c r="J2" s="17" t="s">
        <v>8</v>
      </c>
      <c r="K2" s="17" t="s">
        <v>9</v>
      </c>
      <c r="L2" s="18" t="s">
        <v>10</v>
      </c>
      <c r="M2" s="19" t="s">
        <v>11</v>
      </c>
      <c r="N2" s="20" t="s">
        <v>12</v>
      </c>
      <c r="O2" s="3" t="s">
        <v>13</v>
      </c>
      <c r="P2" s="5"/>
      <c r="Q2" s="21" t="s">
        <v>14</v>
      </c>
      <c r="R2" s="22"/>
      <c r="S2" s="23" t="s">
        <v>15</v>
      </c>
      <c r="T2" s="24" t="s">
        <v>7</v>
      </c>
      <c r="U2" s="4"/>
      <c r="V2" s="4"/>
      <c r="W2" s="5"/>
      <c r="X2" s="25" t="s">
        <v>8</v>
      </c>
      <c r="Y2" s="25" t="s">
        <v>9</v>
      </c>
      <c r="Z2" s="26" t="s">
        <v>10</v>
      </c>
      <c r="AA2" s="19" t="s">
        <v>11</v>
      </c>
      <c r="AB2" s="28" t="s">
        <v>12</v>
      </c>
      <c r="AC2" s="29" t="s">
        <v>17</v>
      </c>
      <c r="AD2" s="5"/>
      <c r="AE2" s="30" t="s">
        <v>18</v>
      </c>
      <c r="AF2" s="31"/>
      <c r="AG2" s="32" t="s">
        <v>19</v>
      </c>
      <c r="AH2" s="24" t="s">
        <v>7</v>
      </c>
      <c r="AI2" s="4"/>
      <c r="AJ2" s="4"/>
      <c r="AK2" s="5"/>
      <c r="AL2" s="25" t="s">
        <v>8</v>
      </c>
      <c r="AM2" s="25" t="s">
        <v>9</v>
      </c>
      <c r="AN2" s="33" t="s">
        <v>10</v>
      </c>
      <c r="AO2" s="19" t="s">
        <v>11</v>
      </c>
      <c r="AP2" s="34" t="s">
        <v>12</v>
      </c>
      <c r="AQ2" s="35" t="s">
        <v>13</v>
      </c>
      <c r="AR2" s="5"/>
      <c r="AS2" s="36" t="s">
        <v>21</v>
      </c>
      <c r="AT2" s="32" t="s">
        <v>22</v>
      </c>
      <c r="AU2" s="25" t="s">
        <v>7</v>
      </c>
      <c r="AV2" s="25" t="s">
        <v>8</v>
      </c>
      <c r="AW2" s="25" t="s">
        <v>9</v>
      </c>
      <c r="AX2" s="33" t="s">
        <v>10</v>
      </c>
      <c r="AY2" s="37" t="s">
        <v>23</v>
      </c>
      <c r="AZ2" s="34" t="s">
        <v>12</v>
      </c>
      <c r="BA2" s="35" t="s">
        <v>13</v>
      </c>
      <c r="BB2" s="5"/>
      <c r="BC2" s="38" t="s">
        <v>24</v>
      </c>
    </row>
    <row r="3">
      <c r="A3" s="39"/>
      <c r="B3" s="40"/>
      <c r="C3" s="40" t="s">
        <v>25</v>
      </c>
      <c r="D3" s="40" t="s">
        <v>26</v>
      </c>
      <c r="E3" s="39"/>
      <c r="F3" s="41">
        <v>0.1</v>
      </c>
      <c r="G3" s="42">
        <v>0.045</v>
      </c>
      <c r="H3" s="41">
        <v>0.08</v>
      </c>
      <c r="I3" s="41">
        <v>0.0</v>
      </c>
      <c r="J3" s="43">
        <v>1250.0</v>
      </c>
      <c r="K3" s="42">
        <v>0.07</v>
      </c>
      <c r="L3" s="44" t="s">
        <v>26</v>
      </c>
      <c r="M3" s="41">
        <v>0.025</v>
      </c>
      <c r="N3" s="39"/>
      <c r="O3" s="44" t="s">
        <v>26</v>
      </c>
      <c r="P3" s="45" t="s">
        <v>27</v>
      </c>
      <c r="Q3" s="39"/>
      <c r="R3" s="46"/>
      <c r="S3" s="39"/>
      <c r="T3" s="41">
        <v>0.1</v>
      </c>
      <c r="U3" s="41">
        <v>0.05</v>
      </c>
      <c r="V3" s="41">
        <v>0.08</v>
      </c>
      <c r="W3" s="41">
        <v>0.0</v>
      </c>
      <c r="X3" s="181">
        <v>1250.0</v>
      </c>
      <c r="Y3" s="42">
        <v>0.07</v>
      </c>
      <c r="Z3" s="48" t="s">
        <v>26</v>
      </c>
      <c r="AA3" s="41">
        <v>0.025</v>
      </c>
      <c r="AB3" s="39"/>
      <c r="AC3" s="49" t="s">
        <v>26</v>
      </c>
      <c r="AD3" s="50" t="s">
        <v>25</v>
      </c>
      <c r="AE3" s="51"/>
      <c r="AF3" s="31"/>
      <c r="AG3" s="39"/>
      <c r="AH3" s="41">
        <v>0.117</v>
      </c>
      <c r="AI3" s="41">
        <v>0.06</v>
      </c>
      <c r="AJ3" s="41">
        <v>0.045</v>
      </c>
      <c r="AK3" s="41">
        <v>0.0</v>
      </c>
      <c r="AL3" s="47"/>
      <c r="AM3" s="42">
        <v>0.05</v>
      </c>
      <c r="AN3" s="52" t="s">
        <v>26</v>
      </c>
      <c r="AO3" s="41">
        <v>0.02</v>
      </c>
      <c r="AP3" s="39"/>
      <c r="AQ3" s="53" t="s">
        <v>26</v>
      </c>
      <c r="AR3" s="54" t="s">
        <v>25</v>
      </c>
      <c r="AS3" s="51"/>
      <c r="AT3" s="39"/>
      <c r="AU3" s="55">
        <v>0.17</v>
      </c>
      <c r="AV3" s="47"/>
      <c r="AW3" s="55">
        <v>0.04</v>
      </c>
      <c r="AX3" s="52" t="s">
        <v>26</v>
      </c>
      <c r="AY3" s="39"/>
      <c r="AZ3" s="39"/>
      <c r="BA3" s="53" t="s">
        <v>26</v>
      </c>
      <c r="BB3" s="54" t="s">
        <v>25</v>
      </c>
      <c r="BC3" s="39"/>
    </row>
    <row r="4">
      <c r="A4" s="56" t="s">
        <v>28</v>
      </c>
      <c r="B4" s="57"/>
      <c r="C4" s="58">
        <v>0.82</v>
      </c>
      <c r="D4" s="58">
        <v>1.11</v>
      </c>
      <c r="E4" s="59"/>
      <c r="F4" s="60"/>
      <c r="G4" s="60"/>
      <c r="H4" s="60"/>
      <c r="I4" s="60"/>
      <c r="J4" s="60"/>
      <c r="K4" s="60"/>
      <c r="L4" s="60"/>
      <c r="M4" s="60"/>
      <c r="N4" s="60"/>
      <c r="O4" s="58">
        <v>1.11</v>
      </c>
      <c r="P4" s="60"/>
      <c r="Q4" s="60"/>
      <c r="R4" s="61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2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3"/>
      <c r="AW4" s="63"/>
      <c r="AX4" s="63"/>
      <c r="AY4" s="63"/>
      <c r="AZ4" s="63"/>
      <c r="BA4" s="63"/>
      <c r="BB4" s="63"/>
      <c r="BC4" s="63"/>
    </row>
    <row r="5">
      <c r="A5" s="64" t="s">
        <v>29</v>
      </c>
      <c r="B5" s="65">
        <f>'HPP MALL'!B5</f>
        <v>3350</v>
      </c>
      <c r="C5" s="65">
        <f t="shared" ref="C5:C20" si="1">B5*$C$4</f>
        <v>2747</v>
      </c>
      <c r="D5" s="66">
        <f t="shared" ref="D5:D20" si="2">C5/$D$4</f>
        <v>2474.774775</v>
      </c>
      <c r="E5" s="79">
        <v>3.0</v>
      </c>
      <c r="F5" s="66">
        <f t="shared" ref="F5:F20" si="3">P5*$F$3</f>
        <v>1500</v>
      </c>
      <c r="G5" s="66">
        <f t="shared" ref="G5:G20" si="4">P5*$G$3</f>
        <v>675</v>
      </c>
      <c r="H5" s="66">
        <f t="shared" ref="H5:H20" si="5">P5*$H$3</f>
        <v>1200</v>
      </c>
      <c r="I5" s="66">
        <f t="shared" ref="I5:I20" si="6">P5*$I$3</f>
        <v>0</v>
      </c>
      <c r="J5" s="68">
        <v>1250.0</v>
      </c>
      <c r="K5" s="66">
        <f t="shared" ref="K5:K20" si="7">D5*$K$3*E5</f>
        <v>519.7027027</v>
      </c>
      <c r="L5" s="69">
        <f t="shared" ref="L5:L20" si="8">(D5*E5)+F5+G5+H5+I5+J5+K5</f>
        <v>12569.02703</v>
      </c>
      <c r="M5" s="70">
        <f t="shared" ref="M5:M20" si="9">N5/O5</f>
        <v>0.069892</v>
      </c>
      <c r="N5" s="71">
        <f t="shared" ref="N5:N20" si="10">O5-L5</f>
        <v>944.4864865</v>
      </c>
      <c r="O5" s="66">
        <f t="shared" ref="O5:O20" si="11">P5/$O$4</f>
        <v>13513.51351</v>
      </c>
      <c r="P5" s="78">
        <v>15000.0</v>
      </c>
      <c r="Q5" s="73">
        <f t="shared" ref="Q5:Q20" si="12">P5/E5</f>
        <v>5000</v>
      </c>
      <c r="R5" s="74"/>
      <c r="S5" s="75">
        <v>50.0</v>
      </c>
      <c r="T5" s="66">
        <f t="shared" ref="T5:T19" si="13">AD5*$T$3</f>
        <v>20500</v>
      </c>
      <c r="U5" s="66">
        <f t="shared" ref="U5:U19" si="14">AD5*$U$3</f>
        <v>10250</v>
      </c>
      <c r="V5" s="66">
        <f t="shared" ref="V5:V19" si="15">AD5*$V$3</f>
        <v>16400</v>
      </c>
      <c r="W5" s="66">
        <f t="shared" ref="W5:W19" si="16">AD5*$W$3</f>
        <v>0</v>
      </c>
      <c r="X5" s="68">
        <v>1250.0</v>
      </c>
      <c r="Y5" s="66">
        <f>D5*$Y$3*S5</f>
        <v>8661.711712</v>
      </c>
      <c r="Z5" s="69">
        <f t="shared" ref="Z5:Z19" si="17">(D5*S5)+T5+U5+V5+W5+X5+Y5</f>
        <v>180800.4505</v>
      </c>
      <c r="AA5" s="70">
        <f t="shared" ref="AA5:AA19" si="18">AB5/AC5</f>
        <v>0.02103170732</v>
      </c>
      <c r="AB5" s="71">
        <f t="shared" ref="AB5:AB19" si="19">AC5-Z5</f>
        <v>3884.234234</v>
      </c>
      <c r="AC5" s="66">
        <f t="shared" ref="AC5:AC19" si="20">AD5/$O$4</f>
        <v>184684.6847</v>
      </c>
      <c r="AD5" s="78">
        <v>205000.0</v>
      </c>
      <c r="AE5" s="73">
        <f t="shared" ref="AE5:AE19" si="21">AD5/S5</f>
        <v>4100</v>
      </c>
      <c r="AF5" s="76"/>
      <c r="AG5" s="75">
        <v>500.0</v>
      </c>
      <c r="AH5" s="66">
        <f>AR5*$T$3</f>
        <v>196800</v>
      </c>
      <c r="AI5" s="66">
        <f>AR5*$U$3</f>
        <v>98400</v>
      </c>
      <c r="AJ5" s="66">
        <f>AR5*$V$3</f>
        <v>157440</v>
      </c>
      <c r="AK5" s="66">
        <f>AR5*$W$3</f>
        <v>0</v>
      </c>
      <c r="AL5" s="68">
        <v>1250.0</v>
      </c>
      <c r="AM5" s="66">
        <f t="shared" ref="AM5:AM19" si="22">D5*$AM$3*AG5</f>
        <v>61869.36937</v>
      </c>
      <c r="AN5" s="69">
        <f t="shared" ref="AN5:AN19" si="23">(D5*AG5)+AH5+AI5+AJ5+AK5+AL5+AM5</f>
        <v>1753146.757</v>
      </c>
      <c r="AO5" s="70">
        <f t="shared" ref="AO5:AO19" si="24">AP5/AQ5</f>
        <v>0.01118246951</v>
      </c>
      <c r="AP5" s="71">
        <f t="shared" ref="AP5:AP19" si="25">AQ5-AN5</f>
        <v>19826.21622</v>
      </c>
      <c r="AQ5" s="66">
        <f t="shared" ref="AQ5:AQ19" si="26">AR5/$O$4</f>
        <v>1772972.973</v>
      </c>
      <c r="AR5" s="78">
        <v>1968000.0</v>
      </c>
      <c r="AS5" s="73">
        <f t="shared" ref="AS5:AS19" si="27">AR5/AG5</f>
        <v>3936</v>
      </c>
    </row>
    <row r="6">
      <c r="A6" s="64" t="s">
        <v>30</v>
      </c>
      <c r="B6" s="65">
        <f>'HPP MALL'!B6</f>
        <v>3500</v>
      </c>
      <c r="C6" s="65">
        <f t="shared" si="1"/>
        <v>2870</v>
      </c>
      <c r="D6" s="66">
        <f t="shared" si="2"/>
        <v>2585.585586</v>
      </c>
      <c r="E6" s="79">
        <v>3.0</v>
      </c>
      <c r="F6" s="66">
        <f t="shared" si="3"/>
        <v>1580</v>
      </c>
      <c r="G6" s="66">
        <f t="shared" si="4"/>
        <v>711</v>
      </c>
      <c r="H6" s="66">
        <f t="shared" si="5"/>
        <v>1264</v>
      </c>
      <c r="I6" s="66">
        <f t="shared" si="6"/>
        <v>0</v>
      </c>
      <c r="J6" s="68">
        <v>1250.0</v>
      </c>
      <c r="K6" s="66">
        <f t="shared" si="7"/>
        <v>542.972973</v>
      </c>
      <c r="L6" s="69">
        <f t="shared" si="8"/>
        <v>13104.72973</v>
      </c>
      <c r="M6" s="70">
        <f t="shared" si="9"/>
        <v>0.07935126582</v>
      </c>
      <c r="N6" s="71">
        <f t="shared" si="10"/>
        <v>1129.504505</v>
      </c>
      <c r="O6" s="66">
        <f t="shared" si="11"/>
        <v>14234.23423</v>
      </c>
      <c r="P6" s="78">
        <v>15800.0</v>
      </c>
      <c r="Q6" s="73">
        <f t="shared" si="12"/>
        <v>5266.666667</v>
      </c>
      <c r="R6" s="74"/>
      <c r="S6" s="75">
        <v>50.0</v>
      </c>
      <c r="T6" s="66">
        <f t="shared" si="13"/>
        <v>21400</v>
      </c>
      <c r="U6" s="66">
        <f t="shared" si="14"/>
        <v>10700</v>
      </c>
      <c r="V6" s="66">
        <f t="shared" si="15"/>
        <v>17120</v>
      </c>
      <c r="W6" s="66">
        <f t="shared" si="16"/>
        <v>0</v>
      </c>
      <c r="X6" s="68">
        <v>1250.0</v>
      </c>
      <c r="Y6" s="66">
        <f t="shared" ref="Y6:Y19" si="28">D6*$K$3*S6</f>
        <v>9049.54955</v>
      </c>
      <c r="Z6" s="69">
        <f t="shared" si="17"/>
        <v>188798.8288</v>
      </c>
      <c r="AA6" s="70">
        <f t="shared" si="18"/>
        <v>0.02071635514</v>
      </c>
      <c r="AB6" s="71">
        <f t="shared" si="19"/>
        <v>3993.963964</v>
      </c>
      <c r="AC6" s="66">
        <f t="shared" si="20"/>
        <v>192792.7928</v>
      </c>
      <c r="AD6" s="78">
        <v>214000.0</v>
      </c>
      <c r="AE6" s="73">
        <f t="shared" si="21"/>
        <v>4280</v>
      </c>
      <c r="AF6" s="76"/>
      <c r="AG6" s="75">
        <v>500.0</v>
      </c>
      <c r="AH6" s="66">
        <f t="shared" ref="AH6:AH19" si="29">AR6*$AH$3</f>
        <v>240669</v>
      </c>
      <c r="AI6" s="66">
        <f t="shared" ref="AI6:AI19" si="30">AR6*$AI$3</f>
        <v>123420</v>
      </c>
      <c r="AJ6" s="66">
        <f t="shared" ref="AJ6:AJ19" si="31">AR6*$AJ$3</f>
        <v>92565</v>
      </c>
      <c r="AK6" s="66">
        <f t="shared" ref="AK6:AK19" si="32">AR6*$AK$3</f>
        <v>0</v>
      </c>
      <c r="AL6" s="68">
        <v>1250.0</v>
      </c>
      <c r="AM6" s="66">
        <f t="shared" si="22"/>
        <v>64639.63964</v>
      </c>
      <c r="AN6" s="69">
        <f t="shared" si="23"/>
        <v>1815336.432</v>
      </c>
      <c r="AO6" s="70">
        <f t="shared" si="24"/>
        <v>0.02040668935</v>
      </c>
      <c r="AP6" s="71">
        <f t="shared" si="25"/>
        <v>37816.72072</v>
      </c>
      <c r="AQ6" s="66">
        <f t="shared" si="26"/>
        <v>1853153.153</v>
      </c>
      <c r="AR6" s="78">
        <v>2057000.0</v>
      </c>
      <c r="AS6" s="73">
        <f t="shared" si="27"/>
        <v>4114</v>
      </c>
    </row>
    <row r="7">
      <c r="A7" s="77" t="s">
        <v>31</v>
      </c>
      <c r="B7" s="65">
        <f>'HPP MALL'!B7</f>
        <v>4100</v>
      </c>
      <c r="C7" s="65">
        <f t="shared" si="1"/>
        <v>3362</v>
      </c>
      <c r="D7" s="66">
        <f t="shared" si="2"/>
        <v>3028.828829</v>
      </c>
      <c r="E7" s="79">
        <v>3.0</v>
      </c>
      <c r="F7" s="66">
        <f t="shared" si="3"/>
        <v>1700</v>
      </c>
      <c r="G7" s="66">
        <f t="shared" si="4"/>
        <v>765</v>
      </c>
      <c r="H7" s="66">
        <f t="shared" si="5"/>
        <v>1360</v>
      </c>
      <c r="I7" s="66">
        <f t="shared" si="6"/>
        <v>0</v>
      </c>
      <c r="J7" s="68">
        <v>1250.0</v>
      </c>
      <c r="K7" s="66">
        <f t="shared" si="7"/>
        <v>636.0540541</v>
      </c>
      <c r="L7" s="69">
        <f t="shared" si="8"/>
        <v>14797.54054</v>
      </c>
      <c r="M7" s="70">
        <f t="shared" si="9"/>
        <v>0.03380764706</v>
      </c>
      <c r="N7" s="71">
        <f t="shared" si="10"/>
        <v>517.7747748</v>
      </c>
      <c r="O7" s="66">
        <f t="shared" si="11"/>
        <v>15315.31532</v>
      </c>
      <c r="P7" s="78">
        <v>17000.0</v>
      </c>
      <c r="Q7" s="73">
        <f t="shared" si="12"/>
        <v>5666.666667</v>
      </c>
      <c r="R7" s="74"/>
      <c r="S7" s="75">
        <v>25.0</v>
      </c>
      <c r="T7" s="66">
        <f t="shared" si="13"/>
        <v>12600</v>
      </c>
      <c r="U7" s="66">
        <f t="shared" si="14"/>
        <v>6300</v>
      </c>
      <c r="V7" s="66">
        <f t="shared" si="15"/>
        <v>10080</v>
      </c>
      <c r="W7" s="66">
        <f t="shared" si="16"/>
        <v>0</v>
      </c>
      <c r="X7" s="68">
        <v>1250.0</v>
      </c>
      <c r="Y7" s="66">
        <f t="shared" si="28"/>
        <v>5300.45045</v>
      </c>
      <c r="Z7" s="69">
        <f t="shared" si="17"/>
        <v>111251.1712</v>
      </c>
      <c r="AA7" s="70">
        <f t="shared" si="18"/>
        <v>0.01993015873</v>
      </c>
      <c r="AB7" s="71">
        <f t="shared" si="19"/>
        <v>2262.342342</v>
      </c>
      <c r="AC7" s="66">
        <f t="shared" si="20"/>
        <v>113513.5135</v>
      </c>
      <c r="AD7" s="78">
        <v>126000.0</v>
      </c>
      <c r="AE7" s="73">
        <f t="shared" si="21"/>
        <v>5040</v>
      </c>
      <c r="AF7" s="76"/>
      <c r="AG7" s="75">
        <v>500.0</v>
      </c>
      <c r="AH7" s="66">
        <f t="shared" si="29"/>
        <v>279630</v>
      </c>
      <c r="AI7" s="66">
        <f t="shared" si="30"/>
        <v>143400</v>
      </c>
      <c r="AJ7" s="66">
        <f t="shared" si="31"/>
        <v>107550</v>
      </c>
      <c r="AK7" s="66">
        <f t="shared" si="32"/>
        <v>0</v>
      </c>
      <c r="AL7" s="68">
        <v>1250.0</v>
      </c>
      <c r="AM7" s="66">
        <f t="shared" si="22"/>
        <v>75720.72072</v>
      </c>
      <c r="AN7" s="69">
        <f t="shared" si="23"/>
        <v>2121965.135</v>
      </c>
      <c r="AO7" s="70">
        <f t="shared" si="24"/>
        <v>0.01448481172</v>
      </c>
      <c r="AP7" s="71">
        <f t="shared" si="25"/>
        <v>31188.01802</v>
      </c>
      <c r="AQ7" s="66">
        <f t="shared" si="26"/>
        <v>2153153.153</v>
      </c>
      <c r="AR7" s="78">
        <v>2390000.0</v>
      </c>
      <c r="AS7" s="73">
        <f t="shared" si="27"/>
        <v>4780</v>
      </c>
    </row>
    <row r="8">
      <c r="A8" s="77" t="s">
        <v>32</v>
      </c>
      <c r="B8" s="65">
        <f>'HPP MALL'!B8</f>
        <v>25000</v>
      </c>
      <c r="C8" s="65">
        <f t="shared" si="1"/>
        <v>20500</v>
      </c>
      <c r="D8" s="66">
        <f t="shared" si="2"/>
        <v>18468.46847</v>
      </c>
      <c r="E8" s="79">
        <v>1.0</v>
      </c>
      <c r="F8" s="66">
        <f t="shared" si="3"/>
        <v>3260</v>
      </c>
      <c r="G8" s="66">
        <f t="shared" si="4"/>
        <v>1467</v>
      </c>
      <c r="H8" s="66">
        <f t="shared" si="5"/>
        <v>2608</v>
      </c>
      <c r="I8" s="66">
        <f t="shared" si="6"/>
        <v>0</v>
      </c>
      <c r="J8" s="68">
        <v>1250.0</v>
      </c>
      <c r="K8" s="66">
        <f t="shared" si="7"/>
        <v>1292.792793</v>
      </c>
      <c r="L8" s="69">
        <f t="shared" si="8"/>
        <v>28346.26126</v>
      </c>
      <c r="M8" s="70">
        <f t="shared" si="9"/>
        <v>0.03483588957</v>
      </c>
      <c r="N8" s="71">
        <f t="shared" si="10"/>
        <v>1023.108108</v>
      </c>
      <c r="O8" s="66">
        <f t="shared" si="11"/>
        <v>29369.36937</v>
      </c>
      <c r="P8" s="78">
        <v>32600.0</v>
      </c>
      <c r="Q8" s="73">
        <f t="shared" si="12"/>
        <v>32600</v>
      </c>
      <c r="R8" s="74"/>
      <c r="S8" s="75">
        <v>4.0</v>
      </c>
      <c r="T8" s="66">
        <f t="shared" si="13"/>
        <v>12450</v>
      </c>
      <c r="U8" s="66">
        <f t="shared" si="14"/>
        <v>6225</v>
      </c>
      <c r="V8" s="66">
        <f t="shared" si="15"/>
        <v>9960</v>
      </c>
      <c r="W8" s="66">
        <f t="shared" si="16"/>
        <v>0</v>
      </c>
      <c r="X8" s="68">
        <v>1250.0</v>
      </c>
      <c r="Y8" s="66">
        <f t="shared" si="28"/>
        <v>5171.171171</v>
      </c>
      <c r="Z8" s="69">
        <f t="shared" si="17"/>
        <v>108930.045</v>
      </c>
      <c r="AA8" s="70">
        <f t="shared" si="18"/>
        <v>0.02881646586</v>
      </c>
      <c r="AB8" s="71">
        <f t="shared" si="19"/>
        <v>3232.117117</v>
      </c>
      <c r="AC8" s="66">
        <f t="shared" si="20"/>
        <v>112162.1622</v>
      </c>
      <c r="AD8" s="78">
        <v>124500.0</v>
      </c>
      <c r="AE8" s="73">
        <f t="shared" si="21"/>
        <v>31125</v>
      </c>
      <c r="AF8" s="76"/>
      <c r="AG8" s="75">
        <v>100.0</v>
      </c>
      <c r="AH8" s="66">
        <f t="shared" si="29"/>
        <v>0</v>
      </c>
      <c r="AI8" s="66">
        <f t="shared" si="30"/>
        <v>0</v>
      </c>
      <c r="AJ8" s="66">
        <f t="shared" si="31"/>
        <v>0</v>
      </c>
      <c r="AK8" s="66">
        <f t="shared" si="32"/>
        <v>0</v>
      </c>
      <c r="AL8" s="68">
        <v>1250.0</v>
      </c>
      <c r="AM8" s="66">
        <f t="shared" si="22"/>
        <v>92342.34234</v>
      </c>
      <c r="AN8" s="69">
        <f t="shared" si="23"/>
        <v>1940439.189</v>
      </c>
      <c r="AO8" s="70" t="str">
        <f t="shared" si="24"/>
        <v>#DIV/0!</v>
      </c>
      <c r="AP8" s="71">
        <f t="shared" si="25"/>
        <v>-1940439.189</v>
      </c>
      <c r="AQ8" s="66">
        <f t="shared" si="26"/>
        <v>0</v>
      </c>
      <c r="AR8" s="78"/>
      <c r="AS8" s="73">
        <f t="shared" si="27"/>
        <v>0</v>
      </c>
    </row>
    <row r="9">
      <c r="A9" s="77" t="s">
        <v>33</v>
      </c>
      <c r="B9" s="65">
        <f>'HPP MALL'!B9</f>
        <v>10000</v>
      </c>
      <c r="C9" s="65">
        <f t="shared" si="1"/>
        <v>8200</v>
      </c>
      <c r="D9" s="66">
        <f t="shared" si="2"/>
        <v>7387.387387</v>
      </c>
      <c r="E9" s="79">
        <v>1.0</v>
      </c>
      <c r="F9" s="66">
        <f t="shared" si="3"/>
        <v>1450</v>
      </c>
      <c r="G9" s="66">
        <f t="shared" si="4"/>
        <v>652.5</v>
      </c>
      <c r="H9" s="66">
        <f t="shared" si="5"/>
        <v>1160</v>
      </c>
      <c r="I9" s="66">
        <f t="shared" si="6"/>
        <v>0</v>
      </c>
      <c r="J9" s="68">
        <v>1250.0</v>
      </c>
      <c r="K9" s="66">
        <f t="shared" si="7"/>
        <v>517.1171171</v>
      </c>
      <c r="L9" s="69">
        <f t="shared" si="8"/>
        <v>12417.0045</v>
      </c>
      <c r="M9" s="70">
        <f t="shared" si="9"/>
        <v>0.04945689655</v>
      </c>
      <c r="N9" s="71">
        <f t="shared" si="10"/>
        <v>646.0585586</v>
      </c>
      <c r="O9" s="66">
        <f t="shared" si="11"/>
        <v>13063.06306</v>
      </c>
      <c r="P9" s="78">
        <v>14500.0</v>
      </c>
      <c r="Q9" s="73">
        <f t="shared" si="12"/>
        <v>14500</v>
      </c>
      <c r="R9" s="74"/>
      <c r="S9" s="75">
        <v>16.0</v>
      </c>
      <c r="T9" s="66">
        <f t="shared" si="13"/>
        <v>19500</v>
      </c>
      <c r="U9" s="66">
        <f t="shared" si="14"/>
        <v>9750</v>
      </c>
      <c r="V9" s="66">
        <f t="shared" si="15"/>
        <v>15600</v>
      </c>
      <c r="W9" s="66">
        <f t="shared" si="16"/>
        <v>0</v>
      </c>
      <c r="X9" s="68">
        <v>1250.0</v>
      </c>
      <c r="Y9" s="66">
        <f t="shared" si="28"/>
        <v>8273.873874</v>
      </c>
      <c r="Z9" s="69">
        <f t="shared" si="17"/>
        <v>172572.0721</v>
      </c>
      <c r="AA9" s="70">
        <f t="shared" si="18"/>
        <v>0.01766666667</v>
      </c>
      <c r="AB9" s="71">
        <f t="shared" si="19"/>
        <v>3103.603604</v>
      </c>
      <c r="AC9" s="66">
        <f t="shared" si="20"/>
        <v>175675.6757</v>
      </c>
      <c r="AD9" s="78">
        <v>195000.0</v>
      </c>
      <c r="AE9" s="73">
        <f t="shared" si="21"/>
        <v>12187.5</v>
      </c>
      <c r="AF9" s="76"/>
      <c r="AG9" s="75"/>
      <c r="AH9" s="66">
        <f t="shared" si="29"/>
        <v>0</v>
      </c>
      <c r="AI9" s="66">
        <f t="shared" si="30"/>
        <v>0</v>
      </c>
      <c r="AJ9" s="66">
        <f t="shared" si="31"/>
        <v>0</v>
      </c>
      <c r="AK9" s="66">
        <f t="shared" si="32"/>
        <v>0</v>
      </c>
      <c r="AL9" s="68">
        <v>1250.0</v>
      </c>
      <c r="AM9" s="66">
        <f t="shared" si="22"/>
        <v>0</v>
      </c>
      <c r="AN9" s="69">
        <f t="shared" si="23"/>
        <v>1250</v>
      </c>
      <c r="AO9" s="70" t="str">
        <f t="shared" si="24"/>
        <v>#DIV/0!</v>
      </c>
      <c r="AP9" s="71">
        <f t="shared" si="25"/>
        <v>-1250</v>
      </c>
      <c r="AQ9" s="66">
        <f t="shared" si="26"/>
        <v>0</v>
      </c>
      <c r="AR9" s="78"/>
      <c r="AS9" s="73" t="str">
        <f t="shared" si="27"/>
        <v>#DIV/0!</v>
      </c>
    </row>
    <row r="10">
      <c r="A10" s="77" t="s">
        <v>34</v>
      </c>
      <c r="B10" s="65">
        <f>'HPP MALL'!B10</f>
        <v>15000</v>
      </c>
      <c r="C10" s="65">
        <f t="shared" si="1"/>
        <v>12300</v>
      </c>
      <c r="D10" s="66">
        <f t="shared" si="2"/>
        <v>11081.08108</v>
      </c>
      <c r="E10" s="79">
        <v>1.0</v>
      </c>
      <c r="F10" s="66">
        <f t="shared" si="3"/>
        <v>2050</v>
      </c>
      <c r="G10" s="66">
        <f t="shared" si="4"/>
        <v>922.5</v>
      </c>
      <c r="H10" s="66">
        <f t="shared" si="5"/>
        <v>1640</v>
      </c>
      <c r="I10" s="66">
        <f t="shared" si="6"/>
        <v>0</v>
      </c>
      <c r="J10" s="68">
        <v>1250.0</v>
      </c>
      <c r="K10" s="66">
        <f t="shared" si="7"/>
        <v>775.6756757</v>
      </c>
      <c r="L10" s="69">
        <f t="shared" si="8"/>
        <v>17719.25676</v>
      </c>
      <c r="M10" s="70">
        <f t="shared" si="9"/>
        <v>0.04056707317</v>
      </c>
      <c r="N10" s="71">
        <f t="shared" si="10"/>
        <v>749.2117117</v>
      </c>
      <c r="O10" s="66">
        <f t="shared" si="11"/>
        <v>18468.46847</v>
      </c>
      <c r="P10" s="78">
        <v>20500.0</v>
      </c>
      <c r="Q10" s="73">
        <f t="shared" si="12"/>
        <v>20500</v>
      </c>
      <c r="R10" s="74"/>
      <c r="S10" s="75">
        <v>4.0</v>
      </c>
      <c r="T10" s="66">
        <f t="shared" si="13"/>
        <v>7450</v>
      </c>
      <c r="U10" s="66">
        <f t="shared" si="14"/>
        <v>3725</v>
      </c>
      <c r="V10" s="66">
        <f t="shared" si="15"/>
        <v>5960</v>
      </c>
      <c r="W10" s="66">
        <f t="shared" si="16"/>
        <v>0</v>
      </c>
      <c r="X10" s="68">
        <v>1250.0</v>
      </c>
      <c r="Y10" s="66">
        <f t="shared" si="28"/>
        <v>3102.702703</v>
      </c>
      <c r="Z10" s="69">
        <f t="shared" si="17"/>
        <v>65812.02703</v>
      </c>
      <c r="AA10" s="70">
        <f t="shared" si="18"/>
        <v>0.01944496644</v>
      </c>
      <c r="AB10" s="71">
        <f t="shared" si="19"/>
        <v>1305.09009</v>
      </c>
      <c r="AC10" s="66">
        <f t="shared" si="20"/>
        <v>67117.11712</v>
      </c>
      <c r="AD10" s="78">
        <v>74500.0</v>
      </c>
      <c r="AE10" s="73">
        <f t="shared" si="21"/>
        <v>18625</v>
      </c>
      <c r="AF10" s="76"/>
      <c r="AG10" s="75"/>
      <c r="AH10" s="66">
        <f t="shared" si="29"/>
        <v>0</v>
      </c>
      <c r="AI10" s="66">
        <f t="shared" si="30"/>
        <v>0</v>
      </c>
      <c r="AJ10" s="66">
        <f t="shared" si="31"/>
        <v>0</v>
      </c>
      <c r="AK10" s="66">
        <f t="shared" si="32"/>
        <v>0</v>
      </c>
      <c r="AL10" s="68">
        <v>1250.0</v>
      </c>
      <c r="AM10" s="66">
        <f t="shared" si="22"/>
        <v>0</v>
      </c>
      <c r="AN10" s="69">
        <f t="shared" si="23"/>
        <v>1250</v>
      </c>
      <c r="AO10" s="70" t="str">
        <f t="shared" si="24"/>
        <v>#DIV/0!</v>
      </c>
      <c r="AP10" s="71">
        <f t="shared" si="25"/>
        <v>-1250</v>
      </c>
      <c r="AQ10" s="66">
        <f t="shared" si="26"/>
        <v>0</v>
      </c>
      <c r="AR10" s="78"/>
      <c r="AS10" s="73" t="str">
        <f t="shared" si="27"/>
        <v>#DIV/0!</v>
      </c>
    </row>
    <row r="11">
      <c r="A11" s="77" t="s">
        <v>35</v>
      </c>
      <c r="B11" s="65">
        <f>'HPP MALL'!B11</f>
        <v>18000</v>
      </c>
      <c r="C11" s="65">
        <f t="shared" si="1"/>
        <v>14760</v>
      </c>
      <c r="D11" s="66">
        <f t="shared" si="2"/>
        <v>13297.2973</v>
      </c>
      <c r="E11" s="79">
        <v>1.0</v>
      </c>
      <c r="F11" s="66">
        <f t="shared" si="3"/>
        <v>2400</v>
      </c>
      <c r="G11" s="66">
        <f t="shared" si="4"/>
        <v>1080</v>
      </c>
      <c r="H11" s="66">
        <f t="shared" si="5"/>
        <v>1920</v>
      </c>
      <c r="I11" s="66">
        <f t="shared" si="6"/>
        <v>0</v>
      </c>
      <c r="J11" s="68">
        <v>1250.0</v>
      </c>
      <c r="K11" s="66">
        <f t="shared" si="7"/>
        <v>930.8108108</v>
      </c>
      <c r="L11" s="69">
        <f t="shared" si="8"/>
        <v>20878.10811</v>
      </c>
      <c r="M11" s="70">
        <f t="shared" si="9"/>
        <v>0.0343875</v>
      </c>
      <c r="N11" s="71">
        <f t="shared" si="10"/>
        <v>743.5135135</v>
      </c>
      <c r="O11" s="66">
        <f t="shared" si="11"/>
        <v>21621.62162</v>
      </c>
      <c r="P11" s="78">
        <v>24000.0</v>
      </c>
      <c r="Q11" s="73">
        <f t="shared" si="12"/>
        <v>24000</v>
      </c>
      <c r="R11" s="74"/>
      <c r="S11" s="75"/>
      <c r="T11" s="66">
        <f t="shared" si="13"/>
        <v>0</v>
      </c>
      <c r="U11" s="66">
        <f t="shared" si="14"/>
        <v>0</v>
      </c>
      <c r="V11" s="66">
        <f t="shared" si="15"/>
        <v>0</v>
      </c>
      <c r="W11" s="66">
        <f t="shared" si="16"/>
        <v>0</v>
      </c>
      <c r="X11" s="68">
        <v>1250.0</v>
      </c>
      <c r="Y11" s="66">
        <f t="shared" si="28"/>
        <v>0</v>
      </c>
      <c r="Z11" s="69">
        <f t="shared" si="17"/>
        <v>1250</v>
      </c>
      <c r="AA11" s="70" t="str">
        <f t="shared" si="18"/>
        <v>#DIV/0!</v>
      </c>
      <c r="AB11" s="71">
        <f t="shared" si="19"/>
        <v>-1250</v>
      </c>
      <c r="AC11" s="66">
        <f t="shared" si="20"/>
        <v>0</v>
      </c>
      <c r="AD11" s="78"/>
      <c r="AE11" s="73" t="str">
        <f t="shared" si="21"/>
        <v>#DIV/0!</v>
      </c>
      <c r="AF11" s="76"/>
      <c r="AG11" s="75"/>
      <c r="AH11" s="66">
        <f t="shared" si="29"/>
        <v>0</v>
      </c>
      <c r="AI11" s="66">
        <f t="shared" si="30"/>
        <v>0</v>
      </c>
      <c r="AJ11" s="66">
        <f t="shared" si="31"/>
        <v>0</v>
      </c>
      <c r="AK11" s="66">
        <f t="shared" si="32"/>
        <v>0</v>
      </c>
      <c r="AL11" s="68">
        <v>1250.0</v>
      </c>
      <c r="AM11" s="66">
        <f t="shared" si="22"/>
        <v>0</v>
      </c>
      <c r="AN11" s="69">
        <f t="shared" si="23"/>
        <v>1250</v>
      </c>
      <c r="AO11" s="70" t="str">
        <f t="shared" si="24"/>
        <v>#DIV/0!</v>
      </c>
      <c r="AP11" s="71">
        <f t="shared" si="25"/>
        <v>-1250</v>
      </c>
      <c r="AQ11" s="66">
        <f t="shared" si="26"/>
        <v>0</v>
      </c>
      <c r="AR11" s="78"/>
      <c r="AS11" s="73" t="str">
        <f t="shared" si="27"/>
        <v>#DIV/0!</v>
      </c>
    </row>
    <row r="12">
      <c r="A12" s="77" t="s">
        <v>36</v>
      </c>
      <c r="B12" s="65">
        <f>'HPP MALL'!B12</f>
        <v>73000</v>
      </c>
      <c r="C12" s="65">
        <f t="shared" si="1"/>
        <v>59860</v>
      </c>
      <c r="D12" s="66">
        <f t="shared" si="2"/>
        <v>53927.92793</v>
      </c>
      <c r="E12" s="79">
        <v>1.0</v>
      </c>
      <c r="F12" s="66">
        <f t="shared" si="3"/>
        <v>9050</v>
      </c>
      <c r="G12" s="66">
        <f t="shared" si="4"/>
        <v>4072.5</v>
      </c>
      <c r="H12" s="66">
        <f t="shared" si="5"/>
        <v>7240</v>
      </c>
      <c r="I12" s="66">
        <f t="shared" si="6"/>
        <v>0</v>
      </c>
      <c r="J12" s="68">
        <v>1250.0</v>
      </c>
      <c r="K12" s="66">
        <f t="shared" si="7"/>
        <v>3774.954955</v>
      </c>
      <c r="L12" s="69">
        <f t="shared" si="8"/>
        <v>79315.38288</v>
      </c>
      <c r="M12" s="70">
        <f t="shared" si="9"/>
        <v>0.02718149171</v>
      </c>
      <c r="N12" s="71">
        <f t="shared" si="10"/>
        <v>2216.148649</v>
      </c>
      <c r="O12" s="66">
        <f t="shared" si="11"/>
        <v>81531.53153</v>
      </c>
      <c r="P12" s="78">
        <v>90500.0</v>
      </c>
      <c r="Q12" s="73">
        <f t="shared" si="12"/>
        <v>90500</v>
      </c>
      <c r="R12" s="74"/>
      <c r="S12" s="75"/>
      <c r="T12" s="66">
        <f t="shared" si="13"/>
        <v>0</v>
      </c>
      <c r="U12" s="66">
        <f t="shared" si="14"/>
        <v>0</v>
      </c>
      <c r="V12" s="66">
        <f t="shared" si="15"/>
        <v>0</v>
      </c>
      <c r="W12" s="66">
        <f t="shared" si="16"/>
        <v>0</v>
      </c>
      <c r="X12" s="68">
        <v>1250.0</v>
      </c>
      <c r="Y12" s="66">
        <f t="shared" si="28"/>
        <v>0</v>
      </c>
      <c r="Z12" s="69">
        <f t="shared" si="17"/>
        <v>1250</v>
      </c>
      <c r="AA12" s="70" t="str">
        <f t="shared" si="18"/>
        <v>#DIV/0!</v>
      </c>
      <c r="AB12" s="71">
        <f t="shared" si="19"/>
        <v>-1250</v>
      </c>
      <c r="AC12" s="66">
        <f t="shared" si="20"/>
        <v>0</v>
      </c>
      <c r="AD12" s="78"/>
      <c r="AE12" s="73" t="str">
        <f t="shared" si="21"/>
        <v>#DIV/0!</v>
      </c>
      <c r="AF12" s="76"/>
      <c r="AG12" s="75"/>
      <c r="AH12" s="66">
        <f t="shared" si="29"/>
        <v>0</v>
      </c>
      <c r="AI12" s="66">
        <f t="shared" si="30"/>
        <v>0</v>
      </c>
      <c r="AJ12" s="66">
        <f t="shared" si="31"/>
        <v>0</v>
      </c>
      <c r="AK12" s="66">
        <f t="shared" si="32"/>
        <v>0</v>
      </c>
      <c r="AL12" s="68">
        <v>1250.0</v>
      </c>
      <c r="AM12" s="66">
        <f t="shared" si="22"/>
        <v>0</v>
      </c>
      <c r="AN12" s="69">
        <f t="shared" si="23"/>
        <v>1250</v>
      </c>
      <c r="AO12" s="70" t="str">
        <f t="shared" si="24"/>
        <v>#DIV/0!</v>
      </c>
      <c r="AP12" s="71">
        <f t="shared" si="25"/>
        <v>-1250</v>
      </c>
      <c r="AQ12" s="66">
        <f t="shared" si="26"/>
        <v>0</v>
      </c>
      <c r="AR12" s="78"/>
      <c r="AS12" s="73" t="str">
        <f t="shared" si="27"/>
        <v>#DIV/0!</v>
      </c>
    </row>
    <row r="13">
      <c r="A13" s="77" t="s">
        <v>37</v>
      </c>
      <c r="B13" s="65">
        <f>'HPP MALL'!B13</f>
        <v>5900</v>
      </c>
      <c r="C13" s="65">
        <f t="shared" si="1"/>
        <v>4838</v>
      </c>
      <c r="D13" s="66">
        <f t="shared" si="2"/>
        <v>4358.558559</v>
      </c>
      <c r="E13" s="79">
        <v>1.0</v>
      </c>
      <c r="F13" s="66">
        <f t="shared" si="3"/>
        <v>990</v>
      </c>
      <c r="G13" s="66">
        <f t="shared" si="4"/>
        <v>445.5</v>
      </c>
      <c r="H13" s="66">
        <f t="shared" si="5"/>
        <v>792</v>
      </c>
      <c r="I13" s="66">
        <f t="shared" si="6"/>
        <v>0</v>
      </c>
      <c r="J13" s="68">
        <v>1250.0</v>
      </c>
      <c r="K13" s="66">
        <f t="shared" si="7"/>
        <v>305.0990991</v>
      </c>
      <c r="L13" s="69">
        <f t="shared" si="8"/>
        <v>8141.157658</v>
      </c>
      <c r="M13" s="70">
        <f t="shared" si="9"/>
        <v>0.08720353535</v>
      </c>
      <c r="N13" s="71">
        <f t="shared" si="10"/>
        <v>777.7612613</v>
      </c>
      <c r="O13" s="66">
        <f t="shared" si="11"/>
        <v>8918.918919</v>
      </c>
      <c r="P13" s="78">
        <v>9900.0</v>
      </c>
      <c r="Q13" s="73">
        <f t="shared" si="12"/>
        <v>9900</v>
      </c>
      <c r="R13" s="74"/>
      <c r="S13" s="75">
        <v>25.0</v>
      </c>
      <c r="T13" s="66">
        <f t="shared" si="13"/>
        <v>18200</v>
      </c>
      <c r="U13" s="66">
        <f t="shared" si="14"/>
        <v>9100</v>
      </c>
      <c r="V13" s="66">
        <f t="shared" si="15"/>
        <v>14560</v>
      </c>
      <c r="W13" s="66">
        <f t="shared" si="16"/>
        <v>0</v>
      </c>
      <c r="X13" s="68">
        <v>1250.0</v>
      </c>
      <c r="Y13" s="66">
        <f t="shared" si="28"/>
        <v>7627.477477</v>
      </c>
      <c r="Z13" s="69">
        <f t="shared" si="17"/>
        <v>159701.4414</v>
      </c>
      <c r="AA13" s="70">
        <f t="shared" si="18"/>
        <v>0.0259967033</v>
      </c>
      <c r="AB13" s="71">
        <f t="shared" si="19"/>
        <v>4262.522523</v>
      </c>
      <c r="AC13" s="66">
        <f t="shared" si="20"/>
        <v>163963.964</v>
      </c>
      <c r="AD13" s="78">
        <v>182000.0</v>
      </c>
      <c r="AE13" s="73">
        <f t="shared" si="21"/>
        <v>7280</v>
      </c>
      <c r="AF13" s="76"/>
      <c r="AG13" s="75">
        <v>300.0</v>
      </c>
      <c r="AH13" s="66">
        <f t="shared" si="29"/>
        <v>245700</v>
      </c>
      <c r="AI13" s="66">
        <f t="shared" si="30"/>
        <v>126000</v>
      </c>
      <c r="AJ13" s="66">
        <f t="shared" si="31"/>
        <v>94500</v>
      </c>
      <c r="AK13" s="66">
        <f t="shared" si="32"/>
        <v>0</v>
      </c>
      <c r="AL13" s="68">
        <v>1250.0</v>
      </c>
      <c r="AM13" s="66">
        <f t="shared" si="22"/>
        <v>65378.37838</v>
      </c>
      <c r="AN13" s="69">
        <f t="shared" si="23"/>
        <v>1840395.946</v>
      </c>
      <c r="AO13" s="70">
        <f t="shared" si="24"/>
        <v>0.02721928571</v>
      </c>
      <c r="AP13" s="71">
        <f t="shared" si="25"/>
        <v>51495.94595</v>
      </c>
      <c r="AQ13" s="66">
        <f t="shared" si="26"/>
        <v>1891891.892</v>
      </c>
      <c r="AR13" s="78">
        <v>2100000.0</v>
      </c>
      <c r="AS13" s="73">
        <f t="shared" si="27"/>
        <v>7000</v>
      </c>
    </row>
    <row r="14">
      <c r="A14" s="77" t="s">
        <v>38</v>
      </c>
      <c r="B14" s="65">
        <f>'HPP MALL'!B14</f>
        <v>3500</v>
      </c>
      <c r="C14" s="65">
        <f t="shared" si="1"/>
        <v>2870</v>
      </c>
      <c r="D14" s="66">
        <f t="shared" si="2"/>
        <v>2585.585586</v>
      </c>
      <c r="E14" s="79">
        <v>5.0</v>
      </c>
      <c r="F14" s="66">
        <f t="shared" si="3"/>
        <v>2500</v>
      </c>
      <c r="G14" s="66">
        <f t="shared" si="4"/>
        <v>1125</v>
      </c>
      <c r="H14" s="66">
        <f t="shared" si="5"/>
        <v>2000</v>
      </c>
      <c r="I14" s="66">
        <f t="shared" si="6"/>
        <v>0</v>
      </c>
      <c r="J14" s="68">
        <v>1250.0</v>
      </c>
      <c r="K14" s="66">
        <f t="shared" si="7"/>
        <v>904.954955</v>
      </c>
      <c r="L14" s="69">
        <f t="shared" si="8"/>
        <v>20707.88288</v>
      </c>
      <c r="M14" s="70">
        <f t="shared" si="9"/>
        <v>0.08057</v>
      </c>
      <c r="N14" s="71">
        <f t="shared" si="10"/>
        <v>1814.63964</v>
      </c>
      <c r="O14" s="66">
        <f t="shared" si="11"/>
        <v>22522.52252</v>
      </c>
      <c r="P14" s="78">
        <v>25000.0</v>
      </c>
      <c r="Q14" s="73">
        <f t="shared" si="12"/>
        <v>5000</v>
      </c>
      <c r="R14" s="74"/>
      <c r="S14" s="75">
        <v>50.0</v>
      </c>
      <c r="T14" s="66">
        <f t="shared" si="13"/>
        <v>21300</v>
      </c>
      <c r="U14" s="66">
        <f t="shared" si="14"/>
        <v>10650</v>
      </c>
      <c r="V14" s="66">
        <f t="shared" si="15"/>
        <v>17040</v>
      </c>
      <c r="W14" s="66">
        <f t="shared" si="16"/>
        <v>0</v>
      </c>
      <c r="X14" s="68">
        <v>1250.0</v>
      </c>
      <c r="Y14" s="66">
        <f t="shared" si="28"/>
        <v>9049.54955</v>
      </c>
      <c r="Z14" s="69">
        <f t="shared" si="17"/>
        <v>188568.8288</v>
      </c>
      <c r="AA14" s="70">
        <f t="shared" si="18"/>
        <v>0.01731737089</v>
      </c>
      <c r="AB14" s="71">
        <f t="shared" si="19"/>
        <v>3323.063063</v>
      </c>
      <c r="AC14" s="66">
        <f t="shared" si="20"/>
        <v>191891.8919</v>
      </c>
      <c r="AD14" s="78">
        <v>213000.0</v>
      </c>
      <c r="AE14" s="73">
        <f t="shared" si="21"/>
        <v>4260</v>
      </c>
      <c r="AF14" s="76"/>
      <c r="AG14" s="75">
        <v>500.0</v>
      </c>
      <c r="AH14" s="66">
        <f t="shared" si="29"/>
        <v>0</v>
      </c>
      <c r="AI14" s="66">
        <f t="shared" si="30"/>
        <v>0</v>
      </c>
      <c r="AJ14" s="66">
        <f t="shared" si="31"/>
        <v>0</v>
      </c>
      <c r="AK14" s="66">
        <f t="shared" si="32"/>
        <v>0</v>
      </c>
      <c r="AL14" s="68">
        <v>1250.0</v>
      </c>
      <c r="AM14" s="66">
        <f t="shared" si="22"/>
        <v>64639.63964</v>
      </c>
      <c r="AN14" s="69">
        <f t="shared" si="23"/>
        <v>1358682.432</v>
      </c>
      <c r="AO14" s="70" t="str">
        <f t="shared" si="24"/>
        <v>#DIV/0!</v>
      </c>
      <c r="AP14" s="71">
        <f t="shared" si="25"/>
        <v>-1358682.432</v>
      </c>
      <c r="AQ14" s="66">
        <f t="shared" si="26"/>
        <v>0</v>
      </c>
      <c r="AR14" s="78"/>
      <c r="AS14" s="73">
        <f t="shared" si="27"/>
        <v>0</v>
      </c>
    </row>
    <row r="15">
      <c r="A15" s="77" t="s">
        <v>39</v>
      </c>
      <c r="B15" s="65">
        <f>'HPP MALL'!B15</f>
        <v>3500</v>
      </c>
      <c r="C15" s="65">
        <f t="shared" si="1"/>
        <v>2870</v>
      </c>
      <c r="D15" s="66">
        <f t="shared" si="2"/>
        <v>2585.585586</v>
      </c>
      <c r="E15" s="79">
        <v>3.0</v>
      </c>
      <c r="F15" s="66">
        <f t="shared" si="3"/>
        <v>1590</v>
      </c>
      <c r="G15" s="66">
        <f t="shared" si="4"/>
        <v>715.5</v>
      </c>
      <c r="H15" s="66">
        <f t="shared" si="5"/>
        <v>1272</v>
      </c>
      <c r="I15" s="66">
        <f t="shared" si="6"/>
        <v>0</v>
      </c>
      <c r="J15" s="68">
        <v>1250.0</v>
      </c>
      <c r="K15" s="66">
        <f t="shared" si="7"/>
        <v>542.972973</v>
      </c>
      <c r="L15" s="69">
        <f t="shared" si="8"/>
        <v>13127.22973</v>
      </c>
      <c r="M15" s="70">
        <f t="shared" si="9"/>
        <v>0.08357075472</v>
      </c>
      <c r="N15" s="71">
        <f t="shared" si="10"/>
        <v>1197.094595</v>
      </c>
      <c r="O15" s="66">
        <f t="shared" si="11"/>
        <v>14324.32432</v>
      </c>
      <c r="P15" s="78">
        <v>15900.0</v>
      </c>
      <c r="Q15" s="73">
        <f t="shared" si="12"/>
        <v>5300</v>
      </c>
      <c r="R15" s="74"/>
      <c r="S15" s="75">
        <v>50.0</v>
      </c>
      <c r="T15" s="66">
        <f t="shared" si="13"/>
        <v>21300</v>
      </c>
      <c r="U15" s="66">
        <f t="shared" si="14"/>
        <v>10650</v>
      </c>
      <c r="V15" s="66">
        <f t="shared" si="15"/>
        <v>17040</v>
      </c>
      <c r="W15" s="66">
        <f t="shared" si="16"/>
        <v>0</v>
      </c>
      <c r="X15" s="68">
        <v>1250.0</v>
      </c>
      <c r="Y15" s="66">
        <f t="shared" si="28"/>
        <v>9049.54955</v>
      </c>
      <c r="Z15" s="69">
        <f t="shared" si="17"/>
        <v>188568.8288</v>
      </c>
      <c r="AA15" s="70">
        <f t="shared" si="18"/>
        <v>0.01731737089</v>
      </c>
      <c r="AB15" s="71">
        <f t="shared" si="19"/>
        <v>3323.063063</v>
      </c>
      <c r="AC15" s="66">
        <f t="shared" si="20"/>
        <v>191891.8919</v>
      </c>
      <c r="AD15" s="78">
        <v>213000.0</v>
      </c>
      <c r="AE15" s="73">
        <f t="shared" si="21"/>
        <v>4260</v>
      </c>
      <c r="AF15" s="76"/>
      <c r="AG15" s="75">
        <v>500.0</v>
      </c>
      <c r="AH15" s="66">
        <f t="shared" si="29"/>
        <v>0</v>
      </c>
      <c r="AI15" s="66">
        <f t="shared" si="30"/>
        <v>0</v>
      </c>
      <c r="AJ15" s="66">
        <f t="shared" si="31"/>
        <v>0</v>
      </c>
      <c r="AK15" s="66">
        <f t="shared" si="32"/>
        <v>0</v>
      </c>
      <c r="AL15" s="68">
        <v>1250.0</v>
      </c>
      <c r="AM15" s="66">
        <f t="shared" si="22"/>
        <v>64639.63964</v>
      </c>
      <c r="AN15" s="69">
        <f t="shared" si="23"/>
        <v>1358682.432</v>
      </c>
      <c r="AO15" s="70" t="str">
        <f t="shared" si="24"/>
        <v>#DIV/0!</v>
      </c>
      <c r="AP15" s="71">
        <f t="shared" si="25"/>
        <v>-1358682.432</v>
      </c>
      <c r="AQ15" s="66">
        <f t="shared" si="26"/>
        <v>0</v>
      </c>
      <c r="AR15" s="78"/>
      <c r="AS15" s="73">
        <f t="shared" si="27"/>
        <v>0</v>
      </c>
    </row>
    <row r="16">
      <c r="A16" s="80" t="s">
        <v>40</v>
      </c>
      <c r="B16" s="65">
        <f>'HPP MALL'!B16</f>
        <v>5500</v>
      </c>
      <c r="C16" s="65">
        <f t="shared" si="1"/>
        <v>4510</v>
      </c>
      <c r="D16" s="66">
        <f t="shared" si="2"/>
        <v>4063.063063</v>
      </c>
      <c r="E16" s="67">
        <v>1.0</v>
      </c>
      <c r="F16" s="66">
        <f t="shared" si="3"/>
        <v>1050</v>
      </c>
      <c r="G16" s="66">
        <f t="shared" si="4"/>
        <v>472.5</v>
      </c>
      <c r="H16" s="66">
        <f t="shared" si="5"/>
        <v>840</v>
      </c>
      <c r="I16" s="66">
        <f t="shared" si="6"/>
        <v>0</v>
      </c>
      <c r="J16" s="68">
        <v>1250.0</v>
      </c>
      <c r="K16" s="66">
        <f t="shared" si="7"/>
        <v>284.4144144</v>
      </c>
      <c r="L16" s="69">
        <f t="shared" si="8"/>
        <v>7959.977477</v>
      </c>
      <c r="M16" s="70">
        <f t="shared" si="9"/>
        <v>0.1585166667</v>
      </c>
      <c r="N16" s="71">
        <f t="shared" si="10"/>
        <v>1499.481982</v>
      </c>
      <c r="O16" s="66">
        <f t="shared" si="11"/>
        <v>9459.459459</v>
      </c>
      <c r="P16" s="78">
        <v>10500.0</v>
      </c>
      <c r="Q16" s="73">
        <f t="shared" si="12"/>
        <v>10500</v>
      </c>
      <c r="R16" s="74"/>
      <c r="S16" s="75">
        <v>50.0</v>
      </c>
      <c r="T16" s="66">
        <f t="shared" si="13"/>
        <v>38000</v>
      </c>
      <c r="U16" s="66">
        <f t="shared" si="14"/>
        <v>19000</v>
      </c>
      <c r="V16" s="66">
        <f t="shared" si="15"/>
        <v>30400</v>
      </c>
      <c r="W16" s="66">
        <f t="shared" si="16"/>
        <v>0</v>
      </c>
      <c r="X16" s="68">
        <v>1250.0</v>
      </c>
      <c r="Y16" s="66">
        <f t="shared" si="28"/>
        <v>14220.72072</v>
      </c>
      <c r="Z16" s="69">
        <f t="shared" si="17"/>
        <v>306023.8739</v>
      </c>
      <c r="AA16" s="70">
        <f t="shared" si="18"/>
        <v>0.1060881579</v>
      </c>
      <c r="AB16" s="71">
        <f t="shared" si="19"/>
        <v>36318.46847</v>
      </c>
      <c r="AC16" s="66">
        <f t="shared" si="20"/>
        <v>342342.3423</v>
      </c>
      <c r="AD16" s="78">
        <v>380000.0</v>
      </c>
      <c r="AE16" s="73">
        <f t="shared" si="21"/>
        <v>7600</v>
      </c>
      <c r="AF16" s="76"/>
      <c r="AG16" s="75">
        <v>500.0</v>
      </c>
      <c r="AH16" s="66">
        <f t="shared" si="29"/>
        <v>0</v>
      </c>
      <c r="AI16" s="66">
        <f t="shared" si="30"/>
        <v>0</v>
      </c>
      <c r="AJ16" s="66">
        <f t="shared" si="31"/>
        <v>0</v>
      </c>
      <c r="AK16" s="66">
        <f t="shared" si="32"/>
        <v>0</v>
      </c>
      <c r="AL16" s="68">
        <v>1250.0</v>
      </c>
      <c r="AM16" s="66">
        <f t="shared" si="22"/>
        <v>101576.5766</v>
      </c>
      <c r="AN16" s="69">
        <f t="shared" si="23"/>
        <v>2134358.108</v>
      </c>
      <c r="AO16" s="70" t="str">
        <f t="shared" si="24"/>
        <v>#DIV/0!</v>
      </c>
      <c r="AP16" s="71">
        <f t="shared" si="25"/>
        <v>-2134358.108</v>
      </c>
      <c r="AQ16" s="66">
        <f t="shared" si="26"/>
        <v>0</v>
      </c>
      <c r="AR16" s="78"/>
      <c r="AS16" s="73">
        <f t="shared" si="27"/>
        <v>0</v>
      </c>
    </row>
    <row r="17">
      <c r="A17" s="77" t="s">
        <v>41</v>
      </c>
      <c r="B17" s="65">
        <f>'HPP MALL'!B17</f>
        <v>3850</v>
      </c>
      <c r="C17" s="65">
        <f t="shared" si="1"/>
        <v>3157</v>
      </c>
      <c r="D17" s="66">
        <f t="shared" si="2"/>
        <v>2844.144144</v>
      </c>
      <c r="E17" s="67">
        <v>5.0</v>
      </c>
      <c r="F17" s="66">
        <f t="shared" si="3"/>
        <v>2600</v>
      </c>
      <c r="G17" s="66">
        <f t="shared" si="4"/>
        <v>1170</v>
      </c>
      <c r="H17" s="66">
        <f t="shared" si="5"/>
        <v>2080</v>
      </c>
      <c r="I17" s="66">
        <f t="shared" si="6"/>
        <v>0</v>
      </c>
      <c r="J17" s="68">
        <v>1250.0</v>
      </c>
      <c r="K17" s="66">
        <f t="shared" si="7"/>
        <v>995.4504505</v>
      </c>
      <c r="L17" s="69">
        <f t="shared" si="8"/>
        <v>22316.17117</v>
      </c>
      <c r="M17" s="70">
        <f t="shared" si="9"/>
        <v>0.04727115385</v>
      </c>
      <c r="N17" s="71">
        <f t="shared" si="10"/>
        <v>1107.252252</v>
      </c>
      <c r="O17" s="66">
        <f t="shared" si="11"/>
        <v>23423.42342</v>
      </c>
      <c r="P17" s="78">
        <v>26000.0</v>
      </c>
      <c r="Q17" s="73">
        <f t="shared" si="12"/>
        <v>5200</v>
      </c>
      <c r="R17" s="74"/>
      <c r="S17" s="75">
        <v>50.0</v>
      </c>
      <c r="T17" s="66">
        <f t="shared" si="13"/>
        <v>23900</v>
      </c>
      <c r="U17" s="66">
        <f t="shared" si="14"/>
        <v>11950</v>
      </c>
      <c r="V17" s="66">
        <f t="shared" si="15"/>
        <v>19120</v>
      </c>
      <c r="W17" s="66">
        <f t="shared" si="16"/>
        <v>0</v>
      </c>
      <c r="X17" s="68">
        <v>1250.0</v>
      </c>
      <c r="Y17" s="66">
        <f t="shared" si="28"/>
        <v>9954.504505</v>
      </c>
      <c r="Z17" s="69">
        <f t="shared" si="17"/>
        <v>208381.7117</v>
      </c>
      <c r="AA17" s="70">
        <f t="shared" si="18"/>
        <v>0.03220209205</v>
      </c>
      <c r="AB17" s="71">
        <f t="shared" si="19"/>
        <v>6933.603604</v>
      </c>
      <c r="AC17" s="66">
        <f t="shared" si="20"/>
        <v>215315.3153</v>
      </c>
      <c r="AD17" s="78">
        <v>239000.0</v>
      </c>
      <c r="AE17" s="73">
        <f t="shared" si="21"/>
        <v>4780</v>
      </c>
      <c r="AF17" s="76"/>
      <c r="AG17" s="75">
        <v>500.0</v>
      </c>
      <c r="AH17" s="66">
        <f t="shared" si="29"/>
        <v>0</v>
      </c>
      <c r="AI17" s="66">
        <f t="shared" si="30"/>
        <v>0</v>
      </c>
      <c r="AJ17" s="66">
        <f t="shared" si="31"/>
        <v>0</v>
      </c>
      <c r="AK17" s="66">
        <f t="shared" si="32"/>
        <v>0</v>
      </c>
      <c r="AL17" s="68">
        <v>1250.0</v>
      </c>
      <c r="AM17" s="66">
        <f t="shared" si="22"/>
        <v>71103.6036</v>
      </c>
      <c r="AN17" s="69">
        <f t="shared" si="23"/>
        <v>1494425.676</v>
      </c>
      <c r="AO17" s="70" t="str">
        <f t="shared" si="24"/>
        <v>#DIV/0!</v>
      </c>
      <c r="AP17" s="71">
        <f t="shared" si="25"/>
        <v>-1494425.676</v>
      </c>
      <c r="AQ17" s="66">
        <f t="shared" si="26"/>
        <v>0</v>
      </c>
      <c r="AR17" s="78"/>
      <c r="AS17" s="73">
        <f t="shared" si="27"/>
        <v>0</v>
      </c>
    </row>
    <row r="18">
      <c r="A18" s="77" t="s">
        <v>42</v>
      </c>
      <c r="B18" s="65">
        <f>'HPP MALL'!B18</f>
        <v>4350</v>
      </c>
      <c r="C18" s="65">
        <f t="shared" si="1"/>
        <v>3567</v>
      </c>
      <c r="D18" s="66">
        <f t="shared" si="2"/>
        <v>3213.513514</v>
      </c>
      <c r="E18" s="79">
        <v>5.0</v>
      </c>
      <c r="F18" s="66">
        <f t="shared" si="3"/>
        <v>3300</v>
      </c>
      <c r="G18" s="66">
        <f t="shared" si="4"/>
        <v>1485</v>
      </c>
      <c r="H18" s="66">
        <f t="shared" si="5"/>
        <v>2640</v>
      </c>
      <c r="I18" s="66">
        <f t="shared" si="6"/>
        <v>0</v>
      </c>
      <c r="J18" s="68">
        <v>1250.0</v>
      </c>
      <c r="K18" s="66">
        <f t="shared" si="7"/>
        <v>1124.72973</v>
      </c>
      <c r="L18" s="69">
        <f t="shared" si="8"/>
        <v>25867.2973</v>
      </c>
      <c r="M18" s="70">
        <f t="shared" si="9"/>
        <v>0.1299181818</v>
      </c>
      <c r="N18" s="71">
        <f t="shared" si="10"/>
        <v>3862.432432</v>
      </c>
      <c r="O18" s="66">
        <f t="shared" si="11"/>
        <v>29729.72973</v>
      </c>
      <c r="P18" s="78">
        <v>33000.0</v>
      </c>
      <c r="Q18" s="73">
        <f t="shared" si="12"/>
        <v>6600</v>
      </c>
      <c r="R18" s="74"/>
      <c r="S18" s="75">
        <v>50.0</v>
      </c>
      <c r="T18" s="66">
        <f t="shared" si="13"/>
        <v>26900</v>
      </c>
      <c r="U18" s="66">
        <f t="shared" si="14"/>
        <v>13450</v>
      </c>
      <c r="V18" s="66">
        <f t="shared" si="15"/>
        <v>21520</v>
      </c>
      <c r="W18" s="66">
        <f t="shared" si="16"/>
        <v>0</v>
      </c>
      <c r="X18" s="68">
        <v>1250.0</v>
      </c>
      <c r="Y18" s="66">
        <f t="shared" si="28"/>
        <v>11247.2973</v>
      </c>
      <c r="Z18" s="69">
        <f t="shared" si="17"/>
        <v>235042.973</v>
      </c>
      <c r="AA18" s="70">
        <f t="shared" si="18"/>
        <v>0.03012007435</v>
      </c>
      <c r="AB18" s="71">
        <f t="shared" si="19"/>
        <v>7299.369369</v>
      </c>
      <c r="AC18" s="66">
        <f t="shared" si="20"/>
        <v>242342.3423</v>
      </c>
      <c r="AD18" s="78">
        <v>269000.0</v>
      </c>
      <c r="AE18" s="73">
        <f t="shared" si="21"/>
        <v>5380</v>
      </c>
      <c r="AF18" s="76"/>
      <c r="AG18" s="75">
        <v>500.0</v>
      </c>
      <c r="AH18" s="66">
        <f t="shared" si="29"/>
        <v>0</v>
      </c>
      <c r="AI18" s="66">
        <f t="shared" si="30"/>
        <v>0</v>
      </c>
      <c r="AJ18" s="66">
        <f t="shared" si="31"/>
        <v>0</v>
      </c>
      <c r="AK18" s="66">
        <f t="shared" si="32"/>
        <v>0</v>
      </c>
      <c r="AL18" s="68">
        <v>1250.0</v>
      </c>
      <c r="AM18" s="66">
        <f t="shared" si="22"/>
        <v>80337.83784</v>
      </c>
      <c r="AN18" s="69">
        <f t="shared" si="23"/>
        <v>1688344.595</v>
      </c>
      <c r="AO18" s="70" t="str">
        <f t="shared" si="24"/>
        <v>#DIV/0!</v>
      </c>
      <c r="AP18" s="71">
        <f t="shared" si="25"/>
        <v>-1688344.595</v>
      </c>
      <c r="AQ18" s="66">
        <f t="shared" si="26"/>
        <v>0</v>
      </c>
      <c r="AR18" s="78"/>
      <c r="AS18" s="73">
        <f t="shared" si="27"/>
        <v>0</v>
      </c>
    </row>
    <row r="19">
      <c r="A19" s="77" t="s">
        <v>43</v>
      </c>
      <c r="B19" s="65">
        <f>'HPP MALL'!B19</f>
        <v>49000</v>
      </c>
      <c r="C19" s="65">
        <f t="shared" si="1"/>
        <v>40180</v>
      </c>
      <c r="D19" s="66">
        <f t="shared" si="2"/>
        <v>36198.1982</v>
      </c>
      <c r="E19" s="79">
        <v>1.0</v>
      </c>
      <c r="F19" s="66">
        <f t="shared" si="3"/>
        <v>6150</v>
      </c>
      <c r="G19" s="66">
        <f t="shared" si="4"/>
        <v>2767.5</v>
      </c>
      <c r="H19" s="66">
        <f t="shared" si="5"/>
        <v>4920</v>
      </c>
      <c r="I19" s="66">
        <f t="shared" si="6"/>
        <v>0</v>
      </c>
      <c r="J19" s="68">
        <v>1250.0</v>
      </c>
      <c r="K19" s="66">
        <f t="shared" si="7"/>
        <v>2533.873874</v>
      </c>
      <c r="L19" s="69">
        <f t="shared" si="8"/>
        <v>53819.57207</v>
      </c>
      <c r="M19" s="70">
        <f t="shared" si="9"/>
        <v>0.02862235772</v>
      </c>
      <c r="N19" s="71">
        <f t="shared" si="10"/>
        <v>1585.833333</v>
      </c>
      <c r="O19" s="66">
        <f t="shared" si="11"/>
        <v>55405.40541</v>
      </c>
      <c r="P19" s="78">
        <v>61500.0</v>
      </c>
      <c r="Q19" s="73">
        <f t="shared" si="12"/>
        <v>61500</v>
      </c>
      <c r="R19" s="74"/>
      <c r="S19" s="75"/>
      <c r="T19" s="66">
        <f t="shared" si="13"/>
        <v>0</v>
      </c>
      <c r="U19" s="66">
        <f t="shared" si="14"/>
        <v>0</v>
      </c>
      <c r="V19" s="66">
        <f t="shared" si="15"/>
        <v>0</v>
      </c>
      <c r="W19" s="66">
        <f t="shared" si="16"/>
        <v>0</v>
      </c>
      <c r="X19" s="68">
        <v>1250.0</v>
      </c>
      <c r="Y19" s="66">
        <f t="shared" si="28"/>
        <v>0</v>
      </c>
      <c r="Z19" s="69">
        <f t="shared" si="17"/>
        <v>1250</v>
      </c>
      <c r="AA19" s="70" t="str">
        <f t="shared" si="18"/>
        <v>#DIV/0!</v>
      </c>
      <c r="AB19" s="71">
        <f t="shared" si="19"/>
        <v>-1250</v>
      </c>
      <c r="AC19" s="66">
        <f t="shared" si="20"/>
        <v>0</v>
      </c>
      <c r="AD19" s="78"/>
      <c r="AE19" s="73" t="str">
        <f t="shared" si="21"/>
        <v>#DIV/0!</v>
      </c>
      <c r="AF19" s="76"/>
      <c r="AG19" s="75"/>
      <c r="AH19" s="66">
        <f t="shared" si="29"/>
        <v>0</v>
      </c>
      <c r="AI19" s="66">
        <f t="shared" si="30"/>
        <v>0</v>
      </c>
      <c r="AJ19" s="66">
        <f t="shared" si="31"/>
        <v>0</v>
      </c>
      <c r="AK19" s="66">
        <f t="shared" si="32"/>
        <v>0</v>
      </c>
      <c r="AL19" s="68">
        <v>1250.0</v>
      </c>
      <c r="AM19" s="66">
        <f t="shared" si="22"/>
        <v>0</v>
      </c>
      <c r="AN19" s="69">
        <f t="shared" si="23"/>
        <v>1250</v>
      </c>
      <c r="AO19" s="70" t="str">
        <f t="shared" si="24"/>
        <v>#DIV/0!</v>
      </c>
      <c r="AP19" s="71">
        <f t="shared" si="25"/>
        <v>-1250</v>
      </c>
      <c r="AQ19" s="66">
        <f t="shared" si="26"/>
        <v>0</v>
      </c>
      <c r="AR19" s="78"/>
      <c r="AS19" s="73" t="str">
        <f t="shared" si="27"/>
        <v>#DIV/0!</v>
      </c>
    </row>
    <row r="20">
      <c r="A20" s="83" t="s">
        <v>162</v>
      </c>
      <c r="B20" s="65">
        <f>'HPP MALL'!B20</f>
        <v>51000</v>
      </c>
      <c r="C20" s="65">
        <f t="shared" si="1"/>
        <v>41820</v>
      </c>
      <c r="D20" s="66">
        <f t="shared" si="2"/>
        <v>37675.67568</v>
      </c>
      <c r="E20" s="79">
        <v>1.0</v>
      </c>
      <c r="F20" s="66">
        <f t="shared" si="3"/>
        <v>6300</v>
      </c>
      <c r="G20" s="66">
        <f t="shared" si="4"/>
        <v>2835</v>
      </c>
      <c r="H20" s="66">
        <f t="shared" si="5"/>
        <v>5040</v>
      </c>
      <c r="I20" s="66">
        <f t="shared" si="6"/>
        <v>0</v>
      </c>
      <c r="J20" s="68">
        <v>1250.0</v>
      </c>
      <c r="K20" s="66">
        <f t="shared" si="7"/>
        <v>2637.297297</v>
      </c>
      <c r="L20" s="69">
        <f t="shared" si="8"/>
        <v>55737.97297</v>
      </c>
      <c r="M20" s="70">
        <f t="shared" si="9"/>
        <v>0.01795</v>
      </c>
      <c r="N20" s="71">
        <f t="shared" si="10"/>
        <v>1018.783784</v>
      </c>
      <c r="O20" s="66">
        <f t="shared" si="11"/>
        <v>56756.75676</v>
      </c>
      <c r="P20" s="78">
        <v>63000.0</v>
      </c>
      <c r="Q20" s="73">
        <f t="shared" si="12"/>
        <v>63000</v>
      </c>
      <c r="R20" s="74"/>
      <c r="S20" s="75"/>
      <c r="T20" s="66"/>
      <c r="U20" s="66"/>
      <c r="V20" s="66"/>
      <c r="W20" s="66"/>
      <c r="X20" s="68"/>
      <c r="Y20" s="66"/>
      <c r="Z20" s="69"/>
      <c r="AA20" s="70"/>
      <c r="AB20" s="71"/>
      <c r="AC20" s="66"/>
      <c r="AD20" s="78"/>
      <c r="AE20" s="73"/>
      <c r="AF20" s="76"/>
      <c r="AG20" s="75"/>
      <c r="AH20" s="66"/>
      <c r="AI20" s="66"/>
      <c r="AJ20" s="66"/>
      <c r="AK20" s="66"/>
      <c r="AL20" s="68"/>
      <c r="AM20" s="66"/>
      <c r="AN20" s="69"/>
      <c r="AO20" s="70"/>
      <c r="AP20" s="71"/>
      <c r="AQ20" s="66"/>
      <c r="AR20" s="78"/>
      <c r="AS20" s="73"/>
    </row>
    <row r="21">
      <c r="A21" s="84" t="s">
        <v>45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6"/>
      <c r="S21" s="87"/>
      <c r="T21" s="87"/>
      <c r="U21" s="87"/>
      <c r="V21" s="88"/>
      <c r="W21" s="88"/>
      <c r="X21" s="88"/>
      <c r="Y21" s="89"/>
      <c r="Z21" s="89"/>
      <c r="AA21" s="90"/>
      <c r="AB21" s="89"/>
      <c r="AC21" s="89"/>
      <c r="AD21" s="91"/>
      <c r="AE21" s="92"/>
      <c r="AF21" s="93"/>
      <c r="AG21" s="94"/>
      <c r="AH21" s="89" t="s">
        <v>46</v>
      </c>
      <c r="AI21" s="88"/>
      <c r="AJ21" s="88"/>
      <c r="AK21" s="88"/>
      <c r="AL21" s="88"/>
      <c r="AM21" s="89" t="s">
        <v>46</v>
      </c>
      <c r="AN21" s="89" t="s">
        <v>46</v>
      </c>
      <c r="AO21" s="90" t="e">
        <v>#DIV/0!</v>
      </c>
      <c r="AP21" s="89" t="s">
        <v>46</v>
      </c>
      <c r="AQ21" s="89" t="s">
        <v>46</v>
      </c>
      <c r="AR21" s="91"/>
      <c r="AS21" s="92"/>
      <c r="AT21" s="94"/>
      <c r="AU21" s="89" t="s">
        <v>46</v>
      </c>
      <c r="AV21" s="88"/>
      <c r="AW21" s="89" t="s">
        <v>46</v>
      </c>
      <c r="AX21" s="89" t="s">
        <v>46</v>
      </c>
      <c r="AY21" s="90" t="e">
        <v>#DIV/0!</v>
      </c>
      <c r="AZ21" s="89" t="s">
        <v>46</v>
      </c>
      <c r="BA21" s="89" t="s">
        <v>46</v>
      </c>
      <c r="BB21" s="91"/>
      <c r="BC21" s="94"/>
    </row>
    <row r="22">
      <c r="A22" s="95" t="s">
        <v>47</v>
      </c>
      <c r="B22" s="66">
        <f>B7*5+B13</f>
        <v>26400</v>
      </c>
      <c r="C22" s="65">
        <f t="shared" ref="C22:C27" si="33">B22*$C$4</f>
        <v>21648</v>
      </c>
      <c r="D22" s="66">
        <f t="shared" ref="D22:D27" si="34">C22/$D$4</f>
        <v>19502.7027</v>
      </c>
      <c r="E22" s="96">
        <v>1.0</v>
      </c>
      <c r="F22" s="66">
        <f t="shared" ref="F22:F27" si="35">P22*$F$3</f>
        <v>3300</v>
      </c>
      <c r="G22" s="66">
        <f t="shared" ref="G22:G27" si="36">P22*$G$3</f>
        <v>1485</v>
      </c>
      <c r="H22" s="66">
        <f t="shared" ref="H22:H27" si="37">P22*$H$3</f>
        <v>2640</v>
      </c>
      <c r="I22" s="66">
        <f t="shared" ref="I22:I27" si="38">P22*$I$3</f>
        <v>0</v>
      </c>
      <c r="J22" s="68">
        <v>1250.0</v>
      </c>
      <c r="K22" s="66">
        <f t="shared" ref="K22:K45" si="39">D22*$K$3*E22</f>
        <v>1365.189189</v>
      </c>
      <c r="L22" s="69">
        <f t="shared" ref="L22:L27" si="40">(D22*E22)+F22+G22+H22+I22+J22+K22</f>
        <v>29542.89189</v>
      </c>
      <c r="M22" s="70">
        <f t="shared" ref="M22:M27" si="41">N22/O22</f>
        <v>0.006284545455</v>
      </c>
      <c r="N22" s="71">
        <f t="shared" ref="N22:N27" si="42">O22-L22</f>
        <v>186.8378378</v>
      </c>
      <c r="O22" s="66">
        <f t="shared" ref="O22:O27" si="43">P22/$O$4</f>
        <v>29729.72973</v>
      </c>
      <c r="P22" s="78">
        <v>33000.0</v>
      </c>
      <c r="Q22" s="73">
        <f t="shared" ref="Q22:Q27" si="44">P22/E22</f>
        <v>33000</v>
      </c>
      <c r="R22" s="74"/>
      <c r="S22" s="75"/>
      <c r="T22" s="66">
        <f t="shared" ref="T22:T24" si="45">AD22*$T$3</f>
        <v>0</v>
      </c>
      <c r="U22" s="66">
        <f t="shared" ref="U22:U24" si="46">AD22*$U$3</f>
        <v>0</v>
      </c>
      <c r="V22" s="66">
        <f t="shared" ref="V22:V24" si="47">AD22*$V$3</f>
        <v>0</v>
      </c>
      <c r="W22" s="66">
        <f t="shared" ref="W22:W24" si="48">AD22*$W$3</f>
        <v>0</v>
      </c>
      <c r="X22" s="68">
        <v>1250.0</v>
      </c>
      <c r="Y22" s="66">
        <f t="shared" ref="Y22:Y45" si="49">D22*$Y$3*S22</f>
        <v>0</v>
      </c>
      <c r="Z22" s="69">
        <f t="shared" ref="Z22:Z24" si="50">(D22*S22)+T22+U22+V22+W22+X22+Y22</f>
        <v>1250</v>
      </c>
      <c r="AA22" s="70" t="str">
        <f t="shared" ref="AA22:AA24" si="51">AB22/AC22</f>
        <v>#DIV/0!</v>
      </c>
      <c r="AB22" s="71">
        <f t="shared" ref="AB22:AB24" si="52">AC22-Z22</f>
        <v>-1250</v>
      </c>
      <c r="AC22" s="66">
        <f t="shared" ref="AC22:AC24" si="53">AD22/$O$4</f>
        <v>0</v>
      </c>
      <c r="AD22" s="78"/>
      <c r="AE22" s="73" t="str">
        <f t="shared" ref="AE22:AE24" si="54">AD22/S22</f>
        <v>#DIV/0!</v>
      </c>
      <c r="AF22" s="76"/>
      <c r="AG22" s="75"/>
      <c r="AH22" s="66">
        <f t="shared" ref="AH22:AH24" si="55">AR22*$AH$3</f>
        <v>0</v>
      </c>
      <c r="AI22" s="66">
        <f t="shared" ref="AI22:AI24" si="56">AR22*$AI$3</f>
        <v>0</v>
      </c>
      <c r="AJ22" s="66">
        <f t="shared" ref="AJ22:AJ24" si="57">AR22*$AJ$3</f>
        <v>0</v>
      </c>
      <c r="AK22" s="66">
        <f t="shared" ref="AK22:AK24" si="58">AR22*$AK$3</f>
        <v>0</v>
      </c>
      <c r="AL22" s="68">
        <v>1250.0</v>
      </c>
      <c r="AM22" s="66">
        <f t="shared" ref="AM22:AM24" si="59">AF22*$AM$3</f>
        <v>0</v>
      </c>
      <c r="AN22" s="69">
        <f t="shared" ref="AN22:AN24" si="60">(R22*AG22)+AH22+AI22+AJ22+AK22+AL22+AM22</f>
        <v>1250</v>
      </c>
      <c r="AO22" s="70" t="str">
        <f t="shared" ref="AO22:AO24" si="61">AP22/AQ22</f>
        <v>#DIV/0!</v>
      </c>
      <c r="AP22" s="71">
        <f t="shared" ref="AP22:AP24" si="62">AQ22-AN22</f>
        <v>-1250</v>
      </c>
      <c r="AQ22" s="66">
        <f t="shared" ref="AQ22:AQ24" si="63">AR22/$O$4</f>
        <v>0</v>
      </c>
      <c r="AR22" s="78"/>
      <c r="AS22" s="73" t="str">
        <f t="shared" ref="AS22:AS24" si="64">AR22/AG22</f>
        <v>#DIV/0!</v>
      </c>
    </row>
    <row r="23">
      <c r="A23" s="95" t="s">
        <v>48</v>
      </c>
      <c r="B23" s="66">
        <f>B7*5+B13*2</f>
        <v>32300</v>
      </c>
      <c r="C23" s="65">
        <f t="shared" si="33"/>
        <v>26486</v>
      </c>
      <c r="D23" s="66">
        <f t="shared" si="34"/>
        <v>23861.26126</v>
      </c>
      <c r="E23" s="96">
        <v>1.0</v>
      </c>
      <c r="F23" s="66">
        <f t="shared" si="35"/>
        <v>4000</v>
      </c>
      <c r="G23" s="66">
        <f t="shared" si="36"/>
        <v>1800</v>
      </c>
      <c r="H23" s="66">
        <f t="shared" si="37"/>
        <v>3200</v>
      </c>
      <c r="I23" s="66">
        <f t="shared" si="38"/>
        <v>0</v>
      </c>
      <c r="J23" s="68">
        <v>1250.0</v>
      </c>
      <c r="K23" s="66">
        <f t="shared" si="39"/>
        <v>1670.288288</v>
      </c>
      <c r="L23" s="69">
        <f t="shared" si="40"/>
        <v>35781.54955</v>
      </c>
      <c r="M23" s="70">
        <f t="shared" si="41"/>
        <v>0.007062</v>
      </c>
      <c r="N23" s="71">
        <f t="shared" si="42"/>
        <v>254.4864865</v>
      </c>
      <c r="O23" s="66">
        <f t="shared" si="43"/>
        <v>36036.03604</v>
      </c>
      <c r="P23" s="78">
        <v>40000.0</v>
      </c>
      <c r="Q23" s="73">
        <f t="shared" si="44"/>
        <v>40000</v>
      </c>
      <c r="R23" s="74"/>
      <c r="S23" s="75"/>
      <c r="T23" s="66">
        <f t="shared" si="45"/>
        <v>0</v>
      </c>
      <c r="U23" s="66">
        <f t="shared" si="46"/>
        <v>0</v>
      </c>
      <c r="V23" s="66">
        <f t="shared" si="47"/>
        <v>0</v>
      </c>
      <c r="W23" s="66">
        <f t="shared" si="48"/>
        <v>0</v>
      </c>
      <c r="X23" s="68">
        <v>1250.0</v>
      </c>
      <c r="Y23" s="66">
        <f t="shared" si="49"/>
        <v>0</v>
      </c>
      <c r="Z23" s="69">
        <f t="shared" si="50"/>
        <v>1250</v>
      </c>
      <c r="AA23" s="70" t="str">
        <f t="shared" si="51"/>
        <v>#DIV/0!</v>
      </c>
      <c r="AB23" s="71">
        <f t="shared" si="52"/>
        <v>-1250</v>
      </c>
      <c r="AC23" s="66">
        <f t="shared" si="53"/>
        <v>0</v>
      </c>
      <c r="AD23" s="78"/>
      <c r="AE23" s="73" t="str">
        <f t="shared" si="54"/>
        <v>#DIV/0!</v>
      </c>
      <c r="AF23" s="76"/>
      <c r="AG23" s="75"/>
      <c r="AH23" s="66">
        <f t="shared" si="55"/>
        <v>0</v>
      </c>
      <c r="AI23" s="66">
        <f t="shared" si="56"/>
        <v>0</v>
      </c>
      <c r="AJ23" s="66">
        <f t="shared" si="57"/>
        <v>0</v>
      </c>
      <c r="AK23" s="66">
        <f t="shared" si="58"/>
        <v>0</v>
      </c>
      <c r="AL23" s="68">
        <v>1250.0</v>
      </c>
      <c r="AM23" s="66">
        <f t="shared" si="59"/>
        <v>0</v>
      </c>
      <c r="AN23" s="69">
        <f t="shared" si="60"/>
        <v>1250</v>
      </c>
      <c r="AO23" s="70" t="str">
        <f t="shared" si="61"/>
        <v>#DIV/0!</v>
      </c>
      <c r="AP23" s="71">
        <f t="shared" si="62"/>
        <v>-1250</v>
      </c>
      <c r="AQ23" s="66">
        <f t="shared" si="63"/>
        <v>0</v>
      </c>
      <c r="AR23" s="78"/>
      <c r="AS23" s="73" t="str">
        <f t="shared" si="64"/>
        <v>#DIV/0!</v>
      </c>
    </row>
    <row r="24">
      <c r="A24" s="97" t="s">
        <v>49</v>
      </c>
      <c r="B24" s="66">
        <f>B8+B13</f>
        <v>30900</v>
      </c>
      <c r="C24" s="65">
        <f t="shared" si="33"/>
        <v>25338</v>
      </c>
      <c r="D24" s="66">
        <f t="shared" si="34"/>
        <v>22827.02703</v>
      </c>
      <c r="E24" s="96">
        <v>1.0</v>
      </c>
      <c r="F24" s="66">
        <f t="shared" si="35"/>
        <v>3950</v>
      </c>
      <c r="G24" s="66">
        <f t="shared" si="36"/>
        <v>1777.5</v>
      </c>
      <c r="H24" s="66">
        <f t="shared" si="37"/>
        <v>3160</v>
      </c>
      <c r="I24" s="66">
        <f t="shared" si="38"/>
        <v>0</v>
      </c>
      <c r="J24" s="68">
        <v>1250.0</v>
      </c>
      <c r="K24" s="66">
        <f t="shared" si="39"/>
        <v>1597.891892</v>
      </c>
      <c r="L24" s="69">
        <f t="shared" si="40"/>
        <v>34562.41892</v>
      </c>
      <c r="M24" s="70">
        <f t="shared" si="41"/>
        <v>0.02875227848</v>
      </c>
      <c r="N24" s="71">
        <f t="shared" si="42"/>
        <v>1023.166667</v>
      </c>
      <c r="O24" s="66">
        <f t="shared" si="43"/>
        <v>35585.58559</v>
      </c>
      <c r="P24" s="78">
        <v>39500.0</v>
      </c>
      <c r="Q24" s="73">
        <f t="shared" si="44"/>
        <v>39500</v>
      </c>
      <c r="R24" s="74"/>
      <c r="S24" s="75"/>
      <c r="T24" s="66">
        <f t="shared" si="45"/>
        <v>0</v>
      </c>
      <c r="U24" s="66">
        <f t="shared" si="46"/>
        <v>0</v>
      </c>
      <c r="V24" s="66">
        <f t="shared" si="47"/>
        <v>0</v>
      </c>
      <c r="W24" s="66">
        <f t="shared" si="48"/>
        <v>0</v>
      </c>
      <c r="X24" s="68">
        <v>1250.0</v>
      </c>
      <c r="Y24" s="66">
        <f t="shared" si="49"/>
        <v>0</v>
      </c>
      <c r="Z24" s="69">
        <f t="shared" si="50"/>
        <v>1250</v>
      </c>
      <c r="AA24" s="70" t="str">
        <f t="shared" si="51"/>
        <v>#DIV/0!</v>
      </c>
      <c r="AB24" s="71">
        <f t="shared" si="52"/>
        <v>-1250</v>
      </c>
      <c r="AC24" s="66">
        <f t="shared" si="53"/>
        <v>0</v>
      </c>
      <c r="AD24" s="78"/>
      <c r="AE24" s="73" t="str">
        <f t="shared" si="54"/>
        <v>#DIV/0!</v>
      </c>
      <c r="AF24" s="76"/>
      <c r="AG24" s="75"/>
      <c r="AH24" s="66">
        <f t="shared" si="55"/>
        <v>0</v>
      </c>
      <c r="AI24" s="66">
        <f t="shared" si="56"/>
        <v>0</v>
      </c>
      <c r="AJ24" s="66">
        <f t="shared" si="57"/>
        <v>0</v>
      </c>
      <c r="AK24" s="66">
        <f t="shared" si="58"/>
        <v>0</v>
      </c>
      <c r="AL24" s="68">
        <v>1250.0</v>
      </c>
      <c r="AM24" s="66">
        <f t="shared" si="59"/>
        <v>0</v>
      </c>
      <c r="AN24" s="69">
        <f t="shared" si="60"/>
        <v>1250</v>
      </c>
      <c r="AO24" s="70" t="str">
        <f t="shared" si="61"/>
        <v>#DIV/0!</v>
      </c>
      <c r="AP24" s="71">
        <f t="shared" si="62"/>
        <v>-1250</v>
      </c>
      <c r="AQ24" s="66">
        <f t="shared" si="63"/>
        <v>0</v>
      </c>
      <c r="AR24" s="78"/>
      <c r="AS24" s="73" t="str">
        <f t="shared" si="64"/>
        <v>#DIV/0!</v>
      </c>
    </row>
    <row r="25">
      <c r="A25" s="97" t="s">
        <v>50</v>
      </c>
      <c r="B25" s="66">
        <f>B8*2+B13*2</f>
        <v>61800</v>
      </c>
      <c r="C25" s="65">
        <f t="shared" si="33"/>
        <v>50676</v>
      </c>
      <c r="D25" s="66">
        <f t="shared" si="34"/>
        <v>45654.05405</v>
      </c>
      <c r="E25" s="96">
        <v>1.0</v>
      </c>
      <c r="F25" s="66">
        <f t="shared" si="35"/>
        <v>7600</v>
      </c>
      <c r="G25" s="66">
        <f t="shared" si="36"/>
        <v>3420</v>
      </c>
      <c r="H25" s="66">
        <f t="shared" si="37"/>
        <v>6080</v>
      </c>
      <c r="I25" s="66">
        <f t="shared" si="38"/>
        <v>0</v>
      </c>
      <c r="J25" s="68">
        <v>1250.0</v>
      </c>
      <c r="K25" s="66">
        <f t="shared" si="39"/>
        <v>3195.783784</v>
      </c>
      <c r="L25" s="69">
        <f t="shared" si="40"/>
        <v>67199.83784</v>
      </c>
      <c r="M25" s="70">
        <f t="shared" si="41"/>
        <v>0.01852868421</v>
      </c>
      <c r="N25" s="71">
        <f t="shared" si="42"/>
        <v>1268.630631</v>
      </c>
      <c r="O25" s="66">
        <f t="shared" si="43"/>
        <v>68468.46847</v>
      </c>
      <c r="P25" s="78">
        <v>76000.0</v>
      </c>
      <c r="Q25" s="73">
        <f t="shared" si="44"/>
        <v>76000</v>
      </c>
      <c r="R25" s="74"/>
      <c r="S25" s="75"/>
      <c r="T25" s="66"/>
      <c r="U25" s="66"/>
      <c r="V25" s="66"/>
      <c r="W25" s="66"/>
      <c r="X25" s="68"/>
      <c r="Y25" s="66">
        <f t="shared" si="49"/>
        <v>0</v>
      </c>
      <c r="Z25" s="69"/>
      <c r="AA25" s="70"/>
      <c r="AB25" s="71"/>
      <c r="AC25" s="66"/>
      <c r="AD25" s="78"/>
      <c r="AE25" s="73"/>
      <c r="AF25" s="76"/>
      <c r="AG25" s="75"/>
      <c r="AH25" s="66"/>
      <c r="AI25" s="66"/>
      <c r="AJ25" s="66"/>
      <c r="AK25" s="66"/>
      <c r="AL25" s="68"/>
      <c r="AM25" s="66"/>
      <c r="AN25" s="69"/>
      <c r="AO25" s="70"/>
      <c r="AP25" s="71"/>
      <c r="AQ25" s="66"/>
      <c r="AR25" s="78"/>
      <c r="AS25" s="73"/>
    </row>
    <row r="26">
      <c r="A26" s="97" t="s">
        <v>51</v>
      </c>
      <c r="B26" s="66">
        <f>B8*4+B13</f>
        <v>105900</v>
      </c>
      <c r="C26" s="65">
        <f t="shared" si="33"/>
        <v>86838</v>
      </c>
      <c r="D26" s="66">
        <f t="shared" si="34"/>
        <v>78232.43243</v>
      </c>
      <c r="E26" s="96">
        <v>1.0</v>
      </c>
      <c r="F26" s="66">
        <f t="shared" si="35"/>
        <v>12650</v>
      </c>
      <c r="G26" s="66">
        <f t="shared" si="36"/>
        <v>5692.5</v>
      </c>
      <c r="H26" s="66">
        <f t="shared" si="37"/>
        <v>10120</v>
      </c>
      <c r="I26" s="66">
        <f t="shared" si="38"/>
        <v>0</v>
      </c>
      <c r="J26" s="68">
        <v>1250.0</v>
      </c>
      <c r="K26" s="66">
        <f t="shared" si="39"/>
        <v>5476.27027</v>
      </c>
      <c r="L26" s="69">
        <f t="shared" si="40"/>
        <v>113421.2027</v>
      </c>
      <c r="M26" s="70">
        <f t="shared" si="41"/>
        <v>0.00476256917</v>
      </c>
      <c r="N26" s="71">
        <f t="shared" si="42"/>
        <v>542.7612613</v>
      </c>
      <c r="O26" s="66">
        <f t="shared" si="43"/>
        <v>113963.964</v>
      </c>
      <c r="P26" s="78">
        <v>126500.0</v>
      </c>
      <c r="Q26" s="73">
        <f t="shared" si="44"/>
        <v>126500</v>
      </c>
      <c r="R26" s="74"/>
      <c r="S26" s="75"/>
      <c r="T26" s="66"/>
      <c r="U26" s="66"/>
      <c r="V26" s="66"/>
      <c r="W26" s="66"/>
      <c r="X26" s="68"/>
      <c r="Y26" s="66">
        <f t="shared" si="49"/>
        <v>0</v>
      </c>
      <c r="Z26" s="69"/>
      <c r="AA26" s="70"/>
      <c r="AB26" s="71"/>
      <c r="AC26" s="66"/>
      <c r="AD26" s="78"/>
      <c r="AE26" s="73"/>
      <c r="AF26" s="76"/>
      <c r="AG26" s="75"/>
      <c r="AH26" s="66"/>
      <c r="AI26" s="66"/>
      <c r="AJ26" s="66"/>
      <c r="AK26" s="66"/>
      <c r="AL26" s="68"/>
      <c r="AM26" s="66"/>
      <c r="AN26" s="69"/>
      <c r="AO26" s="70"/>
      <c r="AP26" s="71"/>
      <c r="AQ26" s="66"/>
      <c r="AR26" s="78"/>
      <c r="AS26" s="73"/>
    </row>
    <row r="27">
      <c r="A27" s="97" t="s">
        <v>52</v>
      </c>
      <c r="B27" s="66">
        <f>B8*4+B13*2</f>
        <v>111800</v>
      </c>
      <c r="C27" s="65">
        <f t="shared" si="33"/>
        <v>91676</v>
      </c>
      <c r="D27" s="66">
        <f t="shared" si="34"/>
        <v>82590.99099</v>
      </c>
      <c r="E27" s="96">
        <v>1.0</v>
      </c>
      <c r="F27" s="66">
        <f t="shared" si="35"/>
        <v>13320</v>
      </c>
      <c r="G27" s="66">
        <f t="shared" si="36"/>
        <v>5994</v>
      </c>
      <c r="H27" s="66">
        <f t="shared" si="37"/>
        <v>10656</v>
      </c>
      <c r="I27" s="66">
        <f t="shared" si="38"/>
        <v>0</v>
      </c>
      <c r="J27" s="68">
        <v>1250.0</v>
      </c>
      <c r="K27" s="66">
        <f t="shared" si="39"/>
        <v>5781.369369</v>
      </c>
      <c r="L27" s="69">
        <f t="shared" si="40"/>
        <v>119592.3604</v>
      </c>
      <c r="M27" s="70">
        <f t="shared" si="41"/>
        <v>0.003396996997</v>
      </c>
      <c r="N27" s="71">
        <f t="shared" si="42"/>
        <v>407.6396396</v>
      </c>
      <c r="O27" s="66">
        <f t="shared" si="43"/>
        <v>120000</v>
      </c>
      <c r="P27" s="78">
        <v>133200.0</v>
      </c>
      <c r="Q27" s="73">
        <f t="shared" si="44"/>
        <v>133200</v>
      </c>
      <c r="R27" s="74"/>
      <c r="S27" s="75"/>
      <c r="T27" s="66"/>
      <c r="U27" s="66"/>
      <c r="V27" s="66"/>
      <c r="W27" s="66"/>
      <c r="X27" s="68"/>
      <c r="Y27" s="66">
        <f t="shared" si="49"/>
        <v>0</v>
      </c>
      <c r="Z27" s="69"/>
      <c r="AA27" s="70"/>
      <c r="AB27" s="71"/>
      <c r="AC27" s="66"/>
      <c r="AD27" s="78"/>
      <c r="AE27" s="73"/>
      <c r="AF27" s="76"/>
      <c r="AG27" s="75"/>
      <c r="AH27" s="66"/>
      <c r="AI27" s="66"/>
      <c r="AJ27" s="66"/>
      <c r="AK27" s="66"/>
      <c r="AL27" s="68"/>
      <c r="AM27" s="66"/>
      <c r="AN27" s="69"/>
      <c r="AO27" s="70"/>
      <c r="AP27" s="71"/>
      <c r="AQ27" s="66"/>
      <c r="AR27" s="78"/>
      <c r="AS27" s="73"/>
    </row>
    <row r="28">
      <c r="A28" s="97"/>
      <c r="B28" s="66"/>
      <c r="C28" s="65"/>
      <c r="D28" s="66"/>
      <c r="E28" s="96"/>
      <c r="F28" s="66"/>
      <c r="G28" s="66"/>
      <c r="H28" s="66"/>
      <c r="I28" s="66"/>
      <c r="J28" s="68"/>
      <c r="K28" s="66">
        <f t="shared" si="39"/>
        <v>0</v>
      </c>
      <c r="L28" s="69"/>
      <c r="M28" s="70"/>
      <c r="N28" s="71"/>
      <c r="O28" s="66"/>
      <c r="P28" s="78"/>
      <c r="Q28" s="73"/>
      <c r="R28" s="74"/>
      <c r="S28" s="75"/>
      <c r="T28" s="66"/>
      <c r="U28" s="66"/>
      <c r="V28" s="66"/>
      <c r="W28" s="66"/>
      <c r="X28" s="68"/>
      <c r="Y28" s="66">
        <f t="shared" si="49"/>
        <v>0</v>
      </c>
      <c r="Z28" s="69"/>
      <c r="AA28" s="70"/>
      <c r="AB28" s="71"/>
      <c r="AC28" s="66"/>
      <c r="AD28" s="78"/>
      <c r="AE28" s="73"/>
      <c r="AF28" s="76"/>
      <c r="AG28" s="75"/>
      <c r="AH28" s="66"/>
      <c r="AI28" s="66"/>
      <c r="AJ28" s="66"/>
      <c r="AK28" s="66"/>
      <c r="AL28" s="68"/>
      <c r="AM28" s="66"/>
      <c r="AN28" s="69"/>
      <c r="AO28" s="70"/>
      <c r="AP28" s="71"/>
      <c r="AQ28" s="66"/>
      <c r="AR28" s="78"/>
      <c r="AS28" s="73"/>
    </row>
    <row r="29">
      <c r="A29" s="97" t="s">
        <v>53</v>
      </c>
      <c r="B29" s="66">
        <f>B12+B13</f>
        <v>78900</v>
      </c>
      <c r="C29" s="65">
        <f t="shared" ref="C29:C32" si="65">B29*$C$4</f>
        <v>64698</v>
      </c>
      <c r="D29" s="66">
        <f t="shared" ref="D29:D32" si="66">C29/$D$4</f>
        <v>58286.48649</v>
      </c>
      <c r="E29" s="96">
        <v>1.0</v>
      </c>
      <c r="F29" s="66">
        <f t="shared" ref="F29:F32" si="67">P29*$F$3</f>
        <v>9450</v>
      </c>
      <c r="G29" s="66">
        <f t="shared" ref="G29:G32" si="68">P29*$G$3</f>
        <v>4252.5</v>
      </c>
      <c r="H29" s="66">
        <f t="shared" ref="H29:H32" si="69">P29*$H$3</f>
        <v>7560</v>
      </c>
      <c r="I29" s="66">
        <f t="shared" ref="I29:I32" si="70">P29*$I$3</f>
        <v>0</v>
      </c>
      <c r="J29" s="68">
        <v>1250.0</v>
      </c>
      <c r="K29" s="66">
        <f t="shared" si="39"/>
        <v>4080.054054</v>
      </c>
      <c r="L29" s="69">
        <f t="shared" ref="L29:L32" si="71">(D29*E29)+F29+G29+H29+I29+J29+K29</f>
        <v>84879.04054</v>
      </c>
      <c r="M29" s="70">
        <f t="shared" ref="M29:M32" si="72">N29/O29</f>
        <v>0.003008095238</v>
      </c>
      <c r="N29" s="71">
        <f t="shared" ref="N29:N32" si="73">O29-L29</f>
        <v>256.0945946</v>
      </c>
      <c r="O29" s="66">
        <f t="shared" ref="O29:O32" si="74">P29/$O$4</f>
        <v>85135.13514</v>
      </c>
      <c r="P29" s="78">
        <v>94500.0</v>
      </c>
      <c r="Q29" s="73">
        <f t="shared" ref="Q29:Q32" si="75">P29/E29</f>
        <v>94500</v>
      </c>
      <c r="R29" s="74"/>
      <c r="S29" s="75"/>
      <c r="T29" s="66">
        <f t="shared" ref="T29:T32" si="76">AD29*$T$3</f>
        <v>0</v>
      </c>
      <c r="U29" s="66">
        <f t="shared" ref="U29:U32" si="77">AD29*$U$3</f>
        <v>0</v>
      </c>
      <c r="V29" s="66">
        <f t="shared" ref="V29:V32" si="78">AD29*$V$3</f>
        <v>0</v>
      </c>
      <c r="W29" s="66">
        <f t="shared" ref="W29:W32" si="79">AD29*$W$3</f>
        <v>0</v>
      </c>
      <c r="X29" s="68">
        <v>1250.0</v>
      </c>
      <c r="Y29" s="66">
        <f t="shared" si="49"/>
        <v>0</v>
      </c>
      <c r="Z29" s="69">
        <f t="shared" ref="Z29:Z32" si="80">(D29*S29)+T29+U29+V29+W29+X29+Y29</f>
        <v>1250</v>
      </c>
      <c r="AA29" s="70" t="str">
        <f t="shared" ref="AA29:AA32" si="81">AB29/AC29</f>
        <v>#DIV/0!</v>
      </c>
      <c r="AB29" s="71">
        <f t="shared" ref="AB29:AB32" si="82">AC29-Z29</f>
        <v>-1250</v>
      </c>
      <c r="AC29" s="66">
        <f t="shared" ref="AC29:AC32" si="83">AD29/$O$4</f>
        <v>0</v>
      </c>
      <c r="AD29" s="78"/>
      <c r="AE29" s="73" t="str">
        <f t="shared" ref="AE29:AE32" si="84">AD29/S29</f>
        <v>#DIV/0!</v>
      </c>
      <c r="AF29" s="76"/>
      <c r="AG29" s="75"/>
      <c r="AH29" s="66">
        <f t="shared" ref="AH29:AH32" si="85">AR29*$AH$3</f>
        <v>0</v>
      </c>
      <c r="AI29" s="66">
        <f t="shared" ref="AI29:AI32" si="86">AR29*$AI$3</f>
        <v>0</v>
      </c>
      <c r="AJ29" s="66">
        <f t="shared" ref="AJ29:AJ32" si="87">AR29*$AJ$3</f>
        <v>0</v>
      </c>
      <c r="AK29" s="66">
        <f t="shared" ref="AK29:AK32" si="88">AR29*$AK$3</f>
        <v>0</v>
      </c>
      <c r="AL29" s="68">
        <v>1250.0</v>
      </c>
      <c r="AM29" s="66">
        <f t="shared" ref="AM29:AM32" si="89">AF29*$AM$3</f>
        <v>0</v>
      </c>
      <c r="AN29" s="69">
        <f t="shared" ref="AN29:AN32" si="90">(R29*AG29)+AH29+AI29+AJ29+AK29+AL29+AM29</f>
        <v>1250</v>
      </c>
      <c r="AO29" s="70" t="str">
        <f t="shared" ref="AO29:AO32" si="91">AP29/AQ29</f>
        <v>#DIV/0!</v>
      </c>
      <c r="AP29" s="71">
        <f t="shared" ref="AP29:AP32" si="92">AQ29-AN29</f>
        <v>-1250</v>
      </c>
      <c r="AQ29" s="66">
        <f t="shared" ref="AQ29:AQ32" si="93">AR29/$O$4</f>
        <v>0</v>
      </c>
      <c r="AR29" s="78"/>
      <c r="AS29" s="73" t="str">
        <f t="shared" ref="AS29:AS32" si="94">AR29/AG29</f>
        <v>#DIV/0!</v>
      </c>
    </row>
    <row r="30">
      <c r="A30" s="97" t="s">
        <v>54</v>
      </c>
      <c r="B30" s="66">
        <f>B12*2+B13*2</f>
        <v>157800</v>
      </c>
      <c r="C30" s="65">
        <f t="shared" si="65"/>
        <v>129396</v>
      </c>
      <c r="D30" s="66">
        <f t="shared" si="66"/>
        <v>116572.973</v>
      </c>
      <c r="E30" s="96">
        <v>1.0</v>
      </c>
      <c r="F30" s="66">
        <f t="shared" si="67"/>
        <v>18720</v>
      </c>
      <c r="G30" s="66">
        <f t="shared" si="68"/>
        <v>8424</v>
      </c>
      <c r="H30" s="66">
        <f t="shared" si="69"/>
        <v>14976</v>
      </c>
      <c r="I30" s="66">
        <f t="shared" si="70"/>
        <v>0</v>
      </c>
      <c r="J30" s="68">
        <v>1250.0</v>
      </c>
      <c r="K30" s="66">
        <f t="shared" si="39"/>
        <v>8160.108108</v>
      </c>
      <c r="L30" s="69">
        <f t="shared" si="71"/>
        <v>168103.0811</v>
      </c>
      <c r="M30" s="70">
        <f t="shared" si="72"/>
        <v>0.003234935897</v>
      </c>
      <c r="N30" s="71">
        <f t="shared" si="73"/>
        <v>545.5675676</v>
      </c>
      <c r="O30" s="66">
        <f t="shared" si="74"/>
        <v>168648.6486</v>
      </c>
      <c r="P30" s="78">
        <v>187200.0</v>
      </c>
      <c r="Q30" s="73">
        <f t="shared" si="75"/>
        <v>187200</v>
      </c>
      <c r="R30" s="74"/>
      <c r="S30" s="75"/>
      <c r="T30" s="66">
        <f t="shared" si="76"/>
        <v>0</v>
      </c>
      <c r="U30" s="66">
        <f t="shared" si="77"/>
        <v>0</v>
      </c>
      <c r="V30" s="66">
        <f t="shared" si="78"/>
        <v>0</v>
      </c>
      <c r="W30" s="66">
        <f t="shared" si="79"/>
        <v>0</v>
      </c>
      <c r="X30" s="68">
        <v>1250.0</v>
      </c>
      <c r="Y30" s="66">
        <f t="shared" si="49"/>
        <v>0</v>
      </c>
      <c r="Z30" s="69">
        <f t="shared" si="80"/>
        <v>1250</v>
      </c>
      <c r="AA30" s="70" t="str">
        <f t="shared" si="81"/>
        <v>#DIV/0!</v>
      </c>
      <c r="AB30" s="71">
        <f t="shared" si="82"/>
        <v>-1250</v>
      </c>
      <c r="AC30" s="66">
        <f t="shared" si="83"/>
        <v>0</v>
      </c>
      <c r="AD30" s="78"/>
      <c r="AE30" s="73" t="str">
        <f t="shared" si="84"/>
        <v>#DIV/0!</v>
      </c>
      <c r="AF30" s="76"/>
      <c r="AG30" s="75"/>
      <c r="AH30" s="66">
        <f t="shared" si="85"/>
        <v>0</v>
      </c>
      <c r="AI30" s="66">
        <f t="shared" si="86"/>
        <v>0</v>
      </c>
      <c r="AJ30" s="66">
        <f t="shared" si="87"/>
        <v>0</v>
      </c>
      <c r="AK30" s="66">
        <f t="shared" si="88"/>
        <v>0</v>
      </c>
      <c r="AL30" s="68">
        <v>1250.0</v>
      </c>
      <c r="AM30" s="66">
        <f t="shared" si="89"/>
        <v>0</v>
      </c>
      <c r="AN30" s="69">
        <f t="shared" si="90"/>
        <v>1250</v>
      </c>
      <c r="AO30" s="70" t="str">
        <f t="shared" si="91"/>
        <v>#DIV/0!</v>
      </c>
      <c r="AP30" s="71">
        <f t="shared" si="92"/>
        <v>-1250</v>
      </c>
      <c r="AQ30" s="66">
        <f t="shared" si="93"/>
        <v>0</v>
      </c>
      <c r="AR30" s="78"/>
      <c r="AS30" s="73" t="str">
        <f t="shared" si="94"/>
        <v>#DIV/0!</v>
      </c>
    </row>
    <row r="31">
      <c r="A31" s="97" t="s">
        <v>55</v>
      </c>
      <c r="B31" s="66">
        <f>B9+B13</f>
        <v>15900</v>
      </c>
      <c r="C31" s="65">
        <f t="shared" si="65"/>
        <v>13038</v>
      </c>
      <c r="D31" s="66">
        <f t="shared" si="66"/>
        <v>11745.94595</v>
      </c>
      <c r="E31" s="96">
        <v>1.0</v>
      </c>
      <c r="F31" s="66">
        <f t="shared" si="67"/>
        <v>2200</v>
      </c>
      <c r="G31" s="66">
        <f t="shared" si="68"/>
        <v>990</v>
      </c>
      <c r="H31" s="66">
        <f t="shared" si="69"/>
        <v>1760</v>
      </c>
      <c r="I31" s="66">
        <f t="shared" si="70"/>
        <v>0</v>
      </c>
      <c r="J31" s="68">
        <v>1250.0</v>
      </c>
      <c r="K31" s="66">
        <f t="shared" si="39"/>
        <v>822.2162162</v>
      </c>
      <c r="L31" s="69">
        <f t="shared" si="71"/>
        <v>18768.16216</v>
      </c>
      <c r="M31" s="70">
        <f t="shared" si="72"/>
        <v>0.05306090909</v>
      </c>
      <c r="N31" s="71">
        <f t="shared" si="73"/>
        <v>1051.657658</v>
      </c>
      <c r="O31" s="66">
        <f t="shared" si="74"/>
        <v>19819.81982</v>
      </c>
      <c r="P31" s="78">
        <v>22000.0</v>
      </c>
      <c r="Q31" s="73">
        <f t="shared" si="75"/>
        <v>22000</v>
      </c>
      <c r="R31" s="74"/>
      <c r="S31" s="75"/>
      <c r="T31" s="66">
        <f t="shared" si="76"/>
        <v>0</v>
      </c>
      <c r="U31" s="66">
        <f t="shared" si="77"/>
        <v>0</v>
      </c>
      <c r="V31" s="66">
        <f t="shared" si="78"/>
        <v>0</v>
      </c>
      <c r="W31" s="66">
        <f t="shared" si="79"/>
        <v>0</v>
      </c>
      <c r="X31" s="68">
        <v>1250.0</v>
      </c>
      <c r="Y31" s="66">
        <f t="shared" si="49"/>
        <v>0</v>
      </c>
      <c r="Z31" s="69">
        <f t="shared" si="80"/>
        <v>1250</v>
      </c>
      <c r="AA31" s="70" t="str">
        <f t="shared" si="81"/>
        <v>#DIV/0!</v>
      </c>
      <c r="AB31" s="71">
        <f t="shared" si="82"/>
        <v>-1250</v>
      </c>
      <c r="AC31" s="66">
        <f t="shared" si="83"/>
        <v>0</v>
      </c>
      <c r="AD31" s="78"/>
      <c r="AE31" s="73" t="str">
        <f t="shared" si="84"/>
        <v>#DIV/0!</v>
      </c>
      <c r="AF31" s="76"/>
      <c r="AG31" s="75"/>
      <c r="AH31" s="66">
        <f t="shared" si="85"/>
        <v>0</v>
      </c>
      <c r="AI31" s="66">
        <f t="shared" si="86"/>
        <v>0</v>
      </c>
      <c r="AJ31" s="66">
        <f t="shared" si="87"/>
        <v>0</v>
      </c>
      <c r="AK31" s="66">
        <f t="shared" si="88"/>
        <v>0</v>
      </c>
      <c r="AL31" s="68">
        <v>1250.0</v>
      </c>
      <c r="AM31" s="66">
        <f t="shared" si="89"/>
        <v>0</v>
      </c>
      <c r="AN31" s="69">
        <f t="shared" si="90"/>
        <v>1250</v>
      </c>
      <c r="AO31" s="70" t="str">
        <f t="shared" si="91"/>
        <v>#DIV/0!</v>
      </c>
      <c r="AP31" s="71">
        <f t="shared" si="92"/>
        <v>-1250</v>
      </c>
      <c r="AQ31" s="66">
        <f t="shared" si="93"/>
        <v>0</v>
      </c>
      <c r="AR31" s="78"/>
      <c r="AS31" s="73" t="str">
        <f t="shared" si="94"/>
        <v>#DIV/0!</v>
      </c>
    </row>
    <row r="32">
      <c r="A32" s="97" t="s">
        <v>56</v>
      </c>
      <c r="B32" s="66">
        <f>B9*2+B13*2</f>
        <v>31800</v>
      </c>
      <c r="C32" s="65">
        <f t="shared" si="65"/>
        <v>26076</v>
      </c>
      <c r="D32" s="66">
        <f t="shared" si="66"/>
        <v>23491.89189</v>
      </c>
      <c r="E32" s="96">
        <v>1.0</v>
      </c>
      <c r="F32" s="66">
        <f t="shared" si="67"/>
        <v>4000</v>
      </c>
      <c r="G32" s="66">
        <f t="shared" si="68"/>
        <v>1800</v>
      </c>
      <c r="H32" s="66">
        <f t="shared" si="69"/>
        <v>3200</v>
      </c>
      <c r="I32" s="66">
        <f t="shared" si="70"/>
        <v>0</v>
      </c>
      <c r="J32" s="68">
        <v>1250.0</v>
      </c>
      <c r="K32" s="66">
        <f t="shared" si="39"/>
        <v>1644.432432</v>
      </c>
      <c r="L32" s="69">
        <f t="shared" si="71"/>
        <v>35386.32432</v>
      </c>
      <c r="M32" s="70">
        <f t="shared" si="72"/>
        <v>0.0180295</v>
      </c>
      <c r="N32" s="71">
        <f t="shared" si="73"/>
        <v>649.7117117</v>
      </c>
      <c r="O32" s="66">
        <f t="shared" si="74"/>
        <v>36036.03604</v>
      </c>
      <c r="P32" s="78">
        <v>40000.0</v>
      </c>
      <c r="Q32" s="73">
        <f t="shared" si="75"/>
        <v>40000</v>
      </c>
      <c r="R32" s="74"/>
      <c r="S32" s="75"/>
      <c r="T32" s="66">
        <f t="shared" si="76"/>
        <v>0</v>
      </c>
      <c r="U32" s="66">
        <f t="shared" si="77"/>
        <v>0</v>
      </c>
      <c r="V32" s="66">
        <f t="shared" si="78"/>
        <v>0</v>
      </c>
      <c r="W32" s="66">
        <f t="shared" si="79"/>
        <v>0</v>
      </c>
      <c r="X32" s="68">
        <v>1250.0</v>
      </c>
      <c r="Y32" s="66">
        <f t="shared" si="49"/>
        <v>0</v>
      </c>
      <c r="Z32" s="69">
        <f t="shared" si="80"/>
        <v>1250</v>
      </c>
      <c r="AA32" s="70" t="str">
        <f t="shared" si="81"/>
        <v>#DIV/0!</v>
      </c>
      <c r="AB32" s="71">
        <f t="shared" si="82"/>
        <v>-1250</v>
      </c>
      <c r="AC32" s="66">
        <f t="shared" si="83"/>
        <v>0</v>
      </c>
      <c r="AD32" s="78"/>
      <c r="AE32" s="73" t="str">
        <f t="shared" si="84"/>
        <v>#DIV/0!</v>
      </c>
      <c r="AF32" s="76"/>
      <c r="AG32" s="75"/>
      <c r="AH32" s="66">
        <f t="shared" si="85"/>
        <v>0</v>
      </c>
      <c r="AI32" s="66">
        <f t="shared" si="86"/>
        <v>0</v>
      </c>
      <c r="AJ32" s="66">
        <f t="shared" si="87"/>
        <v>0</v>
      </c>
      <c r="AK32" s="66">
        <f t="shared" si="88"/>
        <v>0</v>
      </c>
      <c r="AL32" s="68">
        <v>1250.0</v>
      </c>
      <c r="AM32" s="66">
        <f t="shared" si="89"/>
        <v>0</v>
      </c>
      <c r="AN32" s="69">
        <f t="shared" si="90"/>
        <v>1250</v>
      </c>
      <c r="AO32" s="70" t="str">
        <f t="shared" si="91"/>
        <v>#DIV/0!</v>
      </c>
      <c r="AP32" s="71">
        <f t="shared" si="92"/>
        <v>-1250</v>
      </c>
      <c r="AQ32" s="66">
        <f t="shared" si="93"/>
        <v>0</v>
      </c>
      <c r="AR32" s="78"/>
      <c r="AS32" s="73" t="str">
        <f t="shared" si="94"/>
        <v>#DIV/0!</v>
      </c>
    </row>
    <row r="33">
      <c r="A33" s="97" t="s">
        <v>57</v>
      </c>
      <c r="B33" s="66"/>
      <c r="C33" s="65"/>
      <c r="D33" s="66"/>
      <c r="E33" s="96"/>
      <c r="F33" s="66"/>
      <c r="G33" s="66"/>
      <c r="H33" s="66"/>
      <c r="I33" s="66"/>
      <c r="J33" s="68"/>
      <c r="K33" s="66">
        <f t="shared" si="39"/>
        <v>0</v>
      </c>
      <c r="L33" s="69"/>
      <c r="M33" s="70"/>
      <c r="N33" s="71"/>
      <c r="O33" s="66"/>
      <c r="P33" s="78"/>
      <c r="Q33" s="73"/>
      <c r="R33" s="74"/>
      <c r="S33" s="75"/>
      <c r="T33" s="66"/>
      <c r="U33" s="66"/>
      <c r="V33" s="66"/>
      <c r="W33" s="66"/>
      <c r="X33" s="68"/>
      <c r="Y33" s="66">
        <f t="shared" si="49"/>
        <v>0</v>
      </c>
      <c r="Z33" s="69"/>
      <c r="AA33" s="70"/>
      <c r="AB33" s="71"/>
      <c r="AC33" s="66"/>
      <c r="AD33" s="78"/>
      <c r="AE33" s="73"/>
      <c r="AF33" s="76"/>
      <c r="AG33" s="75"/>
      <c r="AH33" s="66"/>
      <c r="AI33" s="66"/>
      <c r="AJ33" s="66"/>
      <c r="AK33" s="66"/>
      <c r="AL33" s="68"/>
      <c r="AM33" s="66"/>
      <c r="AN33" s="69"/>
      <c r="AO33" s="70"/>
      <c r="AP33" s="71"/>
      <c r="AQ33" s="66"/>
      <c r="AR33" s="78"/>
      <c r="AS33" s="73"/>
    </row>
    <row r="34">
      <c r="A34" s="98" t="s">
        <v>58</v>
      </c>
      <c r="B34" s="66">
        <f>B11+B13</f>
        <v>23900</v>
      </c>
      <c r="C34" s="65">
        <f t="shared" ref="C34:C45" si="95">B34*$C$4</f>
        <v>19598</v>
      </c>
      <c r="D34" s="66">
        <f t="shared" ref="D34:D45" si="96">C34/$D$4</f>
        <v>17655.85586</v>
      </c>
      <c r="E34" s="96">
        <v>1.0</v>
      </c>
      <c r="F34" s="66">
        <f t="shared" ref="F34:F45" si="97">P34*$F$3</f>
        <v>3000</v>
      </c>
      <c r="G34" s="66">
        <f t="shared" ref="G34:G45" si="98">P34*$G$3</f>
        <v>1350</v>
      </c>
      <c r="H34" s="66">
        <f t="shared" ref="H34:H45" si="99">P34*$H$3</f>
        <v>2400</v>
      </c>
      <c r="I34" s="66">
        <f t="shared" ref="I34:I45" si="100">P34*$I$3</f>
        <v>0</v>
      </c>
      <c r="J34" s="68">
        <v>1250.0</v>
      </c>
      <c r="K34" s="66">
        <f t="shared" si="39"/>
        <v>1235.90991</v>
      </c>
      <c r="L34" s="69">
        <f t="shared" ref="L34:L45" si="101">(D34*E34)+F34+G34+H34+I34+J34+K34</f>
        <v>26891.76577</v>
      </c>
      <c r="M34" s="70">
        <f t="shared" ref="M34:M45" si="102">N34/O34</f>
        <v>0.005004666667</v>
      </c>
      <c r="N34" s="71">
        <f t="shared" ref="N34:N45" si="103">O34-L34</f>
        <v>135.2612613</v>
      </c>
      <c r="O34" s="66">
        <f t="shared" ref="O34:O45" si="104">P34/$O$4</f>
        <v>27027.02703</v>
      </c>
      <c r="P34" s="78">
        <v>30000.0</v>
      </c>
      <c r="Q34" s="73">
        <f t="shared" ref="Q34:Q45" si="105">P34/E34</f>
        <v>30000</v>
      </c>
      <c r="R34" s="74"/>
      <c r="S34" s="75"/>
      <c r="T34" s="66">
        <f t="shared" ref="T34:T45" si="106">AD34*$T$3</f>
        <v>0</v>
      </c>
      <c r="U34" s="66">
        <f t="shared" ref="U34:U45" si="107">AD34*$U$3</f>
        <v>0</v>
      </c>
      <c r="V34" s="66">
        <f t="shared" ref="V34:V45" si="108">AD34*$V$3</f>
        <v>0</v>
      </c>
      <c r="W34" s="66">
        <f t="shared" ref="W34:W45" si="109">AD34*$W$3</f>
        <v>0</v>
      </c>
      <c r="X34" s="68">
        <v>1250.0</v>
      </c>
      <c r="Y34" s="66">
        <f t="shared" si="49"/>
        <v>0</v>
      </c>
      <c r="Z34" s="69">
        <f t="shared" ref="Z34:Z45" si="110">(D34*S34)+T34+U34+V34+W34+X34+Y34</f>
        <v>1250</v>
      </c>
      <c r="AA34" s="70" t="str">
        <f t="shared" ref="AA34:AA45" si="111">AB34/AC34</f>
        <v>#DIV/0!</v>
      </c>
      <c r="AB34" s="71">
        <f t="shared" ref="AB34:AB45" si="112">AC34-Z34</f>
        <v>-1250</v>
      </c>
      <c r="AC34" s="66">
        <f t="shared" ref="AC34:AC45" si="113">AD34/$O$4</f>
        <v>0</v>
      </c>
      <c r="AD34" s="78"/>
      <c r="AE34" s="73" t="str">
        <f t="shared" ref="AE34:AE45" si="114">AD34/S34</f>
        <v>#DIV/0!</v>
      </c>
      <c r="AF34" s="76"/>
      <c r="AG34" s="75"/>
      <c r="AH34" s="66">
        <f t="shared" ref="AH34:AH45" si="115">AR34*$AH$3</f>
        <v>0</v>
      </c>
      <c r="AI34" s="66">
        <f t="shared" ref="AI34:AI45" si="116">AR34*$AI$3</f>
        <v>0</v>
      </c>
      <c r="AJ34" s="66">
        <f t="shared" ref="AJ34:AJ45" si="117">AR34*$AJ$3</f>
        <v>0</v>
      </c>
      <c r="AK34" s="66">
        <f t="shared" ref="AK34:AK45" si="118">AR34*$AK$3</f>
        <v>0</v>
      </c>
      <c r="AL34" s="68">
        <v>1250.0</v>
      </c>
      <c r="AM34" s="66">
        <f t="shared" ref="AM34:AM45" si="119">AF34*$AM$3</f>
        <v>0</v>
      </c>
      <c r="AN34" s="69">
        <f t="shared" ref="AN34:AN45" si="120">(R34*AG34)+AH34+AI34+AJ34+AK34+AL34+AM34</f>
        <v>1250</v>
      </c>
      <c r="AO34" s="70" t="str">
        <f t="shared" ref="AO34:AO45" si="121">AP34/AQ34</f>
        <v>#DIV/0!</v>
      </c>
      <c r="AP34" s="71">
        <f t="shared" ref="AP34:AP45" si="122">AQ34-AN34</f>
        <v>-1250</v>
      </c>
      <c r="AQ34" s="66">
        <f t="shared" ref="AQ34:AQ45" si="123">AR34/$O$4</f>
        <v>0</v>
      </c>
      <c r="AR34" s="78"/>
      <c r="AS34" s="73" t="str">
        <f t="shared" ref="AS34:AS45" si="124">AR34/AG34</f>
        <v>#DIV/0!</v>
      </c>
    </row>
    <row r="35">
      <c r="A35" s="98" t="s">
        <v>59</v>
      </c>
      <c r="B35" s="66">
        <f>B11*2+B13*2</f>
        <v>47800</v>
      </c>
      <c r="C35" s="65">
        <f t="shared" si="95"/>
        <v>39196</v>
      </c>
      <c r="D35" s="66">
        <f t="shared" si="96"/>
        <v>35311.71171</v>
      </c>
      <c r="E35" s="96">
        <v>1.0</v>
      </c>
      <c r="F35" s="66">
        <f t="shared" si="97"/>
        <v>5800</v>
      </c>
      <c r="G35" s="66">
        <f t="shared" si="98"/>
        <v>2610</v>
      </c>
      <c r="H35" s="66">
        <f t="shared" si="99"/>
        <v>4640</v>
      </c>
      <c r="I35" s="66">
        <f t="shared" si="100"/>
        <v>0</v>
      </c>
      <c r="J35" s="68">
        <v>1250.0</v>
      </c>
      <c r="K35" s="66">
        <f t="shared" si="39"/>
        <v>2471.81982</v>
      </c>
      <c r="L35" s="69">
        <f t="shared" si="101"/>
        <v>52083.53153</v>
      </c>
      <c r="M35" s="70">
        <f t="shared" si="102"/>
        <v>0.003228965517</v>
      </c>
      <c r="N35" s="71">
        <f t="shared" si="103"/>
        <v>168.7207207</v>
      </c>
      <c r="O35" s="66">
        <f t="shared" si="104"/>
        <v>52252.25225</v>
      </c>
      <c r="P35" s="78">
        <v>58000.0</v>
      </c>
      <c r="Q35" s="73">
        <f t="shared" si="105"/>
        <v>58000</v>
      </c>
      <c r="R35" s="74"/>
      <c r="S35" s="75"/>
      <c r="T35" s="66">
        <f t="shared" si="106"/>
        <v>0</v>
      </c>
      <c r="U35" s="66">
        <f t="shared" si="107"/>
        <v>0</v>
      </c>
      <c r="V35" s="66">
        <f t="shared" si="108"/>
        <v>0</v>
      </c>
      <c r="W35" s="66">
        <f t="shared" si="109"/>
        <v>0</v>
      </c>
      <c r="X35" s="68">
        <v>1250.0</v>
      </c>
      <c r="Y35" s="66">
        <f t="shared" si="49"/>
        <v>0</v>
      </c>
      <c r="Z35" s="69">
        <f t="shared" si="110"/>
        <v>1250</v>
      </c>
      <c r="AA35" s="70" t="str">
        <f t="shared" si="111"/>
        <v>#DIV/0!</v>
      </c>
      <c r="AB35" s="71">
        <f t="shared" si="112"/>
        <v>-1250</v>
      </c>
      <c r="AC35" s="66">
        <f t="shared" si="113"/>
        <v>0</v>
      </c>
      <c r="AD35" s="78"/>
      <c r="AE35" s="73" t="str">
        <f t="shared" si="114"/>
        <v>#DIV/0!</v>
      </c>
      <c r="AF35" s="76"/>
      <c r="AG35" s="75"/>
      <c r="AH35" s="66">
        <f t="shared" si="115"/>
        <v>0</v>
      </c>
      <c r="AI35" s="66">
        <f t="shared" si="116"/>
        <v>0</v>
      </c>
      <c r="AJ35" s="66">
        <f t="shared" si="117"/>
        <v>0</v>
      </c>
      <c r="AK35" s="66">
        <f t="shared" si="118"/>
        <v>0</v>
      </c>
      <c r="AL35" s="68">
        <v>1250.0</v>
      </c>
      <c r="AM35" s="66">
        <f t="shared" si="119"/>
        <v>0</v>
      </c>
      <c r="AN35" s="69">
        <f t="shared" si="120"/>
        <v>1250</v>
      </c>
      <c r="AO35" s="70" t="str">
        <f t="shared" si="121"/>
        <v>#DIV/0!</v>
      </c>
      <c r="AP35" s="71">
        <f t="shared" si="122"/>
        <v>-1250</v>
      </c>
      <c r="AQ35" s="66">
        <f t="shared" si="123"/>
        <v>0</v>
      </c>
      <c r="AR35" s="78"/>
      <c r="AS35" s="73" t="str">
        <f t="shared" si="124"/>
        <v>#DIV/0!</v>
      </c>
    </row>
    <row r="36">
      <c r="A36" s="98" t="s">
        <v>60</v>
      </c>
      <c r="B36" s="66">
        <f>B19+B13</f>
        <v>54900</v>
      </c>
      <c r="C36" s="65">
        <f t="shared" si="95"/>
        <v>45018</v>
      </c>
      <c r="D36" s="66">
        <f t="shared" si="96"/>
        <v>40556.75676</v>
      </c>
      <c r="E36" s="96">
        <v>1.0</v>
      </c>
      <c r="F36" s="66">
        <f t="shared" si="97"/>
        <v>6680</v>
      </c>
      <c r="G36" s="66">
        <f t="shared" si="98"/>
        <v>3006</v>
      </c>
      <c r="H36" s="66">
        <f t="shared" si="99"/>
        <v>5344</v>
      </c>
      <c r="I36" s="66">
        <f t="shared" si="100"/>
        <v>0</v>
      </c>
      <c r="J36" s="68">
        <v>1250.0</v>
      </c>
      <c r="K36" s="66">
        <f t="shared" si="39"/>
        <v>2838.972973</v>
      </c>
      <c r="L36" s="69">
        <f t="shared" si="101"/>
        <v>59675.72973</v>
      </c>
      <c r="M36" s="70">
        <f t="shared" si="102"/>
        <v>0.008382335329</v>
      </c>
      <c r="N36" s="71">
        <f t="shared" si="103"/>
        <v>504.4504505</v>
      </c>
      <c r="O36" s="66">
        <f t="shared" si="104"/>
        <v>60180.18018</v>
      </c>
      <c r="P36" s="78">
        <v>66800.0</v>
      </c>
      <c r="Q36" s="73">
        <f t="shared" si="105"/>
        <v>66800</v>
      </c>
      <c r="R36" s="74"/>
      <c r="S36" s="75"/>
      <c r="T36" s="66">
        <f t="shared" si="106"/>
        <v>0</v>
      </c>
      <c r="U36" s="66">
        <f t="shared" si="107"/>
        <v>0</v>
      </c>
      <c r="V36" s="66">
        <f t="shared" si="108"/>
        <v>0</v>
      </c>
      <c r="W36" s="66">
        <f t="shared" si="109"/>
        <v>0</v>
      </c>
      <c r="X36" s="68">
        <v>1250.0</v>
      </c>
      <c r="Y36" s="66">
        <f t="shared" si="49"/>
        <v>0</v>
      </c>
      <c r="Z36" s="69">
        <f t="shared" si="110"/>
        <v>1250</v>
      </c>
      <c r="AA36" s="70" t="str">
        <f t="shared" si="111"/>
        <v>#DIV/0!</v>
      </c>
      <c r="AB36" s="71">
        <f t="shared" si="112"/>
        <v>-1250</v>
      </c>
      <c r="AC36" s="66">
        <f t="shared" si="113"/>
        <v>0</v>
      </c>
      <c r="AD36" s="78"/>
      <c r="AE36" s="73" t="str">
        <f t="shared" si="114"/>
        <v>#DIV/0!</v>
      </c>
      <c r="AF36" s="76"/>
      <c r="AG36" s="75"/>
      <c r="AH36" s="66">
        <f t="shared" si="115"/>
        <v>0</v>
      </c>
      <c r="AI36" s="66">
        <f t="shared" si="116"/>
        <v>0</v>
      </c>
      <c r="AJ36" s="66">
        <f t="shared" si="117"/>
        <v>0</v>
      </c>
      <c r="AK36" s="66">
        <f t="shared" si="118"/>
        <v>0</v>
      </c>
      <c r="AL36" s="68">
        <v>1250.0</v>
      </c>
      <c r="AM36" s="66">
        <f t="shared" si="119"/>
        <v>0</v>
      </c>
      <c r="AN36" s="69">
        <f t="shared" si="120"/>
        <v>1250</v>
      </c>
      <c r="AO36" s="70" t="str">
        <f t="shared" si="121"/>
        <v>#DIV/0!</v>
      </c>
      <c r="AP36" s="71">
        <f t="shared" si="122"/>
        <v>-1250</v>
      </c>
      <c r="AQ36" s="66">
        <f t="shared" si="123"/>
        <v>0</v>
      </c>
      <c r="AR36" s="78"/>
      <c r="AS36" s="73" t="str">
        <f t="shared" si="124"/>
        <v>#DIV/0!</v>
      </c>
    </row>
    <row r="37">
      <c r="A37" s="98" t="s">
        <v>61</v>
      </c>
      <c r="B37" s="68">
        <v>2500.0</v>
      </c>
      <c r="C37" s="65">
        <f t="shared" si="95"/>
        <v>2050</v>
      </c>
      <c r="D37" s="66">
        <f t="shared" si="96"/>
        <v>1846.846847</v>
      </c>
      <c r="E37" s="96">
        <v>1.0</v>
      </c>
      <c r="F37" s="66">
        <f t="shared" si="97"/>
        <v>600</v>
      </c>
      <c r="G37" s="66">
        <f t="shared" si="98"/>
        <v>270</v>
      </c>
      <c r="H37" s="66">
        <f t="shared" si="99"/>
        <v>480</v>
      </c>
      <c r="I37" s="66">
        <f t="shared" si="100"/>
        <v>0</v>
      </c>
      <c r="J37" s="68">
        <v>1250.0</v>
      </c>
      <c r="K37" s="66">
        <f t="shared" si="39"/>
        <v>129.2792793</v>
      </c>
      <c r="L37" s="69">
        <f t="shared" si="101"/>
        <v>4576.126126</v>
      </c>
      <c r="M37" s="70">
        <f t="shared" si="102"/>
        <v>0.1534166667</v>
      </c>
      <c r="N37" s="71">
        <f t="shared" si="103"/>
        <v>829.2792793</v>
      </c>
      <c r="O37" s="66">
        <f t="shared" si="104"/>
        <v>5405.405405</v>
      </c>
      <c r="P37" s="78">
        <v>6000.0</v>
      </c>
      <c r="Q37" s="73">
        <f t="shared" si="105"/>
        <v>6000</v>
      </c>
      <c r="R37" s="74"/>
      <c r="S37" s="75"/>
      <c r="T37" s="66">
        <f t="shared" si="106"/>
        <v>0</v>
      </c>
      <c r="U37" s="66">
        <f t="shared" si="107"/>
        <v>0</v>
      </c>
      <c r="V37" s="66">
        <f t="shared" si="108"/>
        <v>0</v>
      </c>
      <c r="W37" s="66">
        <f t="shared" si="109"/>
        <v>0</v>
      </c>
      <c r="X37" s="68">
        <v>1250.0</v>
      </c>
      <c r="Y37" s="66">
        <f t="shared" si="49"/>
        <v>0</v>
      </c>
      <c r="Z37" s="69">
        <f t="shared" si="110"/>
        <v>1250</v>
      </c>
      <c r="AA37" s="70" t="str">
        <f t="shared" si="111"/>
        <v>#DIV/0!</v>
      </c>
      <c r="AB37" s="71">
        <f t="shared" si="112"/>
        <v>-1250</v>
      </c>
      <c r="AC37" s="66">
        <f t="shared" si="113"/>
        <v>0</v>
      </c>
      <c r="AD37" s="78"/>
      <c r="AE37" s="73" t="str">
        <f t="shared" si="114"/>
        <v>#DIV/0!</v>
      </c>
      <c r="AF37" s="76"/>
      <c r="AG37" s="75"/>
      <c r="AH37" s="66">
        <f t="shared" si="115"/>
        <v>0</v>
      </c>
      <c r="AI37" s="66">
        <f t="shared" si="116"/>
        <v>0</v>
      </c>
      <c r="AJ37" s="66">
        <f t="shared" si="117"/>
        <v>0</v>
      </c>
      <c r="AK37" s="66">
        <f t="shared" si="118"/>
        <v>0</v>
      </c>
      <c r="AL37" s="68">
        <v>1250.0</v>
      </c>
      <c r="AM37" s="66">
        <f t="shared" si="119"/>
        <v>0</v>
      </c>
      <c r="AN37" s="69">
        <f t="shared" si="120"/>
        <v>1250</v>
      </c>
      <c r="AO37" s="70" t="str">
        <f t="shared" si="121"/>
        <v>#DIV/0!</v>
      </c>
      <c r="AP37" s="71">
        <f t="shared" si="122"/>
        <v>-1250</v>
      </c>
      <c r="AQ37" s="66">
        <f t="shared" si="123"/>
        <v>0</v>
      </c>
      <c r="AR37" s="78"/>
      <c r="AS37" s="73" t="str">
        <f t="shared" si="124"/>
        <v>#DIV/0!</v>
      </c>
    </row>
    <row r="38">
      <c r="A38" s="98" t="s">
        <v>62</v>
      </c>
      <c r="B38" s="66">
        <f>B5+B37</f>
        <v>5850</v>
      </c>
      <c r="C38" s="65">
        <f t="shared" si="95"/>
        <v>4797</v>
      </c>
      <c r="D38" s="66">
        <f t="shared" si="96"/>
        <v>4321.621622</v>
      </c>
      <c r="E38" s="96">
        <v>1.0</v>
      </c>
      <c r="F38" s="66">
        <f t="shared" si="97"/>
        <v>990</v>
      </c>
      <c r="G38" s="66">
        <f t="shared" si="98"/>
        <v>445.5</v>
      </c>
      <c r="H38" s="66">
        <f t="shared" si="99"/>
        <v>792</v>
      </c>
      <c r="I38" s="66">
        <f t="shared" si="100"/>
        <v>0</v>
      </c>
      <c r="J38" s="68">
        <v>1250.0</v>
      </c>
      <c r="K38" s="66">
        <f t="shared" si="39"/>
        <v>302.5135135</v>
      </c>
      <c r="L38" s="69">
        <f t="shared" si="101"/>
        <v>8101.635135</v>
      </c>
      <c r="M38" s="70">
        <f t="shared" si="102"/>
        <v>0.09163484848</v>
      </c>
      <c r="N38" s="71">
        <f t="shared" si="103"/>
        <v>817.2837838</v>
      </c>
      <c r="O38" s="66">
        <f t="shared" si="104"/>
        <v>8918.918919</v>
      </c>
      <c r="P38" s="78">
        <v>9900.0</v>
      </c>
      <c r="Q38" s="73">
        <f t="shared" si="105"/>
        <v>9900</v>
      </c>
      <c r="R38" s="74"/>
      <c r="S38" s="75"/>
      <c r="T38" s="66">
        <f t="shared" si="106"/>
        <v>0</v>
      </c>
      <c r="U38" s="66">
        <f t="shared" si="107"/>
        <v>0</v>
      </c>
      <c r="V38" s="66">
        <f t="shared" si="108"/>
        <v>0</v>
      </c>
      <c r="W38" s="66">
        <f t="shared" si="109"/>
        <v>0</v>
      </c>
      <c r="X38" s="68">
        <v>1250.0</v>
      </c>
      <c r="Y38" s="66">
        <f t="shared" si="49"/>
        <v>0</v>
      </c>
      <c r="Z38" s="69">
        <f t="shared" si="110"/>
        <v>1250</v>
      </c>
      <c r="AA38" s="70" t="str">
        <f t="shared" si="111"/>
        <v>#DIV/0!</v>
      </c>
      <c r="AB38" s="71">
        <f t="shared" si="112"/>
        <v>-1250</v>
      </c>
      <c r="AC38" s="66">
        <f t="shared" si="113"/>
        <v>0</v>
      </c>
      <c r="AD38" s="78"/>
      <c r="AE38" s="73" t="str">
        <f t="shared" si="114"/>
        <v>#DIV/0!</v>
      </c>
      <c r="AF38" s="76"/>
      <c r="AG38" s="75"/>
      <c r="AH38" s="66">
        <f t="shared" si="115"/>
        <v>0</v>
      </c>
      <c r="AI38" s="66">
        <f t="shared" si="116"/>
        <v>0</v>
      </c>
      <c r="AJ38" s="66">
        <f t="shared" si="117"/>
        <v>0</v>
      </c>
      <c r="AK38" s="66">
        <f t="shared" si="118"/>
        <v>0</v>
      </c>
      <c r="AL38" s="68">
        <v>1250.0</v>
      </c>
      <c r="AM38" s="66">
        <f t="shared" si="119"/>
        <v>0</v>
      </c>
      <c r="AN38" s="69">
        <f t="shared" si="120"/>
        <v>1250</v>
      </c>
      <c r="AO38" s="70" t="str">
        <f t="shared" si="121"/>
        <v>#DIV/0!</v>
      </c>
      <c r="AP38" s="71">
        <f t="shared" si="122"/>
        <v>-1250</v>
      </c>
      <c r="AQ38" s="66">
        <f t="shared" si="123"/>
        <v>0</v>
      </c>
      <c r="AR38" s="78"/>
      <c r="AS38" s="73" t="str">
        <f t="shared" si="124"/>
        <v>#DIV/0!</v>
      </c>
    </row>
    <row r="39">
      <c r="A39" s="98" t="s">
        <v>63</v>
      </c>
      <c r="B39" s="66">
        <f>B5*5+B37</f>
        <v>19250</v>
      </c>
      <c r="C39" s="65">
        <f t="shared" si="95"/>
        <v>15785</v>
      </c>
      <c r="D39" s="66">
        <f t="shared" si="96"/>
        <v>14220.72072</v>
      </c>
      <c r="E39" s="96">
        <v>1.0</v>
      </c>
      <c r="F39" s="66">
        <f t="shared" si="97"/>
        <v>3000</v>
      </c>
      <c r="G39" s="66">
        <f t="shared" si="98"/>
        <v>1350</v>
      </c>
      <c r="H39" s="66">
        <f t="shared" si="99"/>
        <v>2400</v>
      </c>
      <c r="I39" s="66">
        <f t="shared" si="100"/>
        <v>0</v>
      </c>
      <c r="J39" s="68">
        <v>1250.0</v>
      </c>
      <c r="K39" s="66">
        <f t="shared" si="39"/>
        <v>995.4504505</v>
      </c>
      <c r="L39" s="69">
        <f t="shared" si="101"/>
        <v>23216.17117</v>
      </c>
      <c r="M39" s="70">
        <f t="shared" si="102"/>
        <v>0.1410016667</v>
      </c>
      <c r="N39" s="71">
        <f t="shared" si="103"/>
        <v>3810.855856</v>
      </c>
      <c r="O39" s="66">
        <f t="shared" si="104"/>
        <v>27027.02703</v>
      </c>
      <c r="P39" s="78">
        <v>30000.0</v>
      </c>
      <c r="Q39" s="73">
        <f t="shared" si="105"/>
        <v>30000</v>
      </c>
      <c r="R39" s="74"/>
      <c r="S39" s="75"/>
      <c r="T39" s="66">
        <f t="shared" si="106"/>
        <v>0</v>
      </c>
      <c r="U39" s="66">
        <f t="shared" si="107"/>
        <v>0</v>
      </c>
      <c r="V39" s="66">
        <f t="shared" si="108"/>
        <v>0</v>
      </c>
      <c r="W39" s="66">
        <f t="shared" si="109"/>
        <v>0</v>
      </c>
      <c r="X39" s="68">
        <v>1250.0</v>
      </c>
      <c r="Y39" s="66">
        <f t="shared" si="49"/>
        <v>0</v>
      </c>
      <c r="Z39" s="69">
        <f t="shared" si="110"/>
        <v>1250</v>
      </c>
      <c r="AA39" s="70" t="str">
        <f t="shared" si="111"/>
        <v>#DIV/0!</v>
      </c>
      <c r="AB39" s="71">
        <f t="shared" si="112"/>
        <v>-1250</v>
      </c>
      <c r="AC39" s="66">
        <f t="shared" si="113"/>
        <v>0</v>
      </c>
      <c r="AD39" s="78"/>
      <c r="AE39" s="73" t="str">
        <f t="shared" si="114"/>
        <v>#DIV/0!</v>
      </c>
      <c r="AF39" s="76"/>
      <c r="AG39" s="75"/>
      <c r="AH39" s="66">
        <f t="shared" si="115"/>
        <v>0</v>
      </c>
      <c r="AI39" s="66">
        <f t="shared" si="116"/>
        <v>0</v>
      </c>
      <c r="AJ39" s="66">
        <f t="shared" si="117"/>
        <v>0</v>
      </c>
      <c r="AK39" s="66">
        <f t="shared" si="118"/>
        <v>0</v>
      </c>
      <c r="AL39" s="68">
        <v>1250.0</v>
      </c>
      <c r="AM39" s="66">
        <f t="shared" si="119"/>
        <v>0</v>
      </c>
      <c r="AN39" s="69">
        <f t="shared" si="120"/>
        <v>1250</v>
      </c>
      <c r="AO39" s="70" t="str">
        <f t="shared" si="121"/>
        <v>#DIV/0!</v>
      </c>
      <c r="AP39" s="71">
        <f t="shared" si="122"/>
        <v>-1250</v>
      </c>
      <c r="AQ39" s="66">
        <f t="shared" si="123"/>
        <v>0</v>
      </c>
      <c r="AR39" s="78"/>
      <c r="AS39" s="73" t="str">
        <f t="shared" si="124"/>
        <v>#DIV/0!</v>
      </c>
    </row>
    <row r="40">
      <c r="A40" s="98" t="s">
        <v>64</v>
      </c>
      <c r="B40" s="68">
        <v>3000.0</v>
      </c>
      <c r="C40" s="65">
        <f t="shared" si="95"/>
        <v>2460</v>
      </c>
      <c r="D40" s="66">
        <f t="shared" si="96"/>
        <v>2216.216216</v>
      </c>
      <c r="E40" s="96">
        <v>1.0</v>
      </c>
      <c r="F40" s="66">
        <f t="shared" si="97"/>
        <v>712.5</v>
      </c>
      <c r="G40" s="66">
        <f t="shared" si="98"/>
        <v>320.625</v>
      </c>
      <c r="H40" s="66">
        <f t="shared" si="99"/>
        <v>570</v>
      </c>
      <c r="I40" s="66">
        <f t="shared" si="100"/>
        <v>0</v>
      </c>
      <c r="J40" s="68">
        <v>1250.0</v>
      </c>
      <c r="K40" s="66">
        <f t="shared" si="39"/>
        <v>155.1351351</v>
      </c>
      <c r="L40" s="69">
        <f t="shared" si="101"/>
        <v>5224.476351</v>
      </c>
      <c r="M40" s="70">
        <f t="shared" si="102"/>
        <v>0.1860815789</v>
      </c>
      <c r="N40" s="71">
        <f t="shared" si="103"/>
        <v>1194.442568</v>
      </c>
      <c r="O40" s="66">
        <f t="shared" si="104"/>
        <v>6418.918919</v>
      </c>
      <c r="P40" s="78">
        <v>7125.0</v>
      </c>
      <c r="Q40" s="73">
        <f t="shared" si="105"/>
        <v>7125</v>
      </c>
      <c r="R40" s="74"/>
      <c r="S40" s="75"/>
      <c r="T40" s="66">
        <f t="shared" si="106"/>
        <v>0</v>
      </c>
      <c r="U40" s="66">
        <f t="shared" si="107"/>
        <v>0</v>
      </c>
      <c r="V40" s="66">
        <f t="shared" si="108"/>
        <v>0</v>
      </c>
      <c r="W40" s="66">
        <f t="shared" si="109"/>
        <v>0</v>
      </c>
      <c r="X40" s="68">
        <v>1250.0</v>
      </c>
      <c r="Y40" s="66">
        <f t="shared" si="49"/>
        <v>0</v>
      </c>
      <c r="Z40" s="69">
        <f t="shared" si="110"/>
        <v>1250</v>
      </c>
      <c r="AA40" s="70" t="str">
        <f t="shared" si="111"/>
        <v>#DIV/0!</v>
      </c>
      <c r="AB40" s="71">
        <f t="shared" si="112"/>
        <v>-1250</v>
      </c>
      <c r="AC40" s="66">
        <f t="shared" si="113"/>
        <v>0</v>
      </c>
      <c r="AD40" s="78"/>
      <c r="AE40" s="73" t="str">
        <f t="shared" si="114"/>
        <v>#DIV/0!</v>
      </c>
      <c r="AF40" s="76"/>
      <c r="AG40" s="75"/>
      <c r="AH40" s="66">
        <f t="shared" si="115"/>
        <v>0</v>
      </c>
      <c r="AI40" s="66">
        <f t="shared" si="116"/>
        <v>0</v>
      </c>
      <c r="AJ40" s="66">
        <f t="shared" si="117"/>
        <v>0</v>
      </c>
      <c r="AK40" s="66">
        <f t="shared" si="118"/>
        <v>0</v>
      </c>
      <c r="AL40" s="68">
        <v>1250.0</v>
      </c>
      <c r="AM40" s="66">
        <f t="shared" si="119"/>
        <v>0</v>
      </c>
      <c r="AN40" s="69">
        <f t="shared" si="120"/>
        <v>1250</v>
      </c>
      <c r="AO40" s="70" t="str">
        <f t="shared" si="121"/>
        <v>#DIV/0!</v>
      </c>
      <c r="AP40" s="71">
        <f t="shared" si="122"/>
        <v>-1250</v>
      </c>
      <c r="AQ40" s="66">
        <f t="shared" si="123"/>
        <v>0</v>
      </c>
      <c r="AR40" s="78"/>
      <c r="AS40" s="73" t="str">
        <f t="shared" si="124"/>
        <v>#DIV/0!</v>
      </c>
    </row>
    <row r="41">
      <c r="A41" s="98" t="s">
        <v>65</v>
      </c>
      <c r="B41" s="66">
        <f>B40+1000</f>
        <v>4000</v>
      </c>
      <c r="C41" s="65">
        <f t="shared" si="95"/>
        <v>3280</v>
      </c>
      <c r="D41" s="66">
        <f t="shared" si="96"/>
        <v>2954.954955</v>
      </c>
      <c r="E41" s="96">
        <v>1.0</v>
      </c>
      <c r="F41" s="66">
        <f t="shared" si="97"/>
        <v>900</v>
      </c>
      <c r="G41" s="66">
        <f t="shared" si="98"/>
        <v>405</v>
      </c>
      <c r="H41" s="66">
        <f t="shared" si="99"/>
        <v>720</v>
      </c>
      <c r="I41" s="66">
        <f t="shared" si="100"/>
        <v>0</v>
      </c>
      <c r="J41" s="68">
        <v>1250.0</v>
      </c>
      <c r="K41" s="66">
        <f t="shared" si="39"/>
        <v>206.8468468</v>
      </c>
      <c r="L41" s="69">
        <f t="shared" si="101"/>
        <v>6436.801802</v>
      </c>
      <c r="M41" s="70">
        <f t="shared" si="102"/>
        <v>0.2061277778</v>
      </c>
      <c r="N41" s="71">
        <f t="shared" si="103"/>
        <v>1671.306306</v>
      </c>
      <c r="O41" s="66">
        <f t="shared" si="104"/>
        <v>8108.108108</v>
      </c>
      <c r="P41" s="78">
        <v>9000.0</v>
      </c>
      <c r="Q41" s="73">
        <f t="shared" si="105"/>
        <v>9000</v>
      </c>
      <c r="R41" s="74"/>
      <c r="S41" s="75"/>
      <c r="T41" s="66">
        <f t="shared" si="106"/>
        <v>0</v>
      </c>
      <c r="U41" s="66">
        <f t="shared" si="107"/>
        <v>0</v>
      </c>
      <c r="V41" s="66">
        <f t="shared" si="108"/>
        <v>0</v>
      </c>
      <c r="W41" s="66">
        <f t="shared" si="109"/>
        <v>0</v>
      </c>
      <c r="X41" s="68">
        <v>1250.0</v>
      </c>
      <c r="Y41" s="66">
        <f t="shared" si="49"/>
        <v>0</v>
      </c>
      <c r="Z41" s="69">
        <f t="shared" si="110"/>
        <v>1250</v>
      </c>
      <c r="AA41" s="70" t="str">
        <f t="shared" si="111"/>
        <v>#DIV/0!</v>
      </c>
      <c r="AB41" s="71">
        <f t="shared" si="112"/>
        <v>-1250</v>
      </c>
      <c r="AC41" s="66">
        <f t="shared" si="113"/>
        <v>0</v>
      </c>
      <c r="AD41" s="78"/>
      <c r="AE41" s="73" t="str">
        <f t="shared" si="114"/>
        <v>#DIV/0!</v>
      </c>
      <c r="AF41" s="76"/>
      <c r="AG41" s="75"/>
      <c r="AH41" s="66">
        <f t="shared" si="115"/>
        <v>0</v>
      </c>
      <c r="AI41" s="66">
        <f t="shared" si="116"/>
        <v>0</v>
      </c>
      <c r="AJ41" s="66">
        <f t="shared" si="117"/>
        <v>0</v>
      </c>
      <c r="AK41" s="66">
        <f t="shared" si="118"/>
        <v>0</v>
      </c>
      <c r="AL41" s="68">
        <v>1250.0</v>
      </c>
      <c r="AM41" s="66">
        <f t="shared" si="119"/>
        <v>0</v>
      </c>
      <c r="AN41" s="69">
        <f t="shared" si="120"/>
        <v>1250</v>
      </c>
      <c r="AO41" s="70" t="str">
        <f t="shared" si="121"/>
        <v>#DIV/0!</v>
      </c>
      <c r="AP41" s="71">
        <f t="shared" si="122"/>
        <v>-1250</v>
      </c>
      <c r="AQ41" s="66">
        <f t="shared" si="123"/>
        <v>0</v>
      </c>
      <c r="AR41" s="78"/>
      <c r="AS41" s="73" t="str">
        <f t="shared" si="124"/>
        <v>#DIV/0!</v>
      </c>
    </row>
    <row r="42">
      <c r="A42" s="98" t="s">
        <v>66</v>
      </c>
      <c r="B42" s="66">
        <f>B7+B40</f>
        <v>7100</v>
      </c>
      <c r="C42" s="65">
        <f t="shared" si="95"/>
        <v>5822</v>
      </c>
      <c r="D42" s="66">
        <f t="shared" si="96"/>
        <v>5245.045045</v>
      </c>
      <c r="E42" s="96">
        <v>1.0</v>
      </c>
      <c r="F42" s="66">
        <f t="shared" si="97"/>
        <v>1250</v>
      </c>
      <c r="G42" s="66">
        <f t="shared" si="98"/>
        <v>562.5</v>
      </c>
      <c r="H42" s="66">
        <f t="shared" si="99"/>
        <v>1000</v>
      </c>
      <c r="I42" s="66">
        <f t="shared" si="100"/>
        <v>0</v>
      </c>
      <c r="J42" s="68">
        <v>1250.0</v>
      </c>
      <c r="K42" s="66">
        <f t="shared" si="39"/>
        <v>367.1531532</v>
      </c>
      <c r="L42" s="69">
        <f t="shared" si="101"/>
        <v>9674.698198</v>
      </c>
      <c r="M42" s="70">
        <f t="shared" si="102"/>
        <v>0.1408868</v>
      </c>
      <c r="N42" s="71">
        <f t="shared" si="103"/>
        <v>1586.563063</v>
      </c>
      <c r="O42" s="66">
        <f t="shared" si="104"/>
        <v>11261.26126</v>
      </c>
      <c r="P42" s="78">
        <v>12500.0</v>
      </c>
      <c r="Q42" s="73">
        <f t="shared" si="105"/>
        <v>12500</v>
      </c>
      <c r="R42" s="74"/>
      <c r="S42" s="75"/>
      <c r="T42" s="66">
        <f t="shared" si="106"/>
        <v>0</v>
      </c>
      <c r="U42" s="66">
        <f t="shared" si="107"/>
        <v>0</v>
      </c>
      <c r="V42" s="66">
        <f t="shared" si="108"/>
        <v>0</v>
      </c>
      <c r="W42" s="66">
        <f t="shared" si="109"/>
        <v>0</v>
      </c>
      <c r="X42" s="68">
        <v>1250.0</v>
      </c>
      <c r="Y42" s="66">
        <f t="shared" si="49"/>
        <v>0</v>
      </c>
      <c r="Z42" s="69">
        <f t="shared" si="110"/>
        <v>1250</v>
      </c>
      <c r="AA42" s="70" t="str">
        <f t="shared" si="111"/>
        <v>#DIV/0!</v>
      </c>
      <c r="AB42" s="71">
        <f t="shared" si="112"/>
        <v>-1250</v>
      </c>
      <c r="AC42" s="66">
        <f t="shared" si="113"/>
        <v>0</v>
      </c>
      <c r="AD42" s="78"/>
      <c r="AE42" s="73" t="str">
        <f t="shared" si="114"/>
        <v>#DIV/0!</v>
      </c>
      <c r="AF42" s="76"/>
      <c r="AG42" s="75"/>
      <c r="AH42" s="66">
        <f t="shared" si="115"/>
        <v>0</v>
      </c>
      <c r="AI42" s="66">
        <f t="shared" si="116"/>
        <v>0</v>
      </c>
      <c r="AJ42" s="66">
        <f t="shared" si="117"/>
        <v>0</v>
      </c>
      <c r="AK42" s="66">
        <f t="shared" si="118"/>
        <v>0</v>
      </c>
      <c r="AL42" s="68">
        <v>1250.0</v>
      </c>
      <c r="AM42" s="66">
        <f t="shared" si="119"/>
        <v>0</v>
      </c>
      <c r="AN42" s="69">
        <f t="shared" si="120"/>
        <v>1250</v>
      </c>
      <c r="AO42" s="70" t="str">
        <f t="shared" si="121"/>
        <v>#DIV/0!</v>
      </c>
      <c r="AP42" s="71">
        <f t="shared" si="122"/>
        <v>-1250</v>
      </c>
      <c r="AQ42" s="66">
        <f t="shared" si="123"/>
        <v>0</v>
      </c>
      <c r="AR42" s="78"/>
      <c r="AS42" s="73" t="str">
        <f t="shared" si="124"/>
        <v>#DIV/0!</v>
      </c>
    </row>
    <row r="43">
      <c r="A43" s="98" t="s">
        <v>67</v>
      </c>
      <c r="B43" s="66">
        <f>B7+B41</f>
        <v>8100</v>
      </c>
      <c r="C43" s="65">
        <f t="shared" si="95"/>
        <v>6642</v>
      </c>
      <c r="D43" s="66">
        <f t="shared" si="96"/>
        <v>5983.783784</v>
      </c>
      <c r="E43" s="96">
        <v>1.0</v>
      </c>
      <c r="F43" s="66">
        <f t="shared" si="97"/>
        <v>1350</v>
      </c>
      <c r="G43" s="66">
        <f t="shared" si="98"/>
        <v>607.5</v>
      </c>
      <c r="H43" s="66">
        <f t="shared" si="99"/>
        <v>1080</v>
      </c>
      <c r="I43" s="66">
        <f t="shared" si="100"/>
        <v>0</v>
      </c>
      <c r="J43" s="68">
        <v>1250.0</v>
      </c>
      <c r="K43" s="66">
        <f t="shared" si="39"/>
        <v>418.8648649</v>
      </c>
      <c r="L43" s="69">
        <f t="shared" si="101"/>
        <v>10690.14865</v>
      </c>
      <c r="M43" s="70">
        <f t="shared" si="102"/>
        <v>0.1210322222</v>
      </c>
      <c r="N43" s="71">
        <f t="shared" si="103"/>
        <v>1472.013514</v>
      </c>
      <c r="O43" s="66">
        <f t="shared" si="104"/>
        <v>12162.16216</v>
      </c>
      <c r="P43" s="78">
        <v>13500.0</v>
      </c>
      <c r="Q43" s="73">
        <f t="shared" si="105"/>
        <v>13500</v>
      </c>
      <c r="R43" s="74"/>
      <c r="S43" s="75"/>
      <c r="T43" s="66">
        <f t="shared" si="106"/>
        <v>0</v>
      </c>
      <c r="U43" s="66">
        <f t="shared" si="107"/>
        <v>0</v>
      </c>
      <c r="V43" s="66">
        <f t="shared" si="108"/>
        <v>0</v>
      </c>
      <c r="W43" s="66">
        <f t="shared" si="109"/>
        <v>0</v>
      </c>
      <c r="X43" s="68">
        <v>1250.0</v>
      </c>
      <c r="Y43" s="66">
        <f t="shared" si="49"/>
        <v>0</v>
      </c>
      <c r="Z43" s="69">
        <f t="shared" si="110"/>
        <v>1250</v>
      </c>
      <c r="AA43" s="70" t="str">
        <f t="shared" si="111"/>
        <v>#DIV/0!</v>
      </c>
      <c r="AB43" s="71">
        <f t="shared" si="112"/>
        <v>-1250</v>
      </c>
      <c r="AC43" s="66">
        <f t="shared" si="113"/>
        <v>0</v>
      </c>
      <c r="AD43" s="78"/>
      <c r="AE43" s="73" t="str">
        <f t="shared" si="114"/>
        <v>#DIV/0!</v>
      </c>
      <c r="AF43" s="76"/>
      <c r="AG43" s="75"/>
      <c r="AH43" s="66">
        <f t="shared" si="115"/>
        <v>0</v>
      </c>
      <c r="AI43" s="66">
        <f t="shared" si="116"/>
        <v>0</v>
      </c>
      <c r="AJ43" s="66">
        <f t="shared" si="117"/>
        <v>0</v>
      </c>
      <c r="AK43" s="66">
        <f t="shared" si="118"/>
        <v>0</v>
      </c>
      <c r="AL43" s="68">
        <v>1250.0</v>
      </c>
      <c r="AM43" s="66">
        <f t="shared" si="119"/>
        <v>0</v>
      </c>
      <c r="AN43" s="69">
        <f t="shared" si="120"/>
        <v>1250</v>
      </c>
      <c r="AO43" s="70" t="str">
        <f t="shared" si="121"/>
        <v>#DIV/0!</v>
      </c>
      <c r="AP43" s="71">
        <f t="shared" si="122"/>
        <v>-1250</v>
      </c>
      <c r="AQ43" s="66">
        <f t="shared" si="123"/>
        <v>0</v>
      </c>
      <c r="AR43" s="78"/>
      <c r="AS43" s="73" t="str">
        <f t="shared" si="124"/>
        <v>#DIV/0!</v>
      </c>
    </row>
    <row r="44">
      <c r="A44" s="98" t="s">
        <v>68</v>
      </c>
      <c r="B44" s="66">
        <f>B7*5+B40</f>
        <v>23500</v>
      </c>
      <c r="C44" s="65">
        <f t="shared" si="95"/>
        <v>19270</v>
      </c>
      <c r="D44" s="66">
        <f t="shared" si="96"/>
        <v>17360.36036</v>
      </c>
      <c r="E44" s="96">
        <v>1.0</v>
      </c>
      <c r="F44" s="66">
        <f t="shared" si="97"/>
        <v>3500</v>
      </c>
      <c r="G44" s="66">
        <f t="shared" si="98"/>
        <v>1575</v>
      </c>
      <c r="H44" s="66">
        <f t="shared" si="99"/>
        <v>2800</v>
      </c>
      <c r="I44" s="66">
        <f t="shared" si="100"/>
        <v>0</v>
      </c>
      <c r="J44" s="68">
        <v>1250.0</v>
      </c>
      <c r="K44" s="66">
        <f t="shared" si="39"/>
        <v>1215.225225</v>
      </c>
      <c r="L44" s="69">
        <f t="shared" si="101"/>
        <v>27700.58559</v>
      </c>
      <c r="M44" s="70">
        <f t="shared" si="102"/>
        <v>0.1214957143</v>
      </c>
      <c r="N44" s="71">
        <f t="shared" si="103"/>
        <v>3830.945946</v>
      </c>
      <c r="O44" s="66">
        <f t="shared" si="104"/>
        <v>31531.53153</v>
      </c>
      <c r="P44" s="78">
        <v>35000.0</v>
      </c>
      <c r="Q44" s="73">
        <f t="shared" si="105"/>
        <v>35000</v>
      </c>
      <c r="R44" s="74"/>
      <c r="S44" s="75"/>
      <c r="T44" s="66">
        <f t="shared" si="106"/>
        <v>0</v>
      </c>
      <c r="U44" s="66">
        <f t="shared" si="107"/>
        <v>0</v>
      </c>
      <c r="V44" s="66">
        <f t="shared" si="108"/>
        <v>0</v>
      </c>
      <c r="W44" s="66">
        <f t="shared" si="109"/>
        <v>0</v>
      </c>
      <c r="X44" s="68">
        <v>1250.0</v>
      </c>
      <c r="Y44" s="66">
        <f t="shared" si="49"/>
        <v>0</v>
      </c>
      <c r="Z44" s="69">
        <f t="shared" si="110"/>
        <v>1250</v>
      </c>
      <c r="AA44" s="70" t="str">
        <f t="shared" si="111"/>
        <v>#DIV/0!</v>
      </c>
      <c r="AB44" s="71">
        <f t="shared" si="112"/>
        <v>-1250</v>
      </c>
      <c r="AC44" s="66">
        <f t="shared" si="113"/>
        <v>0</v>
      </c>
      <c r="AD44" s="78"/>
      <c r="AE44" s="73" t="str">
        <f t="shared" si="114"/>
        <v>#DIV/0!</v>
      </c>
      <c r="AF44" s="76"/>
      <c r="AG44" s="75"/>
      <c r="AH44" s="66">
        <f t="shared" si="115"/>
        <v>0</v>
      </c>
      <c r="AI44" s="66">
        <f t="shared" si="116"/>
        <v>0</v>
      </c>
      <c r="AJ44" s="66">
        <f t="shared" si="117"/>
        <v>0</v>
      </c>
      <c r="AK44" s="66">
        <f t="shared" si="118"/>
        <v>0</v>
      </c>
      <c r="AL44" s="68">
        <v>1250.0</v>
      </c>
      <c r="AM44" s="66">
        <f t="shared" si="119"/>
        <v>0</v>
      </c>
      <c r="AN44" s="69">
        <f t="shared" si="120"/>
        <v>1250</v>
      </c>
      <c r="AO44" s="70" t="str">
        <f t="shared" si="121"/>
        <v>#DIV/0!</v>
      </c>
      <c r="AP44" s="71">
        <f t="shared" si="122"/>
        <v>-1250</v>
      </c>
      <c r="AQ44" s="66">
        <f t="shared" si="123"/>
        <v>0</v>
      </c>
      <c r="AR44" s="78"/>
      <c r="AS44" s="73" t="str">
        <f t="shared" si="124"/>
        <v>#DIV/0!</v>
      </c>
    </row>
    <row r="45">
      <c r="A45" s="98" t="s">
        <v>69</v>
      </c>
      <c r="B45" s="66">
        <f>B7*5+B41</f>
        <v>24500</v>
      </c>
      <c r="C45" s="65">
        <f t="shared" si="95"/>
        <v>20090</v>
      </c>
      <c r="D45" s="66">
        <f t="shared" si="96"/>
        <v>18099.0991</v>
      </c>
      <c r="E45" s="96">
        <v>1.0</v>
      </c>
      <c r="F45" s="66">
        <f t="shared" si="97"/>
        <v>3700</v>
      </c>
      <c r="G45" s="66">
        <f t="shared" si="98"/>
        <v>1665</v>
      </c>
      <c r="H45" s="66">
        <f t="shared" si="99"/>
        <v>2960</v>
      </c>
      <c r="I45" s="66">
        <f t="shared" si="100"/>
        <v>0</v>
      </c>
      <c r="J45" s="68">
        <v>1250.0</v>
      </c>
      <c r="K45" s="66">
        <f t="shared" si="39"/>
        <v>1266.936937</v>
      </c>
      <c r="L45" s="69">
        <f t="shared" si="101"/>
        <v>28941.03604</v>
      </c>
      <c r="M45" s="70">
        <f t="shared" si="102"/>
        <v>0.1317689189</v>
      </c>
      <c r="N45" s="71">
        <f t="shared" si="103"/>
        <v>4392.297297</v>
      </c>
      <c r="O45" s="66">
        <f t="shared" si="104"/>
        <v>33333.33333</v>
      </c>
      <c r="P45" s="78">
        <v>37000.0</v>
      </c>
      <c r="Q45" s="73">
        <f t="shared" si="105"/>
        <v>37000</v>
      </c>
      <c r="R45" s="74"/>
      <c r="S45" s="75"/>
      <c r="T45" s="66">
        <f t="shared" si="106"/>
        <v>0</v>
      </c>
      <c r="U45" s="66">
        <f t="shared" si="107"/>
        <v>0</v>
      </c>
      <c r="V45" s="66">
        <f t="shared" si="108"/>
        <v>0</v>
      </c>
      <c r="W45" s="66">
        <f t="shared" si="109"/>
        <v>0</v>
      </c>
      <c r="X45" s="68">
        <v>1250.0</v>
      </c>
      <c r="Y45" s="66">
        <f t="shared" si="49"/>
        <v>0</v>
      </c>
      <c r="Z45" s="69">
        <f t="shared" si="110"/>
        <v>1250</v>
      </c>
      <c r="AA45" s="70" t="str">
        <f t="shared" si="111"/>
        <v>#DIV/0!</v>
      </c>
      <c r="AB45" s="71">
        <f t="shared" si="112"/>
        <v>-1250</v>
      </c>
      <c r="AC45" s="66">
        <f t="shared" si="113"/>
        <v>0</v>
      </c>
      <c r="AD45" s="78"/>
      <c r="AE45" s="73" t="str">
        <f t="shared" si="114"/>
        <v>#DIV/0!</v>
      </c>
      <c r="AF45" s="76"/>
      <c r="AG45" s="75"/>
      <c r="AH45" s="66">
        <f t="shared" si="115"/>
        <v>0</v>
      </c>
      <c r="AI45" s="66">
        <f t="shared" si="116"/>
        <v>0</v>
      </c>
      <c r="AJ45" s="66">
        <f t="shared" si="117"/>
        <v>0</v>
      </c>
      <c r="AK45" s="66">
        <f t="shared" si="118"/>
        <v>0</v>
      </c>
      <c r="AL45" s="68">
        <v>1250.0</v>
      </c>
      <c r="AM45" s="66">
        <f t="shared" si="119"/>
        <v>0</v>
      </c>
      <c r="AN45" s="69">
        <f t="shared" si="120"/>
        <v>1250</v>
      </c>
      <c r="AO45" s="70" t="str">
        <f t="shared" si="121"/>
        <v>#DIV/0!</v>
      </c>
      <c r="AP45" s="71">
        <f t="shared" si="122"/>
        <v>-1250</v>
      </c>
      <c r="AQ45" s="66">
        <f t="shared" si="123"/>
        <v>0</v>
      </c>
      <c r="AR45" s="78"/>
      <c r="AS45" s="73" t="str">
        <f t="shared" si="124"/>
        <v>#DIV/0!</v>
      </c>
    </row>
    <row r="46">
      <c r="A46" s="99" t="s">
        <v>70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1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76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</row>
    <row r="47">
      <c r="A47" s="95" t="s">
        <v>71</v>
      </c>
      <c r="B47" s="66">
        <f t="shared" ref="B47:B49" si="125">B5</f>
        <v>3350</v>
      </c>
      <c r="C47" s="65">
        <f t="shared" ref="C47:C71" si="126">B47*$C$4</f>
        <v>2747</v>
      </c>
      <c r="D47" s="66">
        <f t="shared" ref="D47:D71" si="127">C47/$D$4</f>
        <v>2474.774775</v>
      </c>
      <c r="E47" s="67">
        <v>6.0</v>
      </c>
      <c r="F47" s="66">
        <f t="shared" ref="F47:F71" si="128">P47*$F$3</f>
        <v>2600</v>
      </c>
      <c r="G47" s="66">
        <f t="shared" ref="G47:G71" si="129">P47*$G$3</f>
        <v>1170</v>
      </c>
      <c r="H47" s="66">
        <f t="shared" ref="H47:H71" si="130">P47*$H$3</f>
        <v>2080</v>
      </c>
      <c r="I47" s="66">
        <f t="shared" ref="I47:I71" si="131">P47*$I$3</f>
        <v>0</v>
      </c>
      <c r="J47" s="68">
        <v>1250.0</v>
      </c>
      <c r="K47" s="66">
        <f t="shared" ref="K47:K71" si="132">D47*$K$3*E47</f>
        <v>1039.405405</v>
      </c>
      <c r="L47" s="69">
        <f t="shared" ref="L47:L71" si="133">(D47*E47)+F47+G47+H47+I47+J47+K47</f>
        <v>22988.05405</v>
      </c>
      <c r="M47" s="70">
        <f t="shared" ref="M47:M71" si="134">N47/O47</f>
        <v>0.01858692308</v>
      </c>
      <c r="N47" s="71">
        <f t="shared" ref="N47:N71" si="135">O47-L47</f>
        <v>435.3693694</v>
      </c>
      <c r="O47" s="66">
        <f t="shared" ref="O47:O71" si="136">P47/$O$4</f>
        <v>23423.42342</v>
      </c>
      <c r="P47" s="78">
        <v>26000.0</v>
      </c>
      <c r="Q47" s="73">
        <f t="shared" ref="Q47:Q71" si="137">P47/E47</f>
        <v>4333.333333</v>
      </c>
      <c r="R47" s="74"/>
      <c r="S47" s="75"/>
      <c r="T47" s="66">
        <f t="shared" ref="T47:T50" si="138">AD47*$T$3</f>
        <v>0</v>
      </c>
      <c r="U47" s="66">
        <f t="shared" ref="U47:U50" si="139">AD47*$U$3</f>
        <v>0</v>
      </c>
      <c r="V47" s="66">
        <f t="shared" ref="V47:V50" si="140">AD47*$V$3</f>
        <v>0</v>
      </c>
      <c r="W47" s="66">
        <f t="shared" ref="W47:W50" si="141">AD47*$W$3</f>
        <v>0</v>
      </c>
      <c r="X47" s="68">
        <v>1250.0</v>
      </c>
      <c r="Y47" s="66">
        <f t="shared" ref="Y47:Y71" si="142">D47*$Y$3*S47</f>
        <v>0</v>
      </c>
      <c r="Z47" s="69">
        <f t="shared" ref="Z47:Z50" si="143">(D47*S47)+T47+U47+V47+W47+X47+Y47</f>
        <v>1250</v>
      </c>
      <c r="AA47" s="70" t="str">
        <f t="shared" ref="AA47:AA50" si="144">AB47/AC47</f>
        <v>#DIV/0!</v>
      </c>
      <c r="AB47" s="71">
        <f t="shared" ref="AB47:AB50" si="145">AC47-Z47</f>
        <v>-1250</v>
      </c>
      <c r="AC47" s="66">
        <f t="shared" ref="AC47:AC50" si="146">AD47/$O$4</f>
        <v>0</v>
      </c>
      <c r="AD47" s="78"/>
      <c r="AE47" s="73" t="str">
        <f t="shared" ref="AE47:AE50" si="147">AD47/S47</f>
        <v>#DIV/0!</v>
      </c>
      <c r="AF47" s="76"/>
      <c r="AG47" s="75"/>
      <c r="AH47" s="66">
        <f t="shared" ref="AH47:AH50" si="148">AR47*$AH$3</f>
        <v>0</v>
      </c>
      <c r="AI47" s="66">
        <f t="shared" ref="AI47:AI50" si="149">AR47*$AI$3</f>
        <v>0</v>
      </c>
      <c r="AJ47" s="66">
        <f t="shared" ref="AJ47:AJ50" si="150">AR47*$AJ$3</f>
        <v>0</v>
      </c>
      <c r="AK47" s="66">
        <f t="shared" ref="AK47:AK50" si="151">AR47*$AK$3</f>
        <v>0</v>
      </c>
      <c r="AL47" s="68">
        <v>1250.0</v>
      </c>
      <c r="AM47" s="66">
        <f t="shared" ref="AM47:AM50" si="152">AF47*$AM$3</f>
        <v>0</v>
      </c>
      <c r="AN47" s="69">
        <f t="shared" ref="AN47:AN50" si="153">(R47*AG47)+AH47+AI47+AJ47+AK47+AL47+AM47</f>
        <v>1250</v>
      </c>
      <c r="AO47" s="70" t="str">
        <f t="shared" ref="AO47:AO50" si="154">AP47/AQ47</f>
        <v>#DIV/0!</v>
      </c>
      <c r="AP47" s="71">
        <f t="shared" ref="AP47:AP50" si="155">AQ47-AN47</f>
        <v>-1250</v>
      </c>
      <c r="AQ47" s="66">
        <f t="shared" ref="AQ47:AQ50" si="156">AR47/$O$4</f>
        <v>0</v>
      </c>
      <c r="AR47" s="78"/>
      <c r="AS47" s="73" t="str">
        <f t="shared" ref="AS47:AS50" si="157">AR47/AG47</f>
        <v>#DIV/0!</v>
      </c>
    </row>
    <row r="48">
      <c r="A48" s="95" t="s">
        <v>72</v>
      </c>
      <c r="B48" s="66">
        <f t="shared" si="125"/>
        <v>3500</v>
      </c>
      <c r="C48" s="65">
        <f t="shared" si="126"/>
        <v>2870</v>
      </c>
      <c r="D48" s="66">
        <f t="shared" si="127"/>
        <v>2585.585586</v>
      </c>
      <c r="E48" s="67">
        <v>6.0</v>
      </c>
      <c r="F48" s="66">
        <f t="shared" si="128"/>
        <v>2940</v>
      </c>
      <c r="G48" s="66">
        <f t="shared" si="129"/>
        <v>1323</v>
      </c>
      <c r="H48" s="66">
        <f t="shared" si="130"/>
        <v>2352</v>
      </c>
      <c r="I48" s="66">
        <f t="shared" si="131"/>
        <v>0</v>
      </c>
      <c r="J48" s="68">
        <v>1250.0</v>
      </c>
      <c r="K48" s="66">
        <f t="shared" si="132"/>
        <v>1085.945946</v>
      </c>
      <c r="L48" s="69">
        <f t="shared" si="133"/>
        <v>24464.45946</v>
      </c>
      <c r="M48" s="70">
        <f t="shared" si="134"/>
        <v>0.07634183673</v>
      </c>
      <c r="N48" s="71">
        <f t="shared" si="135"/>
        <v>2022.027027</v>
      </c>
      <c r="O48" s="66">
        <f t="shared" si="136"/>
        <v>26486.48649</v>
      </c>
      <c r="P48" s="78">
        <v>29400.0</v>
      </c>
      <c r="Q48" s="73">
        <f t="shared" si="137"/>
        <v>4900</v>
      </c>
      <c r="R48" s="74"/>
      <c r="S48" s="75"/>
      <c r="T48" s="66">
        <f t="shared" si="138"/>
        <v>0</v>
      </c>
      <c r="U48" s="66">
        <f t="shared" si="139"/>
        <v>0</v>
      </c>
      <c r="V48" s="66">
        <f t="shared" si="140"/>
        <v>0</v>
      </c>
      <c r="W48" s="66">
        <f t="shared" si="141"/>
        <v>0</v>
      </c>
      <c r="X48" s="68">
        <v>1250.0</v>
      </c>
      <c r="Y48" s="66">
        <f t="shared" si="142"/>
        <v>0</v>
      </c>
      <c r="Z48" s="69">
        <f t="shared" si="143"/>
        <v>1250</v>
      </c>
      <c r="AA48" s="70" t="str">
        <f t="shared" si="144"/>
        <v>#DIV/0!</v>
      </c>
      <c r="AB48" s="71">
        <f t="shared" si="145"/>
        <v>-1250</v>
      </c>
      <c r="AC48" s="66">
        <f t="shared" si="146"/>
        <v>0</v>
      </c>
      <c r="AD48" s="78"/>
      <c r="AE48" s="73" t="str">
        <f t="shared" si="147"/>
        <v>#DIV/0!</v>
      </c>
      <c r="AF48" s="76"/>
      <c r="AG48" s="75"/>
      <c r="AH48" s="66">
        <f t="shared" si="148"/>
        <v>0</v>
      </c>
      <c r="AI48" s="66">
        <f t="shared" si="149"/>
        <v>0</v>
      </c>
      <c r="AJ48" s="66">
        <f t="shared" si="150"/>
        <v>0</v>
      </c>
      <c r="AK48" s="66">
        <f t="shared" si="151"/>
        <v>0</v>
      </c>
      <c r="AL48" s="68">
        <v>1250.0</v>
      </c>
      <c r="AM48" s="66">
        <f t="shared" si="152"/>
        <v>0</v>
      </c>
      <c r="AN48" s="69">
        <f t="shared" si="153"/>
        <v>1250</v>
      </c>
      <c r="AO48" s="70" t="str">
        <f t="shared" si="154"/>
        <v>#DIV/0!</v>
      </c>
      <c r="AP48" s="71">
        <f t="shared" si="155"/>
        <v>-1250</v>
      </c>
      <c r="AQ48" s="66">
        <f t="shared" si="156"/>
        <v>0</v>
      </c>
      <c r="AR48" s="78"/>
      <c r="AS48" s="73" t="str">
        <f t="shared" si="157"/>
        <v>#DIV/0!</v>
      </c>
    </row>
    <row r="49">
      <c r="A49" s="95" t="s">
        <v>73</v>
      </c>
      <c r="B49" s="66">
        <f t="shared" si="125"/>
        <v>4100</v>
      </c>
      <c r="C49" s="65">
        <f t="shared" si="126"/>
        <v>3362</v>
      </c>
      <c r="D49" s="66">
        <f t="shared" si="127"/>
        <v>3028.828829</v>
      </c>
      <c r="E49" s="67">
        <v>6.0</v>
      </c>
      <c r="F49" s="66">
        <f t="shared" si="128"/>
        <v>3450</v>
      </c>
      <c r="G49" s="66">
        <f t="shared" si="129"/>
        <v>1552.5</v>
      </c>
      <c r="H49" s="66">
        <f t="shared" si="130"/>
        <v>2760</v>
      </c>
      <c r="I49" s="66">
        <f t="shared" si="131"/>
        <v>0</v>
      </c>
      <c r="J49" s="68">
        <v>1250.0</v>
      </c>
      <c r="K49" s="66">
        <f t="shared" si="132"/>
        <v>1272.108108</v>
      </c>
      <c r="L49" s="69">
        <f t="shared" si="133"/>
        <v>28457.58108</v>
      </c>
      <c r="M49" s="70">
        <f t="shared" si="134"/>
        <v>0.08440826087</v>
      </c>
      <c r="N49" s="71">
        <f t="shared" si="135"/>
        <v>2623.5</v>
      </c>
      <c r="O49" s="66">
        <f t="shared" si="136"/>
        <v>31081.08108</v>
      </c>
      <c r="P49" s="78">
        <v>34500.0</v>
      </c>
      <c r="Q49" s="73">
        <f t="shared" si="137"/>
        <v>5750</v>
      </c>
      <c r="R49" s="74"/>
      <c r="S49" s="75"/>
      <c r="T49" s="66">
        <f t="shared" si="138"/>
        <v>0</v>
      </c>
      <c r="U49" s="66">
        <f t="shared" si="139"/>
        <v>0</v>
      </c>
      <c r="V49" s="66">
        <f t="shared" si="140"/>
        <v>0</v>
      </c>
      <c r="W49" s="66">
        <f t="shared" si="141"/>
        <v>0</v>
      </c>
      <c r="X49" s="68">
        <v>1250.0</v>
      </c>
      <c r="Y49" s="66">
        <f t="shared" si="142"/>
        <v>0</v>
      </c>
      <c r="Z49" s="69">
        <f t="shared" si="143"/>
        <v>1250</v>
      </c>
      <c r="AA49" s="70" t="str">
        <f t="shared" si="144"/>
        <v>#DIV/0!</v>
      </c>
      <c r="AB49" s="71">
        <f t="shared" si="145"/>
        <v>-1250</v>
      </c>
      <c r="AC49" s="66">
        <f t="shared" si="146"/>
        <v>0</v>
      </c>
      <c r="AD49" s="78"/>
      <c r="AE49" s="73" t="str">
        <f t="shared" si="147"/>
        <v>#DIV/0!</v>
      </c>
      <c r="AF49" s="76"/>
      <c r="AG49" s="75"/>
      <c r="AH49" s="66">
        <f t="shared" si="148"/>
        <v>0</v>
      </c>
      <c r="AI49" s="66">
        <f t="shared" si="149"/>
        <v>0</v>
      </c>
      <c r="AJ49" s="66">
        <f t="shared" si="150"/>
        <v>0</v>
      </c>
      <c r="AK49" s="66">
        <f t="shared" si="151"/>
        <v>0</v>
      </c>
      <c r="AL49" s="68">
        <v>1250.0</v>
      </c>
      <c r="AM49" s="66">
        <f t="shared" si="152"/>
        <v>0</v>
      </c>
      <c r="AN49" s="69">
        <f t="shared" si="153"/>
        <v>1250</v>
      </c>
      <c r="AO49" s="70" t="str">
        <f t="shared" si="154"/>
        <v>#DIV/0!</v>
      </c>
      <c r="AP49" s="71">
        <f t="shared" si="155"/>
        <v>-1250</v>
      </c>
      <c r="AQ49" s="66">
        <f t="shared" si="156"/>
        <v>0</v>
      </c>
      <c r="AR49" s="78"/>
      <c r="AS49" s="73" t="str">
        <f t="shared" si="157"/>
        <v>#DIV/0!</v>
      </c>
    </row>
    <row r="50">
      <c r="A50" s="97" t="s">
        <v>74</v>
      </c>
      <c r="B50" s="66">
        <f>B17</f>
        <v>3850</v>
      </c>
      <c r="C50" s="65">
        <f t="shared" si="126"/>
        <v>3157</v>
      </c>
      <c r="D50" s="66">
        <f t="shared" si="127"/>
        <v>2844.144144</v>
      </c>
      <c r="E50" s="67">
        <v>6.0</v>
      </c>
      <c r="F50" s="66">
        <f t="shared" si="128"/>
        <v>3050</v>
      </c>
      <c r="G50" s="66">
        <f t="shared" si="129"/>
        <v>1372.5</v>
      </c>
      <c r="H50" s="66">
        <f t="shared" si="130"/>
        <v>2440</v>
      </c>
      <c r="I50" s="66">
        <f t="shared" si="131"/>
        <v>0</v>
      </c>
      <c r="J50" s="68">
        <v>1250.0</v>
      </c>
      <c r="K50" s="66">
        <f t="shared" si="132"/>
        <v>1194.540541</v>
      </c>
      <c r="L50" s="69">
        <f t="shared" si="133"/>
        <v>26371.90541</v>
      </c>
      <c r="M50" s="70">
        <f t="shared" si="134"/>
        <v>0.04023557377</v>
      </c>
      <c r="N50" s="71">
        <f t="shared" si="135"/>
        <v>1105.572072</v>
      </c>
      <c r="O50" s="66">
        <f t="shared" si="136"/>
        <v>27477.47748</v>
      </c>
      <c r="P50" s="78">
        <v>30500.0</v>
      </c>
      <c r="Q50" s="73">
        <f t="shared" si="137"/>
        <v>5083.333333</v>
      </c>
      <c r="R50" s="74"/>
      <c r="S50" s="75"/>
      <c r="T50" s="66">
        <f t="shared" si="138"/>
        <v>0</v>
      </c>
      <c r="U50" s="66">
        <f t="shared" si="139"/>
        <v>0</v>
      </c>
      <c r="V50" s="66">
        <f t="shared" si="140"/>
        <v>0</v>
      </c>
      <c r="W50" s="66">
        <f t="shared" si="141"/>
        <v>0</v>
      </c>
      <c r="X50" s="68">
        <v>1250.0</v>
      </c>
      <c r="Y50" s="66">
        <f t="shared" si="142"/>
        <v>0</v>
      </c>
      <c r="Z50" s="69">
        <f t="shared" si="143"/>
        <v>1250</v>
      </c>
      <c r="AA50" s="70" t="str">
        <f t="shared" si="144"/>
        <v>#DIV/0!</v>
      </c>
      <c r="AB50" s="71">
        <f t="shared" si="145"/>
        <v>-1250</v>
      </c>
      <c r="AC50" s="66">
        <f t="shared" si="146"/>
        <v>0</v>
      </c>
      <c r="AD50" s="78"/>
      <c r="AE50" s="73" t="str">
        <f t="shared" si="147"/>
        <v>#DIV/0!</v>
      </c>
      <c r="AF50" s="76"/>
      <c r="AG50" s="75"/>
      <c r="AH50" s="66">
        <f t="shared" si="148"/>
        <v>0</v>
      </c>
      <c r="AI50" s="66">
        <f t="shared" si="149"/>
        <v>0</v>
      </c>
      <c r="AJ50" s="66">
        <f t="shared" si="150"/>
        <v>0</v>
      </c>
      <c r="AK50" s="66">
        <f t="shared" si="151"/>
        <v>0</v>
      </c>
      <c r="AL50" s="68">
        <v>1250.0</v>
      </c>
      <c r="AM50" s="66">
        <f t="shared" si="152"/>
        <v>0</v>
      </c>
      <c r="AN50" s="69">
        <f t="shared" si="153"/>
        <v>1250</v>
      </c>
      <c r="AO50" s="70" t="str">
        <f t="shared" si="154"/>
        <v>#DIV/0!</v>
      </c>
      <c r="AP50" s="71">
        <f t="shared" si="155"/>
        <v>-1250</v>
      </c>
      <c r="AQ50" s="66">
        <f t="shared" si="156"/>
        <v>0</v>
      </c>
      <c r="AR50" s="78"/>
      <c r="AS50" s="73" t="str">
        <f t="shared" si="157"/>
        <v>#DIV/0!</v>
      </c>
    </row>
    <row r="51">
      <c r="A51" s="103" t="s">
        <v>75</v>
      </c>
      <c r="B51" s="66">
        <f>B5*3+B6*2+B7</f>
        <v>21150</v>
      </c>
      <c r="C51" s="65">
        <f t="shared" si="126"/>
        <v>17343</v>
      </c>
      <c r="D51" s="66">
        <f t="shared" si="127"/>
        <v>15624.32432</v>
      </c>
      <c r="E51" s="67">
        <v>1.0</v>
      </c>
      <c r="F51" s="66">
        <f t="shared" si="128"/>
        <v>2700</v>
      </c>
      <c r="G51" s="66">
        <f t="shared" si="129"/>
        <v>1215</v>
      </c>
      <c r="H51" s="66">
        <f t="shared" si="130"/>
        <v>2160</v>
      </c>
      <c r="I51" s="66">
        <f t="shared" si="131"/>
        <v>0</v>
      </c>
      <c r="J51" s="68">
        <v>1250.0</v>
      </c>
      <c r="K51" s="66">
        <f t="shared" si="132"/>
        <v>1093.702703</v>
      </c>
      <c r="L51" s="69">
        <f t="shared" si="133"/>
        <v>24043.02703</v>
      </c>
      <c r="M51" s="70">
        <f t="shared" si="134"/>
        <v>0.01156444444</v>
      </c>
      <c r="N51" s="71">
        <f t="shared" si="135"/>
        <v>281.2972973</v>
      </c>
      <c r="O51" s="66">
        <f t="shared" si="136"/>
        <v>24324.32432</v>
      </c>
      <c r="P51" s="78">
        <v>27000.0</v>
      </c>
      <c r="Q51" s="73">
        <f t="shared" si="137"/>
        <v>27000</v>
      </c>
      <c r="R51" s="74"/>
      <c r="S51" s="75"/>
      <c r="T51" s="66"/>
      <c r="U51" s="66"/>
      <c r="V51" s="66"/>
      <c r="W51" s="66"/>
      <c r="X51" s="68"/>
      <c r="Y51" s="66">
        <f t="shared" si="142"/>
        <v>0</v>
      </c>
      <c r="Z51" s="69"/>
      <c r="AA51" s="70"/>
      <c r="AB51" s="71"/>
      <c r="AC51" s="66"/>
      <c r="AD51" s="78"/>
      <c r="AE51" s="73"/>
      <c r="AF51" s="76"/>
      <c r="AG51" s="75"/>
      <c r="AH51" s="66"/>
      <c r="AI51" s="66"/>
      <c r="AJ51" s="66"/>
      <c r="AK51" s="66"/>
      <c r="AL51" s="68"/>
      <c r="AM51" s="66"/>
      <c r="AN51" s="69"/>
      <c r="AO51" s="70"/>
      <c r="AP51" s="71"/>
      <c r="AQ51" s="66"/>
      <c r="AR51" s="78"/>
      <c r="AS51" s="73"/>
    </row>
    <row r="52">
      <c r="A52" s="104" t="s">
        <v>76</v>
      </c>
      <c r="B52" s="66">
        <f t="shared" ref="B52:B53" si="158">B5*3+B6*3</f>
        <v>20550</v>
      </c>
      <c r="C52" s="65">
        <f t="shared" si="126"/>
        <v>16851</v>
      </c>
      <c r="D52" s="66">
        <f t="shared" si="127"/>
        <v>15181.08108</v>
      </c>
      <c r="E52" s="67">
        <v>1.0</v>
      </c>
      <c r="F52" s="66">
        <f t="shared" si="128"/>
        <v>2600</v>
      </c>
      <c r="G52" s="66">
        <f t="shared" si="129"/>
        <v>1170</v>
      </c>
      <c r="H52" s="66">
        <f t="shared" si="130"/>
        <v>2080</v>
      </c>
      <c r="I52" s="66">
        <f t="shared" si="131"/>
        <v>0</v>
      </c>
      <c r="J52" s="68">
        <v>1250.0</v>
      </c>
      <c r="K52" s="66">
        <f t="shared" si="132"/>
        <v>1062.675676</v>
      </c>
      <c r="L52" s="69">
        <f t="shared" si="133"/>
        <v>23343.75676</v>
      </c>
      <c r="M52" s="70">
        <f t="shared" si="134"/>
        <v>0.003401153846</v>
      </c>
      <c r="N52" s="71">
        <f t="shared" si="135"/>
        <v>79.66666667</v>
      </c>
      <c r="O52" s="66">
        <f t="shared" si="136"/>
        <v>23423.42342</v>
      </c>
      <c r="P52" s="78">
        <v>26000.0</v>
      </c>
      <c r="Q52" s="73">
        <f t="shared" si="137"/>
        <v>26000</v>
      </c>
      <c r="R52" s="74"/>
      <c r="S52" s="75"/>
      <c r="T52" s="66"/>
      <c r="U52" s="66"/>
      <c r="V52" s="66"/>
      <c r="W52" s="66"/>
      <c r="X52" s="68"/>
      <c r="Y52" s="66">
        <f t="shared" si="142"/>
        <v>0</v>
      </c>
      <c r="Z52" s="69"/>
      <c r="AA52" s="70"/>
      <c r="AB52" s="71"/>
      <c r="AC52" s="66"/>
      <c r="AD52" s="78"/>
      <c r="AE52" s="73"/>
      <c r="AF52" s="76"/>
      <c r="AG52" s="75"/>
      <c r="AH52" s="66"/>
      <c r="AI52" s="66"/>
      <c r="AJ52" s="66"/>
      <c r="AK52" s="66"/>
      <c r="AL52" s="68"/>
      <c r="AM52" s="66"/>
      <c r="AN52" s="69"/>
      <c r="AO52" s="70"/>
      <c r="AP52" s="71"/>
      <c r="AQ52" s="66"/>
      <c r="AR52" s="78"/>
      <c r="AS52" s="73"/>
    </row>
    <row r="53">
      <c r="A53" s="104" t="s">
        <v>77</v>
      </c>
      <c r="B53" s="66">
        <f t="shared" si="158"/>
        <v>22800</v>
      </c>
      <c r="C53" s="65">
        <f t="shared" si="126"/>
        <v>18696</v>
      </c>
      <c r="D53" s="66">
        <f t="shared" si="127"/>
        <v>16843.24324</v>
      </c>
      <c r="E53" s="67">
        <v>1.0</v>
      </c>
      <c r="F53" s="66">
        <f t="shared" si="128"/>
        <v>0</v>
      </c>
      <c r="G53" s="66">
        <f t="shared" si="129"/>
        <v>0</v>
      </c>
      <c r="H53" s="66">
        <f t="shared" si="130"/>
        <v>0</v>
      </c>
      <c r="I53" s="66">
        <f t="shared" si="131"/>
        <v>0</v>
      </c>
      <c r="J53" s="68">
        <v>1250.0</v>
      </c>
      <c r="K53" s="66">
        <f t="shared" si="132"/>
        <v>1179.027027</v>
      </c>
      <c r="L53" s="69">
        <f t="shared" si="133"/>
        <v>19272.27027</v>
      </c>
      <c r="M53" s="70" t="str">
        <f t="shared" si="134"/>
        <v>#DIV/0!</v>
      </c>
      <c r="N53" s="71">
        <f t="shared" si="135"/>
        <v>-19272.27027</v>
      </c>
      <c r="O53" s="66">
        <f t="shared" si="136"/>
        <v>0</v>
      </c>
      <c r="P53" s="78"/>
      <c r="Q53" s="73">
        <f t="shared" si="137"/>
        <v>0</v>
      </c>
      <c r="R53" s="74"/>
      <c r="S53" s="75"/>
      <c r="T53" s="66"/>
      <c r="U53" s="66"/>
      <c r="V53" s="66"/>
      <c r="W53" s="66"/>
      <c r="X53" s="68"/>
      <c r="Y53" s="66">
        <f t="shared" si="142"/>
        <v>0</v>
      </c>
      <c r="Z53" s="69"/>
      <c r="AA53" s="70"/>
      <c r="AB53" s="71"/>
      <c r="AC53" s="66"/>
      <c r="AD53" s="78"/>
      <c r="AE53" s="73"/>
      <c r="AF53" s="76"/>
      <c r="AG53" s="75"/>
      <c r="AH53" s="66"/>
      <c r="AI53" s="66"/>
      <c r="AJ53" s="66"/>
      <c r="AK53" s="66"/>
      <c r="AL53" s="68"/>
      <c r="AM53" s="66"/>
      <c r="AN53" s="69"/>
      <c r="AO53" s="70"/>
      <c r="AP53" s="71"/>
      <c r="AQ53" s="66"/>
      <c r="AR53" s="78"/>
      <c r="AS53" s="73"/>
    </row>
    <row r="54">
      <c r="A54" s="104" t="s">
        <v>78</v>
      </c>
      <c r="B54" s="66">
        <f>B9*3+B5*3</f>
        <v>40050</v>
      </c>
      <c r="C54" s="65">
        <f t="shared" si="126"/>
        <v>32841</v>
      </c>
      <c r="D54" s="66">
        <f t="shared" si="127"/>
        <v>29586.48649</v>
      </c>
      <c r="E54" s="67">
        <v>1.0</v>
      </c>
      <c r="F54" s="66">
        <f t="shared" si="128"/>
        <v>0</v>
      </c>
      <c r="G54" s="66">
        <f t="shared" si="129"/>
        <v>0</v>
      </c>
      <c r="H54" s="66">
        <f t="shared" si="130"/>
        <v>0</v>
      </c>
      <c r="I54" s="66">
        <f t="shared" si="131"/>
        <v>0</v>
      </c>
      <c r="J54" s="68">
        <v>1250.0</v>
      </c>
      <c r="K54" s="66">
        <f t="shared" si="132"/>
        <v>2071.054054</v>
      </c>
      <c r="L54" s="69">
        <f t="shared" si="133"/>
        <v>32907.54054</v>
      </c>
      <c r="M54" s="70" t="str">
        <f t="shared" si="134"/>
        <v>#DIV/0!</v>
      </c>
      <c r="N54" s="71">
        <f t="shared" si="135"/>
        <v>-32907.54054</v>
      </c>
      <c r="O54" s="66">
        <f t="shared" si="136"/>
        <v>0</v>
      </c>
      <c r="P54" s="78"/>
      <c r="Q54" s="73">
        <f t="shared" si="137"/>
        <v>0</v>
      </c>
      <c r="R54" s="74"/>
      <c r="S54" s="75"/>
      <c r="T54" s="66"/>
      <c r="U54" s="66"/>
      <c r="V54" s="66"/>
      <c r="W54" s="66"/>
      <c r="X54" s="68"/>
      <c r="Y54" s="66">
        <f t="shared" si="142"/>
        <v>0</v>
      </c>
      <c r="Z54" s="69"/>
      <c r="AA54" s="70"/>
      <c r="AB54" s="71"/>
      <c r="AC54" s="66"/>
      <c r="AD54" s="78"/>
      <c r="AE54" s="73"/>
      <c r="AF54" s="76"/>
      <c r="AG54" s="75"/>
      <c r="AH54" s="66"/>
      <c r="AI54" s="66"/>
      <c r="AJ54" s="66"/>
      <c r="AK54" s="66"/>
      <c r="AL54" s="68"/>
      <c r="AM54" s="66"/>
      <c r="AN54" s="69"/>
      <c r="AO54" s="70"/>
      <c r="AP54" s="71"/>
      <c r="AQ54" s="66"/>
      <c r="AR54" s="78"/>
      <c r="AS54" s="73"/>
    </row>
    <row r="55">
      <c r="A55" s="104" t="s">
        <v>79</v>
      </c>
      <c r="B55" s="66">
        <f>B9*3+B5*3</f>
        <v>40050</v>
      </c>
      <c r="C55" s="65">
        <f t="shared" si="126"/>
        <v>32841</v>
      </c>
      <c r="D55" s="66">
        <f t="shared" si="127"/>
        <v>29586.48649</v>
      </c>
      <c r="E55" s="67">
        <v>1.0</v>
      </c>
      <c r="F55" s="66">
        <f t="shared" si="128"/>
        <v>0</v>
      </c>
      <c r="G55" s="66">
        <f t="shared" si="129"/>
        <v>0</v>
      </c>
      <c r="H55" s="66">
        <f t="shared" si="130"/>
        <v>0</v>
      </c>
      <c r="I55" s="66">
        <f t="shared" si="131"/>
        <v>0</v>
      </c>
      <c r="J55" s="68">
        <v>1250.0</v>
      </c>
      <c r="K55" s="66">
        <f t="shared" si="132"/>
        <v>2071.054054</v>
      </c>
      <c r="L55" s="69">
        <f t="shared" si="133"/>
        <v>32907.54054</v>
      </c>
      <c r="M55" s="70" t="str">
        <f t="shared" si="134"/>
        <v>#DIV/0!</v>
      </c>
      <c r="N55" s="71">
        <f t="shared" si="135"/>
        <v>-32907.54054</v>
      </c>
      <c r="O55" s="66">
        <f t="shared" si="136"/>
        <v>0</v>
      </c>
      <c r="P55" s="78"/>
      <c r="Q55" s="73">
        <f t="shared" si="137"/>
        <v>0</v>
      </c>
      <c r="R55" s="74"/>
      <c r="S55" s="75"/>
      <c r="T55" s="66"/>
      <c r="U55" s="66"/>
      <c r="V55" s="66"/>
      <c r="W55" s="66"/>
      <c r="X55" s="68"/>
      <c r="Y55" s="66">
        <f t="shared" si="142"/>
        <v>0</v>
      </c>
      <c r="Z55" s="69"/>
      <c r="AA55" s="70"/>
      <c r="AB55" s="71"/>
      <c r="AC55" s="66"/>
      <c r="AD55" s="78"/>
      <c r="AE55" s="73"/>
      <c r="AF55" s="76"/>
      <c r="AG55" s="75"/>
      <c r="AH55" s="66"/>
      <c r="AI55" s="66"/>
      <c r="AJ55" s="66"/>
      <c r="AK55" s="66"/>
      <c r="AL55" s="68"/>
      <c r="AM55" s="66"/>
      <c r="AN55" s="69"/>
      <c r="AO55" s="70"/>
      <c r="AP55" s="71"/>
      <c r="AQ55" s="66"/>
      <c r="AR55" s="78"/>
      <c r="AS55" s="73"/>
    </row>
    <row r="56">
      <c r="A56" s="104" t="s">
        <v>80</v>
      </c>
      <c r="B56" s="66">
        <f>B9*3+B7*3</f>
        <v>42300</v>
      </c>
      <c r="C56" s="65">
        <f t="shared" si="126"/>
        <v>34686</v>
      </c>
      <c r="D56" s="66">
        <f t="shared" si="127"/>
        <v>31248.64865</v>
      </c>
      <c r="E56" s="67">
        <v>1.0</v>
      </c>
      <c r="F56" s="66">
        <f t="shared" si="128"/>
        <v>0</v>
      </c>
      <c r="G56" s="66">
        <f t="shared" si="129"/>
        <v>0</v>
      </c>
      <c r="H56" s="66">
        <f t="shared" si="130"/>
        <v>0</v>
      </c>
      <c r="I56" s="66">
        <f t="shared" si="131"/>
        <v>0</v>
      </c>
      <c r="J56" s="68">
        <v>1250.0</v>
      </c>
      <c r="K56" s="66">
        <f t="shared" si="132"/>
        <v>2187.405405</v>
      </c>
      <c r="L56" s="69">
        <f t="shared" si="133"/>
        <v>34686.05405</v>
      </c>
      <c r="M56" s="70" t="str">
        <f t="shared" si="134"/>
        <v>#DIV/0!</v>
      </c>
      <c r="N56" s="71">
        <f t="shared" si="135"/>
        <v>-34686.05405</v>
      </c>
      <c r="O56" s="66">
        <f t="shared" si="136"/>
        <v>0</v>
      </c>
      <c r="P56" s="78"/>
      <c r="Q56" s="73">
        <f t="shared" si="137"/>
        <v>0</v>
      </c>
      <c r="R56" s="74"/>
      <c r="S56" s="75"/>
      <c r="T56" s="66"/>
      <c r="U56" s="66"/>
      <c r="V56" s="66"/>
      <c r="W56" s="66"/>
      <c r="X56" s="68"/>
      <c r="Y56" s="66">
        <f t="shared" si="142"/>
        <v>0</v>
      </c>
      <c r="Z56" s="69"/>
      <c r="AA56" s="70"/>
      <c r="AB56" s="71"/>
      <c r="AC56" s="66"/>
      <c r="AD56" s="78"/>
      <c r="AE56" s="73"/>
      <c r="AF56" s="76"/>
      <c r="AG56" s="75"/>
      <c r="AH56" s="66"/>
      <c r="AI56" s="66"/>
      <c r="AJ56" s="66"/>
      <c r="AK56" s="66"/>
      <c r="AL56" s="68"/>
      <c r="AM56" s="66"/>
      <c r="AN56" s="69"/>
      <c r="AO56" s="70"/>
      <c r="AP56" s="71"/>
      <c r="AQ56" s="66"/>
      <c r="AR56" s="78"/>
      <c r="AS56" s="73"/>
    </row>
    <row r="57">
      <c r="A57" s="104" t="s">
        <v>81</v>
      </c>
      <c r="B57" s="66">
        <f>B9*4+B13</f>
        <v>45900</v>
      </c>
      <c r="C57" s="65">
        <f t="shared" si="126"/>
        <v>37638</v>
      </c>
      <c r="D57" s="66">
        <f t="shared" si="127"/>
        <v>33908.10811</v>
      </c>
      <c r="E57" s="67">
        <v>1.0</v>
      </c>
      <c r="F57" s="66">
        <f t="shared" si="128"/>
        <v>0</v>
      </c>
      <c r="G57" s="66">
        <f t="shared" si="129"/>
        <v>0</v>
      </c>
      <c r="H57" s="66">
        <f t="shared" si="130"/>
        <v>0</v>
      </c>
      <c r="I57" s="66">
        <f t="shared" si="131"/>
        <v>0</v>
      </c>
      <c r="J57" s="68">
        <v>1250.0</v>
      </c>
      <c r="K57" s="66">
        <f t="shared" si="132"/>
        <v>2373.567568</v>
      </c>
      <c r="L57" s="69">
        <f t="shared" si="133"/>
        <v>37531.67568</v>
      </c>
      <c r="M57" s="70" t="str">
        <f t="shared" si="134"/>
        <v>#DIV/0!</v>
      </c>
      <c r="N57" s="71">
        <f t="shared" si="135"/>
        <v>-37531.67568</v>
      </c>
      <c r="O57" s="66">
        <f t="shared" si="136"/>
        <v>0</v>
      </c>
      <c r="P57" s="78"/>
      <c r="Q57" s="73">
        <f t="shared" si="137"/>
        <v>0</v>
      </c>
      <c r="R57" s="74"/>
      <c r="S57" s="75"/>
      <c r="T57" s="66"/>
      <c r="U57" s="66"/>
      <c r="V57" s="66"/>
      <c r="W57" s="66"/>
      <c r="X57" s="68"/>
      <c r="Y57" s="66">
        <f t="shared" si="142"/>
        <v>0</v>
      </c>
      <c r="Z57" s="69"/>
      <c r="AA57" s="70"/>
      <c r="AB57" s="71"/>
      <c r="AC57" s="66"/>
      <c r="AD57" s="78"/>
      <c r="AE57" s="73"/>
      <c r="AF57" s="76"/>
      <c r="AG57" s="75"/>
      <c r="AH57" s="66"/>
      <c r="AI57" s="66"/>
      <c r="AJ57" s="66"/>
      <c r="AK57" s="66"/>
      <c r="AL57" s="68"/>
      <c r="AM57" s="66"/>
      <c r="AN57" s="69"/>
      <c r="AO57" s="70"/>
      <c r="AP57" s="71"/>
      <c r="AQ57" s="66"/>
      <c r="AR57" s="78"/>
      <c r="AS57" s="73"/>
    </row>
    <row r="58">
      <c r="A58" s="104" t="s">
        <v>82</v>
      </c>
      <c r="B58" s="66">
        <f>B8*4+B13</f>
        <v>105900</v>
      </c>
      <c r="C58" s="65">
        <f t="shared" si="126"/>
        <v>86838</v>
      </c>
      <c r="D58" s="66">
        <f t="shared" si="127"/>
        <v>78232.43243</v>
      </c>
      <c r="E58" s="67">
        <v>1.0</v>
      </c>
      <c r="F58" s="66">
        <f t="shared" si="128"/>
        <v>0</v>
      </c>
      <c r="G58" s="66">
        <f t="shared" si="129"/>
        <v>0</v>
      </c>
      <c r="H58" s="66">
        <f t="shared" si="130"/>
        <v>0</v>
      </c>
      <c r="I58" s="66">
        <f t="shared" si="131"/>
        <v>0</v>
      </c>
      <c r="J58" s="68">
        <v>1250.0</v>
      </c>
      <c r="K58" s="66">
        <f t="shared" si="132"/>
        <v>5476.27027</v>
      </c>
      <c r="L58" s="69">
        <f t="shared" si="133"/>
        <v>84958.7027</v>
      </c>
      <c r="M58" s="70" t="str">
        <f t="shared" si="134"/>
        <v>#DIV/0!</v>
      </c>
      <c r="N58" s="71">
        <f t="shared" si="135"/>
        <v>-84958.7027</v>
      </c>
      <c r="O58" s="66">
        <f t="shared" si="136"/>
        <v>0</v>
      </c>
      <c r="P58" s="78"/>
      <c r="Q58" s="73">
        <f t="shared" si="137"/>
        <v>0</v>
      </c>
      <c r="R58" s="74"/>
      <c r="S58" s="75"/>
      <c r="T58" s="66"/>
      <c r="U58" s="66"/>
      <c r="V58" s="66"/>
      <c r="W58" s="66"/>
      <c r="X58" s="68"/>
      <c r="Y58" s="66">
        <f t="shared" si="142"/>
        <v>0</v>
      </c>
      <c r="Z58" s="69"/>
      <c r="AA58" s="70"/>
      <c r="AB58" s="71"/>
      <c r="AC58" s="66"/>
      <c r="AD58" s="78"/>
      <c r="AE58" s="73"/>
      <c r="AF58" s="76"/>
      <c r="AG58" s="75"/>
      <c r="AH58" s="66"/>
      <c r="AI58" s="66"/>
      <c r="AJ58" s="66"/>
      <c r="AK58" s="66"/>
      <c r="AL58" s="68"/>
      <c r="AM58" s="66"/>
      <c r="AN58" s="69"/>
      <c r="AO58" s="70"/>
      <c r="AP58" s="71"/>
      <c r="AQ58" s="66"/>
      <c r="AR58" s="78"/>
      <c r="AS58" s="73"/>
    </row>
    <row r="59">
      <c r="A59" s="105"/>
      <c r="B59" s="66"/>
      <c r="C59" s="65">
        <f t="shared" si="126"/>
        <v>0</v>
      </c>
      <c r="D59" s="66">
        <f t="shared" si="127"/>
        <v>0</v>
      </c>
      <c r="E59" s="67">
        <v>1.0</v>
      </c>
      <c r="F59" s="66">
        <f t="shared" si="128"/>
        <v>0</v>
      </c>
      <c r="G59" s="66">
        <f t="shared" si="129"/>
        <v>0</v>
      </c>
      <c r="H59" s="66">
        <f t="shared" si="130"/>
        <v>0</v>
      </c>
      <c r="I59" s="66">
        <f t="shared" si="131"/>
        <v>0</v>
      </c>
      <c r="J59" s="68">
        <v>1250.0</v>
      </c>
      <c r="K59" s="66">
        <f t="shared" si="132"/>
        <v>0</v>
      </c>
      <c r="L59" s="69">
        <f t="shared" si="133"/>
        <v>1250</v>
      </c>
      <c r="M59" s="70" t="str">
        <f t="shared" si="134"/>
        <v>#DIV/0!</v>
      </c>
      <c r="N59" s="71">
        <f t="shared" si="135"/>
        <v>-1250</v>
      </c>
      <c r="O59" s="66">
        <f t="shared" si="136"/>
        <v>0</v>
      </c>
      <c r="P59" s="78"/>
      <c r="Q59" s="73">
        <f t="shared" si="137"/>
        <v>0</v>
      </c>
      <c r="R59" s="74"/>
      <c r="S59" s="75"/>
      <c r="T59" s="66"/>
      <c r="U59" s="66"/>
      <c r="V59" s="66"/>
      <c r="W59" s="66"/>
      <c r="X59" s="68"/>
      <c r="Y59" s="66">
        <f t="shared" si="142"/>
        <v>0</v>
      </c>
      <c r="Z59" s="69"/>
      <c r="AA59" s="70"/>
      <c r="AB59" s="71"/>
      <c r="AC59" s="66"/>
      <c r="AD59" s="78"/>
      <c r="AE59" s="73"/>
      <c r="AF59" s="76"/>
      <c r="AG59" s="75"/>
      <c r="AH59" s="66"/>
      <c r="AI59" s="66"/>
      <c r="AJ59" s="66"/>
      <c r="AK59" s="66"/>
      <c r="AL59" s="68"/>
      <c r="AM59" s="66"/>
      <c r="AN59" s="69"/>
      <c r="AO59" s="70"/>
      <c r="AP59" s="71"/>
      <c r="AQ59" s="66"/>
      <c r="AR59" s="78"/>
      <c r="AS59" s="73"/>
    </row>
    <row r="60">
      <c r="A60" s="104" t="s">
        <v>83</v>
      </c>
      <c r="B60" s="66">
        <f>B9*5+B13</f>
        <v>55900</v>
      </c>
      <c r="C60" s="65">
        <f t="shared" si="126"/>
        <v>45838</v>
      </c>
      <c r="D60" s="66">
        <f t="shared" si="127"/>
        <v>41295.4955</v>
      </c>
      <c r="E60" s="67">
        <v>1.0</v>
      </c>
      <c r="F60" s="66">
        <f t="shared" si="128"/>
        <v>0</v>
      </c>
      <c r="G60" s="66">
        <f t="shared" si="129"/>
        <v>0</v>
      </c>
      <c r="H60" s="66">
        <f t="shared" si="130"/>
        <v>0</v>
      </c>
      <c r="I60" s="66">
        <f t="shared" si="131"/>
        <v>0</v>
      </c>
      <c r="J60" s="68">
        <v>1250.0</v>
      </c>
      <c r="K60" s="66">
        <f t="shared" si="132"/>
        <v>2890.684685</v>
      </c>
      <c r="L60" s="69">
        <f t="shared" si="133"/>
        <v>45436.18018</v>
      </c>
      <c r="M60" s="70" t="str">
        <f t="shared" si="134"/>
        <v>#DIV/0!</v>
      </c>
      <c r="N60" s="71">
        <f t="shared" si="135"/>
        <v>-45436.18018</v>
      </c>
      <c r="O60" s="66">
        <f t="shared" si="136"/>
        <v>0</v>
      </c>
      <c r="P60" s="78"/>
      <c r="Q60" s="73">
        <f t="shared" si="137"/>
        <v>0</v>
      </c>
      <c r="R60" s="74"/>
      <c r="S60" s="75"/>
      <c r="T60" s="66"/>
      <c r="U60" s="66"/>
      <c r="V60" s="66"/>
      <c r="W60" s="66"/>
      <c r="X60" s="68"/>
      <c r="Y60" s="66">
        <f t="shared" si="142"/>
        <v>0</v>
      </c>
      <c r="Z60" s="69"/>
      <c r="AA60" s="70"/>
      <c r="AB60" s="71"/>
      <c r="AC60" s="66"/>
      <c r="AD60" s="78"/>
      <c r="AE60" s="73"/>
      <c r="AF60" s="76"/>
      <c r="AG60" s="75"/>
      <c r="AH60" s="66"/>
      <c r="AI60" s="66"/>
      <c r="AJ60" s="66"/>
      <c r="AK60" s="66"/>
      <c r="AL60" s="68"/>
      <c r="AM60" s="66"/>
      <c r="AN60" s="69"/>
      <c r="AO60" s="70"/>
      <c r="AP60" s="71"/>
      <c r="AQ60" s="66"/>
      <c r="AR60" s="78"/>
      <c r="AS60" s="73"/>
    </row>
    <row r="61">
      <c r="A61" s="104" t="s">
        <v>84</v>
      </c>
      <c r="B61" s="66">
        <f>B12*4+B13</f>
        <v>297900</v>
      </c>
      <c r="C61" s="65">
        <f t="shared" si="126"/>
        <v>244278</v>
      </c>
      <c r="D61" s="66">
        <f t="shared" si="127"/>
        <v>220070.2703</v>
      </c>
      <c r="E61" s="67">
        <v>1.0</v>
      </c>
      <c r="F61" s="66">
        <f t="shared" si="128"/>
        <v>0</v>
      </c>
      <c r="G61" s="66">
        <f t="shared" si="129"/>
        <v>0</v>
      </c>
      <c r="H61" s="66">
        <f t="shared" si="130"/>
        <v>0</v>
      </c>
      <c r="I61" s="66">
        <f t="shared" si="131"/>
        <v>0</v>
      </c>
      <c r="J61" s="68">
        <v>1250.0</v>
      </c>
      <c r="K61" s="66">
        <f t="shared" si="132"/>
        <v>15404.91892</v>
      </c>
      <c r="L61" s="69">
        <f t="shared" si="133"/>
        <v>236725.1892</v>
      </c>
      <c r="M61" s="70" t="str">
        <f t="shared" si="134"/>
        <v>#DIV/0!</v>
      </c>
      <c r="N61" s="71">
        <f t="shared" si="135"/>
        <v>-236725.1892</v>
      </c>
      <c r="O61" s="66">
        <f t="shared" si="136"/>
        <v>0</v>
      </c>
      <c r="P61" s="78"/>
      <c r="Q61" s="73">
        <f t="shared" si="137"/>
        <v>0</v>
      </c>
      <c r="R61" s="74"/>
      <c r="S61" s="75"/>
      <c r="T61" s="66"/>
      <c r="U61" s="66"/>
      <c r="V61" s="66"/>
      <c r="W61" s="66"/>
      <c r="X61" s="68"/>
      <c r="Y61" s="66">
        <f t="shared" si="142"/>
        <v>0</v>
      </c>
      <c r="Z61" s="69"/>
      <c r="AA61" s="70"/>
      <c r="AB61" s="71"/>
      <c r="AC61" s="66"/>
      <c r="AD61" s="78"/>
      <c r="AE61" s="73"/>
      <c r="AF61" s="76"/>
      <c r="AG61" s="75"/>
      <c r="AH61" s="66"/>
      <c r="AI61" s="66"/>
      <c r="AJ61" s="66"/>
      <c r="AK61" s="66"/>
      <c r="AL61" s="68"/>
      <c r="AM61" s="66"/>
      <c r="AN61" s="69"/>
      <c r="AO61" s="70"/>
      <c r="AP61" s="71"/>
      <c r="AQ61" s="66"/>
      <c r="AR61" s="78"/>
      <c r="AS61" s="73"/>
    </row>
    <row r="62">
      <c r="A62" s="104" t="s">
        <v>85</v>
      </c>
      <c r="B62" s="66">
        <f>B10*4+B13</f>
        <v>65900</v>
      </c>
      <c r="C62" s="65">
        <f t="shared" si="126"/>
        <v>54038</v>
      </c>
      <c r="D62" s="66">
        <f t="shared" si="127"/>
        <v>48682.88288</v>
      </c>
      <c r="E62" s="67">
        <v>1.0</v>
      </c>
      <c r="F62" s="66">
        <f t="shared" si="128"/>
        <v>0</v>
      </c>
      <c r="G62" s="66">
        <f t="shared" si="129"/>
        <v>0</v>
      </c>
      <c r="H62" s="66">
        <f t="shared" si="130"/>
        <v>0</v>
      </c>
      <c r="I62" s="66">
        <f t="shared" si="131"/>
        <v>0</v>
      </c>
      <c r="J62" s="68">
        <v>1250.0</v>
      </c>
      <c r="K62" s="66">
        <f t="shared" si="132"/>
        <v>3407.801802</v>
      </c>
      <c r="L62" s="69">
        <f t="shared" si="133"/>
        <v>53340.68468</v>
      </c>
      <c r="M62" s="70" t="str">
        <f t="shared" si="134"/>
        <v>#DIV/0!</v>
      </c>
      <c r="N62" s="71">
        <f t="shared" si="135"/>
        <v>-53340.68468</v>
      </c>
      <c r="O62" s="66">
        <f t="shared" si="136"/>
        <v>0</v>
      </c>
      <c r="P62" s="78"/>
      <c r="Q62" s="73">
        <f t="shared" si="137"/>
        <v>0</v>
      </c>
      <c r="R62" s="74"/>
      <c r="S62" s="75"/>
      <c r="T62" s="66"/>
      <c r="U62" s="66"/>
      <c r="V62" s="66"/>
      <c r="W62" s="66"/>
      <c r="X62" s="68"/>
      <c r="Y62" s="66">
        <f t="shared" si="142"/>
        <v>0</v>
      </c>
      <c r="Z62" s="69"/>
      <c r="AA62" s="70"/>
      <c r="AB62" s="71"/>
      <c r="AC62" s="66"/>
      <c r="AD62" s="78"/>
      <c r="AE62" s="73"/>
      <c r="AF62" s="76"/>
      <c r="AG62" s="75"/>
      <c r="AH62" s="66"/>
      <c r="AI62" s="66"/>
      <c r="AJ62" s="66"/>
      <c r="AK62" s="66"/>
      <c r="AL62" s="68"/>
      <c r="AM62" s="66"/>
      <c r="AN62" s="69"/>
      <c r="AO62" s="70"/>
      <c r="AP62" s="71"/>
      <c r="AQ62" s="66"/>
      <c r="AR62" s="78"/>
      <c r="AS62" s="73"/>
    </row>
    <row r="63">
      <c r="A63" s="104" t="s">
        <v>86</v>
      </c>
      <c r="B63" s="66">
        <f>B11*4+B13</f>
        <v>77900</v>
      </c>
      <c r="C63" s="65">
        <f t="shared" si="126"/>
        <v>63878</v>
      </c>
      <c r="D63" s="66">
        <f t="shared" si="127"/>
        <v>57547.74775</v>
      </c>
      <c r="E63" s="67">
        <v>1.0</v>
      </c>
      <c r="F63" s="66">
        <f t="shared" si="128"/>
        <v>0</v>
      </c>
      <c r="G63" s="66">
        <f t="shared" si="129"/>
        <v>0</v>
      </c>
      <c r="H63" s="66">
        <f t="shared" si="130"/>
        <v>0</v>
      </c>
      <c r="I63" s="66">
        <f t="shared" si="131"/>
        <v>0</v>
      </c>
      <c r="J63" s="68">
        <v>1250.0</v>
      </c>
      <c r="K63" s="66">
        <f t="shared" si="132"/>
        <v>4028.342342</v>
      </c>
      <c r="L63" s="69">
        <f t="shared" si="133"/>
        <v>62826.09009</v>
      </c>
      <c r="M63" s="70" t="str">
        <f t="shared" si="134"/>
        <v>#DIV/0!</v>
      </c>
      <c r="N63" s="71">
        <f t="shared" si="135"/>
        <v>-62826.09009</v>
      </c>
      <c r="O63" s="66">
        <f t="shared" si="136"/>
        <v>0</v>
      </c>
      <c r="P63" s="78"/>
      <c r="Q63" s="73">
        <f t="shared" si="137"/>
        <v>0</v>
      </c>
      <c r="R63" s="74"/>
      <c r="S63" s="75"/>
      <c r="T63" s="66"/>
      <c r="U63" s="66"/>
      <c r="V63" s="66"/>
      <c r="W63" s="66"/>
      <c r="X63" s="68"/>
      <c r="Y63" s="66">
        <f t="shared" si="142"/>
        <v>0</v>
      </c>
      <c r="Z63" s="69"/>
      <c r="AA63" s="70"/>
      <c r="AB63" s="71"/>
      <c r="AC63" s="66"/>
      <c r="AD63" s="78"/>
      <c r="AE63" s="73"/>
      <c r="AF63" s="76"/>
      <c r="AG63" s="75"/>
      <c r="AH63" s="66"/>
      <c r="AI63" s="66"/>
      <c r="AJ63" s="66"/>
      <c r="AK63" s="66"/>
      <c r="AL63" s="68"/>
      <c r="AM63" s="66"/>
      <c r="AN63" s="69"/>
      <c r="AO63" s="70"/>
      <c r="AP63" s="71"/>
      <c r="AQ63" s="66"/>
      <c r="AR63" s="78"/>
      <c r="AS63" s="73"/>
    </row>
    <row r="64">
      <c r="A64" s="104"/>
      <c r="B64" s="66"/>
      <c r="C64" s="65">
        <f t="shared" si="126"/>
        <v>0</v>
      </c>
      <c r="D64" s="66">
        <f t="shared" si="127"/>
        <v>0</v>
      </c>
      <c r="E64" s="67">
        <v>1.0</v>
      </c>
      <c r="F64" s="66">
        <f t="shared" si="128"/>
        <v>0</v>
      </c>
      <c r="G64" s="66">
        <f t="shared" si="129"/>
        <v>0</v>
      </c>
      <c r="H64" s="66">
        <f t="shared" si="130"/>
        <v>0</v>
      </c>
      <c r="I64" s="66">
        <f t="shared" si="131"/>
        <v>0</v>
      </c>
      <c r="J64" s="68">
        <v>1250.0</v>
      </c>
      <c r="K64" s="66">
        <f t="shared" si="132"/>
        <v>0</v>
      </c>
      <c r="L64" s="69">
        <f t="shared" si="133"/>
        <v>1250</v>
      </c>
      <c r="M64" s="70" t="str">
        <f t="shared" si="134"/>
        <v>#DIV/0!</v>
      </c>
      <c r="N64" s="71">
        <f t="shared" si="135"/>
        <v>-1250</v>
      </c>
      <c r="O64" s="66">
        <f t="shared" si="136"/>
        <v>0</v>
      </c>
      <c r="P64" s="78"/>
      <c r="Q64" s="73">
        <f t="shared" si="137"/>
        <v>0</v>
      </c>
      <c r="R64" s="74"/>
      <c r="S64" s="75"/>
      <c r="T64" s="66"/>
      <c r="U64" s="66"/>
      <c r="V64" s="66"/>
      <c r="W64" s="66"/>
      <c r="X64" s="68"/>
      <c r="Y64" s="66">
        <f t="shared" si="142"/>
        <v>0</v>
      </c>
      <c r="Z64" s="69"/>
      <c r="AA64" s="70"/>
      <c r="AB64" s="71"/>
      <c r="AC64" s="66"/>
      <c r="AD64" s="78"/>
      <c r="AE64" s="73"/>
      <c r="AF64" s="76"/>
      <c r="AG64" s="75"/>
      <c r="AH64" s="66"/>
      <c r="AI64" s="66"/>
      <c r="AJ64" s="66"/>
      <c r="AK64" s="66"/>
      <c r="AL64" s="68"/>
      <c r="AM64" s="66"/>
      <c r="AN64" s="69"/>
      <c r="AO64" s="70"/>
      <c r="AP64" s="71"/>
      <c r="AQ64" s="66"/>
      <c r="AR64" s="78"/>
      <c r="AS64" s="73"/>
    </row>
    <row r="65">
      <c r="A65" s="104"/>
      <c r="B65" s="66"/>
      <c r="C65" s="65">
        <f t="shared" si="126"/>
        <v>0</v>
      </c>
      <c r="D65" s="66">
        <f t="shared" si="127"/>
        <v>0</v>
      </c>
      <c r="E65" s="67">
        <v>1.0</v>
      </c>
      <c r="F65" s="66">
        <f t="shared" si="128"/>
        <v>0</v>
      </c>
      <c r="G65" s="66">
        <f t="shared" si="129"/>
        <v>0</v>
      </c>
      <c r="H65" s="66">
        <f t="shared" si="130"/>
        <v>0</v>
      </c>
      <c r="I65" s="66">
        <f t="shared" si="131"/>
        <v>0</v>
      </c>
      <c r="J65" s="68">
        <v>1250.0</v>
      </c>
      <c r="K65" s="66">
        <f t="shared" si="132"/>
        <v>0</v>
      </c>
      <c r="L65" s="69">
        <f t="shared" si="133"/>
        <v>1250</v>
      </c>
      <c r="M65" s="70" t="str">
        <f t="shared" si="134"/>
        <v>#DIV/0!</v>
      </c>
      <c r="N65" s="71">
        <f t="shared" si="135"/>
        <v>-1250</v>
      </c>
      <c r="O65" s="66">
        <f t="shared" si="136"/>
        <v>0</v>
      </c>
      <c r="P65" s="78"/>
      <c r="Q65" s="73">
        <f t="shared" si="137"/>
        <v>0</v>
      </c>
      <c r="R65" s="74"/>
      <c r="S65" s="75"/>
      <c r="T65" s="66">
        <f t="shared" ref="T65:T69" si="159">AD65*$T$3</f>
        <v>0</v>
      </c>
      <c r="U65" s="66">
        <f t="shared" ref="U65:U69" si="160">AD65*$U$3</f>
        <v>0</v>
      </c>
      <c r="V65" s="66">
        <f t="shared" ref="V65:V69" si="161">AD65*$V$3</f>
        <v>0</v>
      </c>
      <c r="W65" s="66">
        <f t="shared" ref="W65:W69" si="162">AD65*$W$3</f>
        <v>0</v>
      </c>
      <c r="X65" s="68">
        <v>1250.0</v>
      </c>
      <c r="Y65" s="66">
        <f t="shared" si="142"/>
        <v>0</v>
      </c>
      <c r="Z65" s="69">
        <f t="shared" ref="Z65:Z69" si="163">(D65*S65)+T65+U65+V65+W65+X65+Y65</f>
        <v>1250</v>
      </c>
      <c r="AA65" s="70" t="str">
        <f t="shared" ref="AA65:AA69" si="164">AB65/AC65</f>
        <v>#DIV/0!</v>
      </c>
      <c r="AB65" s="71">
        <f t="shared" ref="AB65:AB69" si="165">AC65-Z65</f>
        <v>-1250</v>
      </c>
      <c r="AC65" s="66">
        <f t="shared" ref="AC65:AC69" si="166">AD65/$O$4</f>
        <v>0</v>
      </c>
      <c r="AD65" s="78"/>
      <c r="AE65" s="73" t="str">
        <f t="shared" ref="AE65:AE69" si="167">AD65/S65</f>
        <v>#DIV/0!</v>
      </c>
      <c r="AF65" s="76"/>
      <c r="AG65" s="75"/>
      <c r="AH65" s="66">
        <f t="shared" ref="AH65:AH69" si="168">AR65*$AH$3</f>
        <v>0</v>
      </c>
      <c r="AI65" s="66">
        <f t="shared" ref="AI65:AI69" si="169">AR65*$AI$3</f>
        <v>0</v>
      </c>
      <c r="AJ65" s="66">
        <f t="shared" ref="AJ65:AJ69" si="170">AR65*$AJ$3</f>
        <v>0</v>
      </c>
      <c r="AK65" s="66">
        <f t="shared" ref="AK65:AK69" si="171">AR65*$AK$3</f>
        <v>0</v>
      </c>
      <c r="AL65" s="68">
        <v>1250.0</v>
      </c>
      <c r="AM65" s="66">
        <f t="shared" ref="AM65:AM69" si="172">AF65*$AM$3</f>
        <v>0</v>
      </c>
      <c r="AN65" s="69">
        <f t="shared" ref="AN65:AN69" si="173">(R65*AG65)+AH65+AI65+AJ65+AK65+AL65+AM65</f>
        <v>1250</v>
      </c>
      <c r="AO65" s="70" t="str">
        <f t="shared" ref="AO65:AO69" si="174">AP65/AQ65</f>
        <v>#DIV/0!</v>
      </c>
      <c r="AP65" s="71">
        <f t="shared" ref="AP65:AP69" si="175">AQ65-AN65</f>
        <v>-1250</v>
      </c>
      <c r="AQ65" s="66">
        <f t="shared" ref="AQ65:AQ69" si="176">AR65/$O$4</f>
        <v>0</v>
      </c>
      <c r="AR65" s="78"/>
      <c r="AS65" s="73" t="str">
        <f t="shared" ref="AS65:AS69" si="177">AR65/AG65</f>
        <v>#DIV/0!</v>
      </c>
    </row>
    <row r="66">
      <c r="A66" s="106" t="s">
        <v>87</v>
      </c>
      <c r="B66" s="108">
        <f>B6*55</f>
        <v>192500</v>
      </c>
      <c r="C66" s="65">
        <f t="shared" si="126"/>
        <v>157850</v>
      </c>
      <c r="D66" s="66">
        <f t="shared" si="127"/>
        <v>142207.2072</v>
      </c>
      <c r="E66" s="107">
        <v>1.0</v>
      </c>
      <c r="F66" s="66">
        <f t="shared" si="128"/>
        <v>24930</v>
      </c>
      <c r="G66" s="66">
        <f t="shared" si="129"/>
        <v>11218.5</v>
      </c>
      <c r="H66" s="66">
        <f t="shared" si="130"/>
        <v>19944</v>
      </c>
      <c r="I66" s="66">
        <f t="shared" si="131"/>
        <v>0</v>
      </c>
      <c r="J66" s="68">
        <v>1250.0</v>
      </c>
      <c r="K66" s="66">
        <f t="shared" si="132"/>
        <v>9954.504505</v>
      </c>
      <c r="L66" s="69">
        <f t="shared" si="133"/>
        <v>209504.2117</v>
      </c>
      <c r="M66" s="70">
        <f t="shared" si="134"/>
        <v>0.06718943041</v>
      </c>
      <c r="N66" s="71">
        <f t="shared" si="135"/>
        <v>15090.38288</v>
      </c>
      <c r="O66" s="66">
        <f t="shared" si="136"/>
        <v>224594.5946</v>
      </c>
      <c r="P66" s="78">
        <v>249300.0</v>
      </c>
      <c r="Q66" s="73">
        <f t="shared" si="137"/>
        <v>249300</v>
      </c>
      <c r="R66" s="74"/>
      <c r="S66" s="75"/>
      <c r="T66" s="66">
        <f t="shared" si="159"/>
        <v>0</v>
      </c>
      <c r="U66" s="66">
        <f t="shared" si="160"/>
        <v>0</v>
      </c>
      <c r="V66" s="66">
        <f t="shared" si="161"/>
        <v>0</v>
      </c>
      <c r="W66" s="66">
        <f t="shared" si="162"/>
        <v>0</v>
      </c>
      <c r="X66" s="68">
        <v>1250.0</v>
      </c>
      <c r="Y66" s="66">
        <f t="shared" si="142"/>
        <v>0</v>
      </c>
      <c r="Z66" s="69">
        <f t="shared" si="163"/>
        <v>1250</v>
      </c>
      <c r="AA66" s="70" t="str">
        <f t="shared" si="164"/>
        <v>#DIV/0!</v>
      </c>
      <c r="AB66" s="71">
        <f t="shared" si="165"/>
        <v>-1250</v>
      </c>
      <c r="AC66" s="66">
        <f t="shared" si="166"/>
        <v>0</v>
      </c>
      <c r="AD66" s="78"/>
      <c r="AE66" s="73" t="str">
        <f t="shared" si="167"/>
        <v>#DIV/0!</v>
      </c>
      <c r="AF66" s="76"/>
      <c r="AG66" s="75"/>
      <c r="AH66" s="66">
        <f t="shared" si="168"/>
        <v>0</v>
      </c>
      <c r="AI66" s="66">
        <f t="shared" si="169"/>
        <v>0</v>
      </c>
      <c r="AJ66" s="66">
        <f t="shared" si="170"/>
        <v>0</v>
      </c>
      <c r="AK66" s="66">
        <f t="shared" si="171"/>
        <v>0</v>
      </c>
      <c r="AL66" s="68">
        <v>1250.0</v>
      </c>
      <c r="AM66" s="66">
        <f t="shared" si="172"/>
        <v>0</v>
      </c>
      <c r="AN66" s="69">
        <f t="shared" si="173"/>
        <v>1250</v>
      </c>
      <c r="AO66" s="70" t="str">
        <f t="shared" si="174"/>
        <v>#DIV/0!</v>
      </c>
      <c r="AP66" s="71">
        <f t="shared" si="175"/>
        <v>-1250</v>
      </c>
      <c r="AQ66" s="66">
        <f t="shared" si="176"/>
        <v>0</v>
      </c>
      <c r="AR66" s="78"/>
      <c r="AS66" s="73" t="str">
        <f t="shared" si="177"/>
        <v>#DIV/0!</v>
      </c>
    </row>
    <row r="67">
      <c r="A67" s="106" t="s">
        <v>88</v>
      </c>
      <c r="B67" s="108">
        <f>B7*25+B13*2</f>
        <v>114300</v>
      </c>
      <c r="C67" s="65">
        <f t="shared" si="126"/>
        <v>93726</v>
      </c>
      <c r="D67" s="66">
        <f t="shared" si="127"/>
        <v>84437.83784</v>
      </c>
      <c r="E67" s="109">
        <v>1.0</v>
      </c>
      <c r="F67" s="66">
        <f t="shared" si="128"/>
        <v>14400</v>
      </c>
      <c r="G67" s="66">
        <f t="shared" si="129"/>
        <v>6480</v>
      </c>
      <c r="H67" s="66">
        <f t="shared" si="130"/>
        <v>11520</v>
      </c>
      <c r="I67" s="66">
        <f t="shared" si="131"/>
        <v>0</v>
      </c>
      <c r="J67" s="68">
        <v>1250.0</v>
      </c>
      <c r="K67" s="66">
        <f t="shared" si="132"/>
        <v>5910.648649</v>
      </c>
      <c r="L67" s="69">
        <f t="shared" si="133"/>
        <v>123998.4865</v>
      </c>
      <c r="M67" s="70">
        <f t="shared" si="134"/>
        <v>0.04417833333</v>
      </c>
      <c r="N67" s="71">
        <f t="shared" si="135"/>
        <v>5731.243243</v>
      </c>
      <c r="O67" s="66">
        <f t="shared" si="136"/>
        <v>129729.7297</v>
      </c>
      <c r="P67" s="78">
        <v>144000.0</v>
      </c>
      <c r="Q67" s="73">
        <f t="shared" si="137"/>
        <v>144000</v>
      </c>
      <c r="R67" s="74"/>
      <c r="S67" s="75"/>
      <c r="T67" s="66">
        <f t="shared" si="159"/>
        <v>0</v>
      </c>
      <c r="U67" s="66">
        <f t="shared" si="160"/>
        <v>0</v>
      </c>
      <c r="V67" s="66">
        <f t="shared" si="161"/>
        <v>0</v>
      </c>
      <c r="W67" s="66">
        <f t="shared" si="162"/>
        <v>0</v>
      </c>
      <c r="X67" s="68">
        <v>1250.0</v>
      </c>
      <c r="Y67" s="66">
        <f t="shared" si="142"/>
        <v>0</v>
      </c>
      <c r="Z67" s="69">
        <f t="shared" si="163"/>
        <v>1250</v>
      </c>
      <c r="AA67" s="70" t="str">
        <f t="shared" si="164"/>
        <v>#DIV/0!</v>
      </c>
      <c r="AB67" s="71">
        <f t="shared" si="165"/>
        <v>-1250</v>
      </c>
      <c r="AC67" s="66">
        <f t="shared" si="166"/>
        <v>0</v>
      </c>
      <c r="AD67" s="78"/>
      <c r="AE67" s="73" t="str">
        <f t="shared" si="167"/>
        <v>#DIV/0!</v>
      </c>
      <c r="AF67" s="76"/>
      <c r="AG67" s="75"/>
      <c r="AH67" s="66">
        <f t="shared" si="168"/>
        <v>0</v>
      </c>
      <c r="AI67" s="66">
        <f t="shared" si="169"/>
        <v>0</v>
      </c>
      <c r="AJ67" s="66">
        <f t="shared" si="170"/>
        <v>0</v>
      </c>
      <c r="AK67" s="66">
        <f t="shared" si="171"/>
        <v>0</v>
      </c>
      <c r="AL67" s="68">
        <v>1250.0</v>
      </c>
      <c r="AM67" s="66">
        <f t="shared" si="172"/>
        <v>0</v>
      </c>
      <c r="AN67" s="69">
        <f t="shared" si="173"/>
        <v>1250</v>
      </c>
      <c r="AO67" s="70" t="str">
        <f t="shared" si="174"/>
        <v>#DIV/0!</v>
      </c>
      <c r="AP67" s="71">
        <f t="shared" si="175"/>
        <v>-1250</v>
      </c>
      <c r="AQ67" s="66">
        <f t="shared" si="176"/>
        <v>0</v>
      </c>
      <c r="AR67" s="78"/>
      <c r="AS67" s="73" t="str">
        <f t="shared" si="177"/>
        <v>#DIV/0!</v>
      </c>
    </row>
    <row r="68">
      <c r="A68" s="106" t="s">
        <v>89</v>
      </c>
      <c r="B68" s="108">
        <f>B15*55</f>
        <v>192500</v>
      </c>
      <c r="C68" s="65">
        <f t="shared" si="126"/>
        <v>157850</v>
      </c>
      <c r="D68" s="66">
        <f t="shared" si="127"/>
        <v>142207.2072</v>
      </c>
      <c r="E68" s="109">
        <v>1.0</v>
      </c>
      <c r="F68" s="66">
        <f t="shared" si="128"/>
        <v>25430</v>
      </c>
      <c r="G68" s="66">
        <f t="shared" si="129"/>
        <v>11443.5</v>
      </c>
      <c r="H68" s="66">
        <f t="shared" si="130"/>
        <v>20344</v>
      </c>
      <c r="I68" s="66">
        <f t="shared" si="131"/>
        <v>0</v>
      </c>
      <c r="J68" s="68">
        <v>1250.0</v>
      </c>
      <c r="K68" s="66">
        <f t="shared" si="132"/>
        <v>9954.504505</v>
      </c>
      <c r="L68" s="69">
        <f t="shared" si="133"/>
        <v>210629.2117</v>
      </c>
      <c r="M68" s="70">
        <f t="shared" si="134"/>
        <v>0.08061964215</v>
      </c>
      <c r="N68" s="71">
        <f t="shared" si="135"/>
        <v>18469.88739</v>
      </c>
      <c r="O68" s="66">
        <f t="shared" si="136"/>
        <v>229099.0991</v>
      </c>
      <c r="P68" s="78">
        <v>254300.0</v>
      </c>
      <c r="Q68" s="73">
        <f t="shared" si="137"/>
        <v>254300</v>
      </c>
      <c r="R68" s="74"/>
      <c r="S68" s="75"/>
      <c r="T68" s="66">
        <f t="shared" si="159"/>
        <v>0</v>
      </c>
      <c r="U68" s="66">
        <f t="shared" si="160"/>
        <v>0</v>
      </c>
      <c r="V68" s="66">
        <f t="shared" si="161"/>
        <v>0</v>
      </c>
      <c r="W68" s="66">
        <f t="shared" si="162"/>
        <v>0</v>
      </c>
      <c r="X68" s="68">
        <v>1250.0</v>
      </c>
      <c r="Y68" s="66">
        <f t="shared" si="142"/>
        <v>0</v>
      </c>
      <c r="Z68" s="69">
        <f t="shared" si="163"/>
        <v>1250</v>
      </c>
      <c r="AA68" s="70" t="str">
        <f t="shared" si="164"/>
        <v>#DIV/0!</v>
      </c>
      <c r="AB68" s="71">
        <f t="shared" si="165"/>
        <v>-1250</v>
      </c>
      <c r="AC68" s="66">
        <f t="shared" si="166"/>
        <v>0</v>
      </c>
      <c r="AD68" s="78"/>
      <c r="AE68" s="73" t="str">
        <f t="shared" si="167"/>
        <v>#DIV/0!</v>
      </c>
      <c r="AF68" s="76"/>
      <c r="AG68" s="75"/>
      <c r="AH68" s="66">
        <f t="shared" si="168"/>
        <v>0</v>
      </c>
      <c r="AI68" s="66">
        <f t="shared" si="169"/>
        <v>0</v>
      </c>
      <c r="AJ68" s="66">
        <f t="shared" si="170"/>
        <v>0</v>
      </c>
      <c r="AK68" s="66">
        <f t="shared" si="171"/>
        <v>0</v>
      </c>
      <c r="AL68" s="68">
        <v>1250.0</v>
      </c>
      <c r="AM68" s="66">
        <f t="shared" si="172"/>
        <v>0</v>
      </c>
      <c r="AN68" s="69">
        <f t="shared" si="173"/>
        <v>1250</v>
      </c>
      <c r="AO68" s="70" t="str">
        <f t="shared" si="174"/>
        <v>#DIV/0!</v>
      </c>
      <c r="AP68" s="71">
        <f t="shared" si="175"/>
        <v>-1250</v>
      </c>
      <c r="AQ68" s="66">
        <f t="shared" si="176"/>
        <v>0</v>
      </c>
      <c r="AR68" s="78"/>
      <c r="AS68" s="73" t="str">
        <f t="shared" si="177"/>
        <v>#DIV/0!</v>
      </c>
    </row>
    <row r="69">
      <c r="A69" s="106" t="s">
        <v>90</v>
      </c>
      <c r="B69" s="108">
        <f>B14*55</f>
        <v>192500</v>
      </c>
      <c r="C69" s="65">
        <f t="shared" si="126"/>
        <v>157850</v>
      </c>
      <c r="D69" s="66">
        <f t="shared" si="127"/>
        <v>142207.2072</v>
      </c>
      <c r="E69" s="109">
        <v>1.0</v>
      </c>
      <c r="F69" s="66">
        <f t="shared" si="128"/>
        <v>25430</v>
      </c>
      <c r="G69" s="66">
        <f t="shared" si="129"/>
        <v>11443.5</v>
      </c>
      <c r="H69" s="66">
        <f t="shared" si="130"/>
        <v>20344</v>
      </c>
      <c r="I69" s="66">
        <f t="shared" si="131"/>
        <v>0</v>
      </c>
      <c r="J69" s="68">
        <v>1250.0</v>
      </c>
      <c r="K69" s="66">
        <f t="shared" si="132"/>
        <v>9954.504505</v>
      </c>
      <c r="L69" s="69">
        <f t="shared" si="133"/>
        <v>210629.2117</v>
      </c>
      <c r="M69" s="70">
        <f t="shared" si="134"/>
        <v>0.08061964215</v>
      </c>
      <c r="N69" s="71">
        <f t="shared" si="135"/>
        <v>18469.88739</v>
      </c>
      <c r="O69" s="66">
        <f t="shared" si="136"/>
        <v>229099.0991</v>
      </c>
      <c r="P69" s="78">
        <v>254300.0</v>
      </c>
      <c r="Q69" s="73">
        <f t="shared" si="137"/>
        <v>254300</v>
      </c>
      <c r="R69" s="74"/>
      <c r="S69" s="75"/>
      <c r="T69" s="66">
        <f t="shared" si="159"/>
        <v>0</v>
      </c>
      <c r="U69" s="66">
        <f t="shared" si="160"/>
        <v>0</v>
      </c>
      <c r="V69" s="66">
        <f t="shared" si="161"/>
        <v>0</v>
      </c>
      <c r="W69" s="66">
        <f t="shared" si="162"/>
        <v>0</v>
      </c>
      <c r="X69" s="68">
        <v>1250.0</v>
      </c>
      <c r="Y69" s="66">
        <f t="shared" si="142"/>
        <v>0</v>
      </c>
      <c r="Z69" s="69">
        <f t="shared" si="163"/>
        <v>1250</v>
      </c>
      <c r="AA69" s="70" t="str">
        <f t="shared" si="164"/>
        <v>#DIV/0!</v>
      </c>
      <c r="AB69" s="71">
        <f t="shared" si="165"/>
        <v>-1250</v>
      </c>
      <c r="AC69" s="66">
        <f t="shared" si="166"/>
        <v>0</v>
      </c>
      <c r="AD69" s="78"/>
      <c r="AE69" s="73" t="str">
        <f t="shared" si="167"/>
        <v>#DIV/0!</v>
      </c>
      <c r="AF69" s="76"/>
      <c r="AG69" s="75"/>
      <c r="AH69" s="66">
        <f t="shared" si="168"/>
        <v>0</v>
      </c>
      <c r="AI69" s="66">
        <f t="shared" si="169"/>
        <v>0</v>
      </c>
      <c r="AJ69" s="66">
        <f t="shared" si="170"/>
        <v>0</v>
      </c>
      <c r="AK69" s="66">
        <f t="shared" si="171"/>
        <v>0</v>
      </c>
      <c r="AL69" s="68">
        <v>1250.0</v>
      </c>
      <c r="AM69" s="66">
        <f t="shared" si="172"/>
        <v>0</v>
      </c>
      <c r="AN69" s="69">
        <f t="shared" si="173"/>
        <v>1250</v>
      </c>
      <c r="AO69" s="70" t="str">
        <f t="shared" si="174"/>
        <v>#DIV/0!</v>
      </c>
      <c r="AP69" s="71">
        <f t="shared" si="175"/>
        <v>-1250</v>
      </c>
      <c r="AQ69" s="66">
        <f t="shared" si="176"/>
        <v>0</v>
      </c>
      <c r="AR69" s="78"/>
      <c r="AS69" s="73" t="str">
        <f t="shared" si="177"/>
        <v>#DIV/0!</v>
      </c>
    </row>
    <row r="70">
      <c r="A70" s="178"/>
      <c r="C70" s="65">
        <f t="shared" si="126"/>
        <v>0</v>
      </c>
      <c r="D70" s="66">
        <f t="shared" si="127"/>
        <v>0</v>
      </c>
      <c r="E70" s="109">
        <v>1.0</v>
      </c>
      <c r="F70" s="66">
        <f t="shared" si="128"/>
        <v>0</v>
      </c>
      <c r="G70" s="66">
        <f t="shared" si="129"/>
        <v>0</v>
      </c>
      <c r="H70" s="66">
        <f t="shared" si="130"/>
        <v>0</v>
      </c>
      <c r="I70" s="66">
        <f t="shared" si="131"/>
        <v>0</v>
      </c>
      <c r="J70" s="68">
        <v>1250.0</v>
      </c>
      <c r="K70" s="66">
        <f t="shared" si="132"/>
        <v>0</v>
      </c>
      <c r="L70" s="69">
        <f t="shared" si="133"/>
        <v>1250</v>
      </c>
      <c r="M70" s="70" t="str">
        <f t="shared" si="134"/>
        <v>#DIV/0!</v>
      </c>
      <c r="N70" s="71">
        <f t="shared" si="135"/>
        <v>-1250</v>
      </c>
      <c r="O70" s="66">
        <f t="shared" si="136"/>
        <v>0</v>
      </c>
      <c r="P70" s="78"/>
      <c r="Q70" s="73">
        <f t="shared" si="137"/>
        <v>0</v>
      </c>
      <c r="R70" s="74"/>
      <c r="S70" s="112"/>
      <c r="Y70" s="66">
        <f t="shared" si="142"/>
        <v>0</v>
      </c>
      <c r="AF70" s="76"/>
      <c r="AG70" s="75"/>
      <c r="AH70" s="66"/>
      <c r="AI70" s="66"/>
      <c r="AJ70" s="66"/>
      <c r="AK70" s="66"/>
      <c r="AL70" s="68"/>
      <c r="AM70" s="66"/>
      <c r="AN70" s="69"/>
      <c r="AO70" s="70"/>
      <c r="AP70" s="71"/>
      <c r="AQ70" s="66"/>
      <c r="AR70" s="78"/>
      <c r="AS70" s="73"/>
    </row>
    <row r="71">
      <c r="A71" s="178"/>
      <c r="C71" s="65">
        <f t="shared" si="126"/>
        <v>0</v>
      </c>
      <c r="D71" s="66">
        <f t="shared" si="127"/>
        <v>0</v>
      </c>
      <c r="E71" s="109">
        <v>1.0</v>
      </c>
      <c r="F71" s="66">
        <f t="shared" si="128"/>
        <v>0</v>
      </c>
      <c r="G71" s="66">
        <f t="shared" si="129"/>
        <v>0</v>
      </c>
      <c r="H71" s="66">
        <f t="shared" si="130"/>
        <v>0</v>
      </c>
      <c r="I71" s="66">
        <f t="shared" si="131"/>
        <v>0</v>
      </c>
      <c r="J71" s="68">
        <v>1250.0</v>
      </c>
      <c r="K71" s="66">
        <f t="shared" si="132"/>
        <v>0</v>
      </c>
      <c r="L71" s="69">
        <f t="shared" si="133"/>
        <v>1250</v>
      </c>
      <c r="M71" s="70" t="str">
        <f t="shared" si="134"/>
        <v>#DIV/0!</v>
      </c>
      <c r="N71" s="71">
        <f t="shared" si="135"/>
        <v>-1250</v>
      </c>
      <c r="O71" s="66">
        <f t="shared" si="136"/>
        <v>0</v>
      </c>
      <c r="P71" s="78"/>
      <c r="Q71" s="73">
        <f t="shared" si="137"/>
        <v>0</v>
      </c>
      <c r="R71" s="74"/>
      <c r="S71" s="112"/>
      <c r="Y71" s="66">
        <f t="shared" si="142"/>
        <v>0</v>
      </c>
      <c r="AF71" s="76"/>
      <c r="AG71" s="75"/>
      <c r="AH71" s="66"/>
      <c r="AI71" s="66"/>
      <c r="AJ71" s="66"/>
      <c r="AK71" s="66"/>
      <c r="AL71" s="68"/>
      <c r="AM71" s="66"/>
      <c r="AN71" s="69"/>
      <c r="AO71" s="70"/>
      <c r="AP71" s="71"/>
      <c r="AQ71" s="66"/>
      <c r="AR71" s="78"/>
      <c r="AS71" s="73"/>
    </row>
    <row r="72" ht="33.0" customHeight="1">
      <c r="A72" s="114" t="s">
        <v>92</v>
      </c>
      <c r="B72" s="115"/>
      <c r="C72" s="116"/>
      <c r="D72" s="117"/>
      <c r="E72" s="118"/>
      <c r="F72" s="117"/>
      <c r="G72" s="117"/>
      <c r="H72" s="117"/>
      <c r="I72" s="117"/>
      <c r="J72" s="119"/>
      <c r="K72" s="117"/>
      <c r="L72" s="117"/>
      <c r="M72" s="120"/>
      <c r="N72" s="117"/>
      <c r="O72" s="117"/>
      <c r="P72" s="119"/>
      <c r="Q72" s="117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15"/>
      <c r="AH72" s="117"/>
      <c r="AI72" s="117"/>
      <c r="AJ72" s="117"/>
      <c r="AK72" s="117"/>
      <c r="AL72" s="119"/>
      <c r="AM72" s="117"/>
      <c r="AN72" s="117"/>
      <c r="AO72" s="120"/>
      <c r="AP72" s="117"/>
      <c r="AQ72" s="117"/>
      <c r="AR72" s="119"/>
      <c r="AS72" s="117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</row>
    <row r="73">
      <c r="A73" s="122"/>
      <c r="B73" s="66"/>
      <c r="C73" s="65"/>
      <c r="D73" s="123"/>
      <c r="E73" s="124"/>
      <c r="L73" s="125"/>
      <c r="N73" s="126"/>
      <c r="P73" s="127"/>
      <c r="Q73" s="128"/>
      <c r="R73" s="74"/>
      <c r="S73" s="112"/>
      <c r="Y73" s="66">
        <f t="shared" ref="Y73:Y85" si="178">D73*$Y$3*S73</f>
        <v>0</v>
      </c>
      <c r="AF73" s="76"/>
    </row>
    <row r="74">
      <c r="A74" s="122" t="s">
        <v>93</v>
      </c>
      <c r="B74" s="66">
        <f>175000/50+2000</f>
        <v>5500</v>
      </c>
      <c r="C74" s="65">
        <f t="shared" ref="C74:C83" si="179">B74</f>
        <v>5500</v>
      </c>
      <c r="D74" s="66">
        <f t="shared" ref="D74:D77" si="180">C74/$D$4</f>
        <v>4954.954955</v>
      </c>
      <c r="E74" s="107">
        <v>2.0</v>
      </c>
      <c r="F74" s="66">
        <f t="shared" ref="F74:F77" si="181">P74*$F$3</f>
        <v>2800</v>
      </c>
      <c r="G74" s="66">
        <f t="shared" ref="G74:G77" si="182">P74*$G$3</f>
        <v>1260</v>
      </c>
      <c r="H74" s="66">
        <f t="shared" ref="H74:H77" si="183">P74*$H$3</f>
        <v>2240</v>
      </c>
      <c r="I74" s="66">
        <f t="shared" ref="I74:I77" si="184">P74*$I$3</f>
        <v>0</v>
      </c>
      <c r="J74" s="68">
        <v>1250.0</v>
      </c>
      <c r="K74" s="66">
        <f t="shared" ref="K74:K77" si="185">D74*$K$3*E74</f>
        <v>693.6936937</v>
      </c>
      <c r="L74" s="69">
        <f t="shared" ref="L74:L77" si="186">(D74*E74)+F74+G74+H74+I74+J74+K74</f>
        <v>18153.6036</v>
      </c>
      <c r="M74" s="70">
        <f t="shared" ref="M74:M77" si="187">N74/O74</f>
        <v>0.2803392857</v>
      </c>
      <c r="N74" s="71">
        <f t="shared" ref="N74:N77" si="188">O74-L74</f>
        <v>7071.621622</v>
      </c>
      <c r="O74" s="66">
        <f t="shared" ref="O74:O77" si="189">P74/$O$4</f>
        <v>25225.22523</v>
      </c>
      <c r="P74" s="78">
        <v>28000.0</v>
      </c>
      <c r="Q74" s="73">
        <f t="shared" ref="Q74:Q78" si="190">P74/E74</f>
        <v>14000</v>
      </c>
      <c r="R74" s="74"/>
      <c r="S74" s="112"/>
      <c r="Y74" s="66">
        <f t="shared" si="178"/>
        <v>0</v>
      </c>
      <c r="AF74" s="76"/>
    </row>
    <row r="75">
      <c r="A75" s="122" t="s">
        <v>94</v>
      </c>
      <c r="B75" s="66">
        <f>187500/25+2000</f>
        <v>9500</v>
      </c>
      <c r="C75" s="65">
        <f t="shared" si="179"/>
        <v>9500</v>
      </c>
      <c r="D75" s="66">
        <f t="shared" si="180"/>
        <v>8558.558559</v>
      </c>
      <c r="E75" s="107">
        <v>2.0</v>
      </c>
      <c r="F75" s="66">
        <f t="shared" si="181"/>
        <v>3000</v>
      </c>
      <c r="G75" s="66">
        <f t="shared" si="182"/>
        <v>1350</v>
      </c>
      <c r="H75" s="66">
        <f t="shared" si="183"/>
        <v>2400</v>
      </c>
      <c r="I75" s="66">
        <f t="shared" si="184"/>
        <v>0</v>
      </c>
      <c r="J75" s="68">
        <v>1250.0</v>
      </c>
      <c r="K75" s="66">
        <f t="shared" si="185"/>
        <v>1198.198198</v>
      </c>
      <c r="L75" s="69">
        <f t="shared" si="186"/>
        <v>26315.31532</v>
      </c>
      <c r="M75" s="70">
        <f t="shared" si="187"/>
        <v>0.02633333333</v>
      </c>
      <c r="N75" s="71">
        <f t="shared" si="188"/>
        <v>711.7117117</v>
      </c>
      <c r="O75" s="66">
        <f t="shared" si="189"/>
        <v>27027.02703</v>
      </c>
      <c r="P75" s="78">
        <v>30000.0</v>
      </c>
      <c r="Q75" s="73">
        <f t="shared" si="190"/>
        <v>15000</v>
      </c>
      <c r="R75" s="74"/>
      <c r="S75" s="112"/>
      <c r="Y75" s="66">
        <f t="shared" si="178"/>
        <v>0</v>
      </c>
      <c r="AF75" s="76"/>
    </row>
    <row r="76">
      <c r="A76" s="110" t="s">
        <v>95</v>
      </c>
      <c r="B76" s="66">
        <f t="shared" ref="B76:B77" si="191">9900/10</f>
        <v>990</v>
      </c>
      <c r="C76" s="65">
        <f t="shared" si="179"/>
        <v>990</v>
      </c>
      <c r="D76" s="66">
        <f t="shared" si="180"/>
        <v>891.8918919</v>
      </c>
      <c r="E76" s="107">
        <v>5.0</v>
      </c>
      <c r="F76" s="66">
        <f t="shared" si="181"/>
        <v>3500</v>
      </c>
      <c r="G76" s="66">
        <f t="shared" si="182"/>
        <v>1575</v>
      </c>
      <c r="H76" s="66">
        <f t="shared" si="183"/>
        <v>2800</v>
      </c>
      <c r="I76" s="66">
        <f t="shared" si="184"/>
        <v>0</v>
      </c>
      <c r="J76" s="68">
        <v>1250.0</v>
      </c>
      <c r="K76" s="66">
        <f t="shared" si="185"/>
        <v>312.1621622</v>
      </c>
      <c r="L76" s="69">
        <f t="shared" si="186"/>
        <v>13896.62162</v>
      </c>
      <c r="M76" s="70">
        <f t="shared" si="187"/>
        <v>0.5592785714</v>
      </c>
      <c r="N76" s="71">
        <f t="shared" si="188"/>
        <v>17634.90991</v>
      </c>
      <c r="O76" s="66">
        <f t="shared" si="189"/>
        <v>31531.53153</v>
      </c>
      <c r="P76" s="78">
        <v>35000.0</v>
      </c>
      <c r="Q76" s="73">
        <f t="shared" si="190"/>
        <v>7000</v>
      </c>
      <c r="R76" s="74"/>
      <c r="S76" s="112"/>
      <c r="Y76" s="66">
        <f t="shared" si="178"/>
        <v>0</v>
      </c>
      <c r="AF76" s="76"/>
      <c r="AG76" s="75"/>
      <c r="AH76" s="66"/>
      <c r="AI76" s="66"/>
      <c r="AJ76" s="66"/>
      <c r="AK76" s="66"/>
      <c r="AL76" s="68"/>
      <c r="AM76" s="66"/>
      <c r="AN76" s="69"/>
      <c r="AO76" s="70"/>
      <c r="AP76" s="71"/>
      <c r="AQ76" s="66"/>
      <c r="AR76" s="78"/>
      <c r="AS76" s="73"/>
    </row>
    <row r="77">
      <c r="A77" s="110" t="s">
        <v>96</v>
      </c>
      <c r="B77" s="66">
        <f t="shared" si="191"/>
        <v>990</v>
      </c>
      <c r="C77" s="65">
        <f t="shared" si="179"/>
        <v>990</v>
      </c>
      <c r="D77" s="66">
        <f t="shared" si="180"/>
        <v>891.8918919</v>
      </c>
      <c r="E77" s="107">
        <v>2.0</v>
      </c>
      <c r="F77" s="66">
        <f t="shared" si="181"/>
        <v>1700</v>
      </c>
      <c r="G77" s="66">
        <f t="shared" si="182"/>
        <v>765</v>
      </c>
      <c r="H77" s="66">
        <f t="shared" si="183"/>
        <v>1360</v>
      </c>
      <c r="I77" s="66">
        <f t="shared" si="184"/>
        <v>0</v>
      </c>
      <c r="J77" s="68">
        <v>1250.0</v>
      </c>
      <c r="K77" s="66">
        <f t="shared" si="185"/>
        <v>124.8648649</v>
      </c>
      <c r="L77" s="69">
        <f t="shared" si="186"/>
        <v>6983.648649</v>
      </c>
      <c r="M77" s="70">
        <f t="shared" si="187"/>
        <v>0.5440088235</v>
      </c>
      <c r="N77" s="71">
        <f t="shared" si="188"/>
        <v>8331.666667</v>
      </c>
      <c r="O77" s="66">
        <f t="shared" si="189"/>
        <v>15315.31532</v>
      </c>
      <c r="P77" s="78">
        <v>17000.0</v>
      </c>
      <c r="Q77" s="73">
        <f t="shared" si="190"/>
        <v>8500</v>
      </c>
      <c r="R77" s="74"/>
      <c r="S77" s="112"/>
      <c r="Y77" s="66">
        <f t="shared" si="178"/>
        <v>0</v>
      </c>
      <c r="AF77" s="76"/>
      <c r="AG77" s="75"/>
      <c r="AH77" s="66"/>
      <c r="AI77" s="66"/>
      <c r="AJ77" s="66"/>
      <c r="AK77" s="66"/>
      <c r="AL77" s="68"/>
      <c r="AM77" s="66"/>
      <c r="AN77" s="69"/>
      <c r="AO77" s="70"/>
      <c r="AP77" s="71"/>
      <c r="AQ77" s="66"/>
      <c r="AR77" s="78"/>
      <c r="AS77" s="73"/>
    </row>
    <row r="78">
      <c r="A78" s="110"/>
      <c r="B78" s="111"/>
      <c r="C78" s="65" t="str">
        <f t="shared" si="179"/>
        <v/>
      </c>
      <c r="D78" s="66"/>
      <c r="E78" s="107">
        <v>2.0</v>
      </c>
      <c r="F78" s="66"/>
      <c r="G78" s="66"/>
      <c r="H78" s="66"/>
      <c r="I78" s="66"/>
      <c r="J78" s="68"/>
      <c r="K78" s="66"/>
      <c r="L78" s="69"/>
      <c r="M78" s="70"/>
      <c r="N78" s="71"/>
      <c r="O78" s="66"/>
      <c r="P78" s="78"/>
      <c r="Q78" s="73">
        <f t="shared" si="190"/>
        <v>0</v>
      </c>
      <c r="R78" s="74"/>
      <c r="S78" s="112"/>
      <c r="Y78" s="66">
        <f t="shared" si="178"/>
        <v>0</v>
      </c>
      <c r="AF78" s="76"/>
      <c r="AG78" s="75"/>
      <c r="AH78" s="66"/>
      <c r="AI78" s="66"/>
      <c r="AJ78" s="66"/>
      <c r="AK78" s="66"/>
      <c r="AL78" s="68"/>
      <c r="AM78" s="66"/>
      <c r="AN78" s="69"/>
      <c r="AO78" s="70"/>
      <c r="AP78" s="71"/>
      <c r="AQ78" s="66"/>
      <c r="AR78" s="78"/>
      <c r="AS78" s="73"/>
    </row>
    <row r="79">
      <c r="A79" s="110"/>
      <c r="B79" s="111"/>
      <c r="C79" s="65" t="str">
        <f t="shared" si="179"/>
        <v/>
      </c>
      <c r="D79" s="66"/>
      <c r="E79" s="107">
        <v>2.0</v>
      </c>
      <c r="F79" s="66"/>
      <c r="G79" s="66"/>
      <c r="H79" s="66"/>
      <c r="I79" s="66"/>
      <c r="J79" s="68"/>
      <c r="K79" s="66"/>
      <c r="L79" s="69"/>
      <c r="M79" s="70"/>
      <c r="N79" s="71"/>
      <c r="O79" s="66"/>
      <c r="P79" s="78"/>
      <c r="Q79" s="73"/>
      <c r="R79" s="74"/>
      <c r="S79" s="112"/>
      <c r="Y79" s="66">
        <f t="shared" si="178"/>
        <v>0</v>
      </c>
      <c r="AF79" s="76"/>
      <c r="AG79" s="75"/>
      <c r="AH79" s="66"/>
      <c r="AI79" s="66"/>
      <c r="AJ79" s="66"/>
      <c r="AK79" s="66"/>
      <c r="AL79" s="68"/>
      <c r="AM79" s="66"/>
      <c r="AN79" s="69"/>
      <c r="AO79" s="70"/>
      <c r="AP79" s="71"/>
      <c r="AQ79" s="66"/>
      <c r="AR79" s="78"/>
      <c r="AS79" s="73"/>
    </row>
    <row r="80">
      <c r="A80" s="110"/>
      <c r="B80" s="111"/>
      <c r="C80" s="65" t="str">
        <f t="shared" si="179"/>
        <v/>
      </c>
      <c r="D80" s="66"/>
      <c r="E80" s="107">
        <v>2.0</v>
      </c>
      <c r="F80" s="66"/>
      <c r="G80" s="66"/>
      <c r="H80" s="66"/>
      <c r="I80" s="66"/>
      <c r="J80" s="68"/>
      <c r="K80" s="66"/>
      <c r="L80" s="69"/>
      <c r="M80" s="70"/>
      <c r="N80" s="71"/>
      <c r="O80" s="66"/>
      <c r="P80" s="78"/>
      <c r="Q80" s="73"/>
      <c r="R80" s="74"/>
      <c r="S80" s="112"/>
      <c r="Y80" s="66">
        <f t="shared" si="178"/>
        <v>0</v>
      </c>
      <c r="AF80" s="76"/>
      <c r="AG80" s="75"/>
      <c r="AH80" s="66"/>
      <c r="AI80" s="66"/>
      <c r="AJ80" s="66"/>
      <c r="AK80" s="66"/>
      <c r="AL80" s="68"/>
      <c r="AM80" s="66"/>
      <c r="AN80" s="69"/>
      <c r="AO80" s="70"/>
      <c r="AP80" s="71"/>
      <c r="AQ80" s="66"/>
      <c r="AR80" s="78"/>
      <c r="AS80" s="73"/>
    </row>
    <row r="81">
      <c r="A81" s="110"/>
      <c r="B81" s="111"/>
      <c r="C81" s="65" t="str">
        <f t="shared" si="179"/>
        <v/>
      </c>
      <c r="D81" s="66"/>
      <c r="E81" s="107">
        <v>2.0</v>
      </c>
      <c r="F81" s="66"/>
      <c r="G81" s="66"/>
      <c r="H81" s="66"/>
      <c r="I81" s="66"/>
      <c r="J81" s="68"/>
      <c r="K81" s="66"/>
      <c r="L81" s="69"/>
      <c r="M81" s="70"/>
      <c r="N81" s="71"/>
      <c r="O81" s="66"/>
      <c r="P81" s="78"/>
      <c r="Q81" s="73"/>
      <c r="R81" s="74"/>
      <c r="S81" s="112"/>
      <c r="Y81" s="66">
        <f t="shared" si="178"/>
        <v>0</v>
      </c>
      <c r="AF81" s="76"/>
      <c r="AG81" s="75"/>
      <c r="AH81" s="66"/>
      <c r="AI81" s="66"/>
      <c r="AJ81" s="66"/>
      <c r="AK81" s="66"/>
      <c r="AL81" s="68"/>
      <c r="AM81" s="66"/>
      <c r="AN81" s="69"/>
      <c r="AO81" s="70"/>
      <c r="AP81" s="71"/>
      <c r="AQ81" s="66"/>
      <c r="AR81" s="78"/>
      <c r="AS81" s="73"/>
    </row>
    <row r="82">
      <c r="A82" s="178"/>
      <c r="C82" s="65" t="str">
        <f t="shared" si="179"/>
        <v/>
      </c>
      <c r="D82" s="66">
        <f t="shared" ref="D82:D85" si="192">C82/$D$4</f>
        <v>0</v>
      </c>
      <c r="E82" s="107">
        <v>2.0</v>
      </c>
      <c r="F82" s="66">
        <f t="shared" ref="F82:F85" si="193">P82*$F$3</f>
        <v>0</v>
      </c>
      <c r="G82" s="66">
        <f t="shared" ref="G82:G85" si="194">P82*$G$3</f>
        <v>0</v>
      </c>
      <c r="H82" s="66">
        <f t="shared" ref="H82:H85" si="195">P82*$H$3</f>
        <v>0</v>
      </c>
      <c r="I82" s="66">
        <f t="shared" ref="I82:I85" si="196">P82*$I$3</f>
        <v>0</v>
      </c>
      <c r="J82" s="68">
        <v>1250.0</v>
      </c>
      <c r="K82" s="66">
        <f t="shared" ref="K82:K85" si="197">D82*$K$3*E82</f>
        <v>0</v>
      </c>
      <c r="L82" s="69">
        <f t="shared" ref="L82:L85" si="198">(D82*E82)+F82+G82+H82+I82+J82+K82</f>
        <v>1250</v>
      </c>
      <c r="M82" s="70" t="str">
        <f t="shared" ref="M82:M85" si="199">N82/O82</f>
        <v>#DIV/0!</v>
      </c>
      <c r="N82" s="71">
        <f t="shared" ref="N82:N85" si="200">O82-L82</f>
        <v>-1250</v>
      </c>
      <c r="O82" s="66">
        <f t="shared" ref="O82:O85" si="201">P82/$O$4</f>
        <v>0</v>
      </c>
      <c r="P82" s="78"/>
      <c r="Q82" s="73">
        <f t="shared" ref="Q82:Q85" si="202">P82/E82</f>
        <v>0</v>
      </c>
      <c r="R82" s="74"/>
      <c r="S82" s="112"/>
      <c r="Y82" s="66">
        <f t="shared" si="178"/>
        <v>0</v>
      </c>
      <c r="AF82" s="76"/>
      <c r="AG82" s="75"/>
      <c r="AH82" s="66"/>
      <c r="AI82" s="66"/>
      <c r="AJ82" s="66"/>
      <c r="AK82" s="66"/>
      <c r="AL82" s="68"/>
      <c r="AM82" s="66"/>
      <c r="AN82" s="69"/>
      <c r="AO82" s="70"/>
      <c r="AP82" s="71"/>
      <c r="AQ82" s="66"/>
      <c r="AR82" s="78"/>
      <c r="AS82" s="73"/>
    </row>
    <row r="83">
      <c r="A83" s="178"/>
      <c r="C83" s="65" t="str">
        <f t="shared" si="179"/>
        <v/>
      </c>
      <c r="D83" s="66">
        <f t="shared" si="192"/>
        <v>0</v>
      </c>
      <c r="E83" s="107">
        <v>2.0</v>
      </c>
      <c r="F83" s="66">
        <f t="shared" si="193"/>
        <v>0</v>
      </c>
      <c r="G83" s="66">
        <f t="shared" si="194"/>
        <v>0</v>
      </c>
      <c r="H83" s="66">
        <f t="shared" si="195"/>
        <v>0</v>
      </c>
      <c r="I83" s="66">
        <f t="shared" si="196"/>
        <v>0</v>
      </c>
      <c r="J83" s="68">
        <v>1250.0</v>
      </c>
      <c r="K83" s="66">
        <f t="shared" si="197"/>
        <v>0</v>
      </c>
      <c r="L83" s="69">
        <f t="shared" si="198"/>
        <v>1250</v>
      </c>
      <c r="M83" s="70" t="str">
        <f t="shared" si="199"/>
        <v>#DIV/0!</v>
      </c>
      <c r="N83" s="71">
        <f t="shared" si="200"/>
        <v>-1250</v>
      </c>
      <c r="O83" s="66">
        <f t="shared" si="201"/>
        <v>0</v>
      </c>
      <c r="P83" s="78"/>
      <c r="Q83" s="73">
        <f t="shared" si="202"/>
        <v>0</v>
      </c>
      <c r="R83" s="74"/>
      <c r="S83" s="112"/>
      <c r="Y83" s="66">
        <f t="shared" si="178"/>
        <v>0</v>
      </c>
      <c r="AF83" s="76"/>
      <c r="AG83" s="75"/>
      <c r="AH83" s="66"/>
      <c r="AI83" s="66"/>
      <c r="AJ83" s="66"/>
      <c r="AK83" s="66"/>
      <c r="AL83" s="68"/>
      <c r="AM83" s="66"/>
      <c r="AN83" s="69"/>
      <c r="AO83" s="70"/>
      <c r="AP83" s="71"/>
      <c r="AQ83" s="66"/>
      <c r="AR83" s="78"/>
      <c r="AS83" s="73"/>
    </row>
    <row r="84">
      <c r="A84" s="178"/>
      <c r="C84" s="65">
        <f t="shared" ref="C84:C85" si="203">B84*$C$4</f>
        <v>0</v>
      </c>
      <c r="D84" s="66">
        <f t="shared" si="192"/>
        <v>0</v>
      </c>
      <c r="E84" s="109">
        <v>1.0</v>
      </c>
      <c r="F84" s="66">
        <f t="shared" si="193"/>
        <v>0</v>
      </c>
      <c r="G84" s="66">
        <f t="shared" si="194"/>
        <v>0</v>
      </c>
      <c r="H84" s="66">
        <f t="shared" si="195"/>
        <v>0</v>
      </c>
      <c r="I84" s="66">
        <f t="shared" si="196"/>
        <v>0</v>
      </c>
      <c r="J84" s="68">
        <v>1250.0</v>
      </c>
      <c r="K84" s="66">
        <f t="shared" si="197"/>
        <v>0</v>
      </c>
      <c r="L84" s="69">
        <f t="shared" si="198"/>
        <v>1250</v>
      </c>
      <c r="M84" s="70" t="str">
        <f t="shared" si="199"/>
        <v>#DIV/0!</v>
      </c>
      <c r="N84" s="71">
        <f t="shared" si="200"/>
        <v>-1250</v>
      </c>
      <c r="O84" s="66">
        <f t="shared" si="201"/>
        <v>0</v>
      </c>
      <c r="P84" s="78"/>
      <c r="Q84" s="73">
        <f t="shared" si="202"/>
        <v>0</v>
      </c>
      <c r="R84" s="74"/>
      <c r="S84" s="112"/>
      <c r="Y84" s="66">
        <f t="shared" si="178"/>
        <v>0</v>
      </c>
      <c r="AF84" s="76"/>
      <c r="AG84" s="75"/>
      <c r="AH84" s="66"/>
      <c r="AI84" s="66"/>
      <c r="AJ84" s="66"/>
      <c r="AK84" s="66"/>
      <c r="AL84" s="68"/>
      <c r="AM84" s="66"/>
      <c r="AN84" s="69"/>
      <c r="AO84" s="70"/>
      <c r="AP84" s="71"/>
      <c r="AQ84" s="66"/>
      <c r="AR84" s="78"/>
      <c r="AS84" s="73"/>
    </row>
    <row r="85">
      <c r="A85" s="178"/>
      <c r="C85" s="65">
        <f t="shared" si="203"/>
        <v>0</v>
      </c>
      <c r="D85" s="66">
        <f t="shared" si="192"/>
        <v>0</v>
      </c>
      <c r="E85" s="109"/>
      <c r="F85" s="66">
        <f t="shared" si="193"/>
        <v>0</v>
      </c>
      <c r="G85" s="66">
        <f t="shared" si="194"/>
        <v>0</v>
      </c>
      <c r="H85" s="66">
        <f t="shared" si="195"/>
        <v>0</v>
      </c>
      <c r="I85" s="66">
        <f t="shared" si="196"/>
        <v>0</v>
      </c>
      <c r="J85" s="68">
        <v>1250.0</v>
      </c>
      <c r="K85" s="66">
        <f t="shared" si="197"/>
        <v>0</v>
      </c>
      <c r="L85" s="69">
        <f t="shared" si="198"/>
        <v>1250</v>
      </c>
      <c r="M85" s="70" t="str">
        <f t="shared" si="199"/>
        <v>#DIV/0!</v>
      </c>
      <c r="N85" s="71">
        <f t="shared" si="200"/>
        <v>-1250</v>
      </c>
      <c r="O85" s="66">
        <f t="shared" si="201"/>
        <v>0</v>
      </c>
      <c r="P85" s="152"/>
      <c r="Q85" s="73" t="str">
        <f t="shared" si="202"/>
        <v>#DIV/0!</v>
      </c>
      <c r="R85" s="74"/>
      <c r="S85" s="112"/>
      <c r="Y85" s="66">
        <f t="shared" si="178"/>
        <v>0</v>
      </c>
      <c r="AF85" s="76"/>
      <c r="AG85" s="75"/>
      <c r="AH85" s="66">
        <f>AR85*$AH$3</f>
        <v>0</v>
      </c>
      <c r="AI85" s="66">
        <f>AR85*$AI$3</f>
        <v>0</v>
      </c>
      <c r="AJ85" s="66">
        <f>AR85*$AJ$3</f>
        <v>0</v>
      </c>
      <c r="AK85" s="66">
        <f>AR85*$AK$3</f>
        <v>0</v>
      </c>
      <c r="AL85" s="68">
        <v>1250.0</v>
      </c>
      <c r="AM85" s="66">
        <f>AF85*$AM$3</f>
        <v>0</v>
      </c>
      <c r="AN85" s="69">
        <f>(R85*AG85)+AH85+AI85+AJ85+AK85+AL85+AM85</f>
        <v>1250</v>
      </c>
      <c r="AO85" s="70" t="str">
        <f>AP85/AQ85</f>
        <v>#DIV/0!</v>
      </c>
      <c r="AP85" s="71">
        <f>AQ85-AN85</f>
        <v>-1250</v>
      </c>
      <c r="AQ85" s="66">
        <f>AR85/$O$4</f>
        <v>0</v>
      </c>
      <c r="AR85" s="78"/>
      <c r="AS85" s="73" t="str">
        <f>AR85/AG85</f>
        <v>#DIV/0!</v>
      </c>
    </row>
    <row r="86" ht="25.5" customHeight="1">
      <c r="A86" s="130" t="s">
        <v>97</v>
      </c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74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76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</row>
    <row r="87">
      <c r="A87" s="106" t="s">
        <v>98</v>
      </c>
      <c r="B87" s="65">
        <f>'HPP MALL'!B84</f>
        <v>1951</v>
      </c>
      <c r="C87" s="65">
        <f t="shared" ref="C87:C92" si="204">B87*$C$4</f>
        <v>1599.82</v>
      </c>
      <c r="D87" s="66">
        <f t="shared" ref="D87:D92" si="205">C87/$D$4</f>
        <v>1441.279279</v>
      </c>
      <c r="E87" s="124">
        <v>5.0</v>
      </c>
      <c r="F87" s="66">
        <f t="shared" ref="F87:F92" si="206">P87*$F$3</f>
        <v>1600</v>
      </c>
      <c r="G87" s="66">
        <f t="shared" ref="G87:G92" si="207">P87*$G$3</f>
        <v>720</v>
      </c>
      <c r="H87" s="66">
        <f t="shared" ref="H87:H92" si="208">P87*$H$3</f>
        <v>1280</v>
      </c>
      <c r="I87" s="66">
        <f t="shared" ref="I87:I92" si="209">P87*$I$3</f>
        <v>0</v>
      </c>
      <c r="J87" s="68">
        <v>1250.0</v>
      </c>
      <c r="K87" s="66">
        <f t="shared" ref="K87:K92" si="210">D87*$K$3*E87</f>
        <v>504.4477477</v>
      </c>
      <c r="L87" s="69">
        <f t="shared" ref="L87:L92" si="211">(D87*E87)+F87+G87+H87+I87+J87+K87</f>
        <v>12560.84414</v>
      </c>
      <c r="M87" s="70">
        <f t="shared" ref="M87:M92" si="212">N87/O87</f>
        <v>0.1285914375</v>
      </c>
      <c r="N87" s="71">
        <f t="shared" ref="N87:N92" si="213">O87-L87</f>
        <v>1853.57027</v>
      </c>
      <c r="O87" s="66">
        <f t="shared" ref="O87:O92" si="214">P87/$O$4</f>
        <v>14414.41441</v>
      </c>
      <c r="P87" s="78">
        <v>16000.0</v>
      </c>
      <c r="Q87" s="73">
        <f t="shared" ref="Q87:Q92" si="215">P87/E87</f>
        <v>3200</v>
      </c>
      <c r="R87" s="74"/>
      <c r="S87" s="75">
        <v>50.0</v>
      </c>
      <c r="T87" s="66">
        <f t="shared" ref="T87:T92" si="216">AD87*$T$3</f>
        <v>14200</v>
      </c>
      <c r="U87" s="66">
        <f t="shared" ref="U87:U92" si="217">AD87*$U$3</f>
        <v>7100</v>
      </c>
      <c r="V87" s="66">
        <f t="shared" ref="V87:V92" si="218">AD87*$V$3</f>
        <v>11360</v>
      </c>
      <c r="W87" s="66">
        <f t="shared" ref="W87:W92" si="219">AD87*$W$3</f>
        <v>0</v>
      </c>
      <c r="X87" s="68">
        <v>1250.0</v>
      </c>
      <c r="Y87" s="66">
        <f t="shared" ref="Y87:Y100" si="220">D87*$Y$3*S87</f>
        <v>5044.477477</v>
      </c>
      <c r="Z87" s="69">
        <f t="shared" ref="Z87:Z92" si="221">(D87*S87)+T87+U87+V87+W87+X87+Y87</f>
        <v>111018.4414</v>
      </c>
      <c r="AA87" s="70">
        <f t="shared" ref="AA87:AA92" si="222">AB87/AC87</f>
        <v>0.1321797887</v>
      </c>
      <c r="AB87" s="71">
        <f t="shared" ref="AB87:AB92" si="223">AC87-Z87</f>
        <v>16909.48649</v>
      </c>
      <c r="AC87" s="66">
        <f t="shared" ref="AC87:AC92" si="224">AD87/$O$4</f>
        <v>127927.9279</v>
      </c>
      <c r="AD87" s="78">
        <v>142000.0</v>
      </c>
      <c r="AE87" s="73">
        <f t="shared" ref="AE87:AE92" si="225">AD87/S87</f>
        <v>2840</v>
      </c>
      <c r="AF87" s="76"/>
      <c r="AG87" s="75"/>
      <c r="AH87" s="66">
        <f t="shared" ref="AH87:AH92" si="226">AR87*$AH$3</f>
        <v>0</v>
      </c>
      <c r="AI87" s="66">
        <f t="shared" ref="AI87:AI92" si="227">AR87*$AI$3</f>
        <v>0</v>
      </c>
      <c r="AJ87" s="66">
        <f t="shared" ref="AJ87:AJ92" si="228">AR87*$AJ$3</f>
        <v>0</v>
      </c>
      <c r="AK87" s="66">
        <f t="shared" ref="AK87:AK92" si="229">AR87*$AK$3</f>
        <v>0</v>
      </c>
      <c r="AL87" s="68">
        <v>1250.0</v>
      </c>
      <c r="AM87" s="66">
        <f t="shared" ref="AM87:AM92" si="230">AF87*$AM$3</f>
        <v>0</v>
      </c>
      <c r="AN87" s="69">
        <f t="shared" ref="AN87:AN92" si="231">(R87*AG87)+AH87+AI87+AJ87+AK87+AL87+AM87</f>
        <v>1250</v>
      </c>
      <c r="AO87" s="70" t="str">
        <f t="shared" ref="AO87:AO92" si="232">AP87/AQ87</f>
        <v>#DIV/0!</v>
      </c>
      <c r="AP87" s="71">
        <f t="shared" ref="AP87:AP92" si="233">AQ87-AN87</f>
        <v>-1250</v>
      </c>
      <c r="AQ87" s="66">
        <f t="shared" ref="AQ87:AQ92" si="234">AR87/$O$4</f>
        <v>0</v>
      </c>
      <c r="AR87" s="78"/>
      <c r="AS87" s="73" t="str">
        <f t="shared" ref="AS87:AS92" si="235">AR87/AG87</f>
        <v>#DIV/0!</v>
      </c>
    </row>
    <row r="88">
      <c r="A88" s="106" t="s">
        <v>99</v>
      </c>
      <c r="B88" s="65">
        <f>'HPP MALL'!B85</f>
        <v>2700</v>
      </c>
      <c r="C88" s="65">
        <f t="shared" si="204"/>
        <v>2214</v>
      </c>
      <c r="D88" s="66">
        <f t="shared" si="205"/>
        <v>1994.594595</v>
      </c>
      <c r="E88" s="124">
        <v>5.0</v>
      </c>
      <c r="F88" s="66">
        <f t="shared" si="206"/>
        <v>1800</v>
      </c>
      <c r="G88" s="66">
        <f t="shared" si="207"/>
        <v>810</v>
      </c>
      <c r="H88" s="66">
        <f t="shared" si="208"/>
        <v>1440</v>
      </c>
      <c r="I88" s="66">
        <f t="shared" si="209"/>
        <v>0</v>
      </c>
      <c r="J88" s="68">
        <v>1250.0</v>
      </c>
      <c r="K88" s="66">
        <f t="shared" si="210"/>
        <v>698.1081081</v>
      </c>
      <c r="L88" s="69">
        <f t="shared" si="211"/>
        <v>15971.08108</v>
      </c>
      <c r="M88" s="70">
        <f t="shared" si="212"/>
        <v>0.01511666667</v>
      </c>
      <c r="N88" s="71">
        <f t="shared" si="213"/>
        <v>245.1351351</v>
      </c>
      <c r="O88" s="66">
        <f t="shared" si="214"/>
        <v>16216.21622</v>
      </c>
      <c r="P88" s="78">
        <v>18000.0</v>
      </c>
      <c r="Q88" s="73">
        <f t="shared" si="215"/>
        <v>3600</v>
      </c>
      <c r="R88" s="74"/>
      <c r="S88" s="75">
        <v>50.0</v>
      </c>
      <c r="T88" s="66">
        <f t="shared" si="216"/>
        <v>16900</v>
      </c>
      <c r="U88" s="66">
        <f t="shared" si="217"/>
        <v>8450</v>
      </c>
      <c r="V88" s="66">
        <f t="shared" si="218"/>
        <v>13520</v>
      </c>
      <c r="W88" s="66">
        <f t="shared" si="219"/>
        <v>0</v>
      </c>
      <c r="X88" s="68">
        <v>1250.0</v>
      </c>
      <c r="Y88" s="66">
        <f t="shared" si="220"/>
        <v>6981.081081</v>
      </c>
      <c r="Z88" s="69">
        <f t="shared" si="221"/>
        <v>146830.8108</v>
      </c>
      <c r="AA88" s="70">
        <f t="shared" si="222"/>
        <v>0.03560828402</v>
      </c>
      <c r="AB88" s="71">
        <f t="shared" si="223"/>
        <v>5421.441441</v>
      </c>
      <c r="AC88" s="66">
        <f t="shared" si="224"/>
        <v>152252.2523</v>
      </c>
      <c r="AD88" s="78">
        <v>169000.0</v>
      </c>
      <c r="AE88" s="73">
        <f t="shared" si="225"/>
        <v>3380</v>
      </c>
      <c r="AF88" s="76"/>
      <c r="AG88" s="75"/>
      <c r="AH88" s="66">
        <f t="shared" si="226"/>
        <v>0</v>
      </c>
      <c r="AI88" s="66">
        <f t="shared" si="227"/>
        <v>0</v>
      </c>
      <c r="AJ88" s="66">
        <f t="shared" si="228"/>
        <v>0</v>
      </c>
      <c r="AK88" s="66">
        <f t="shared" si="229"/>
        <v>0</v>
      </c>
      <c r="AL88" s="68">
        <v>1250.0</v>
      </c>
      <c r="AM88" s="66">
        <f t="shared" si="230"/>
        <v>0</v>
      </c>
      <c r="AN88" s="69">
        <f t="shared" si="231"/>
        <v>1250</v>
      </c>
      <c r="AO88" s="70" t="str">
        <f t="shared" si="232"/>
        <v>#DIV/0!</v>
      </c>
      <c r="AP88" s="71">
        <f t="shared" si="233"/>
        <v>-1250</v>
      </c>
      <c r="AQ88" s="66">
        <f t="shared" si="234"/>
        <v>0</v>
      </c>
      <c r="AR88" s="78"/>
      <c r="AS88" s="73" t="str">
        <f t="shared" si="235"/>
        <v>#DIV/0!</v>
      </c>
    </row>
    <row r="89">
      <c r="A89" s="106" t="s">
        <v>100</v>
      </c>
      <c r="B89" s="65">
        <f>'HPP MALL'!B86</f>
        <v>3700</v>
      </c>
      <c r="C89" s="65">
        <f t="shared" si="204"/>
        <v>3034</v>
      </c>
      <c r="D89" s="66">
        <f t="shared" si="205"/>
        <v>2733.333333</v>
      </c>
      <c r="E89" s="134">
        <v>5.0</v>
      </c>
      <c r="F89" s="66">
        <f t="shared" si="206"/>
        <v>2800</v>
      </c>
      <c r="G89" s="66">
        <f t="shared" si="207"/>
        <v>1260</v>
      </c>
      <c r="H89" s="66">
        <f t="shared" si="208"/>
        <v>2240</v>
      </c>
      <c r="I89" s="66">
        <f t="shared" si="209"/>
        <v>0</v>
      </c>
      <c r="J89" s="68">
        <v>1250.0</v>
      </c>
      <c r="K89" s="66">
        <f t="shared" si="210"/>
        <v>956.6666667</v>
      </c>
      <c r="L89" s="69">
        <f t="shared" si="211"/>
        <v>22173.33333</v>
      </c>
      <c r="M89" s="70">
        <f t="shared" si="212"/>
        <v>0.1209857143</v>
      </c>
      <c r="N89" s="71">
        <f t="shared" si="213"/>
        <v>3051.891892</v>
      </c>
      <c r="O89" s="66">
        <f t="shared" si="214"/>
        <v>25225.22523</v>
      </c>
      <c r="P89" s="78">
        <v>28000.0</v>
      </c>
      <c r="Q89" s="73">
        <f t="shared" si="215"/>
        <v>5600</v>
      </c>
      <c r="R89" s="74"/>
      <c r="S89" s="75">
        <v>50.0</v>
      </c>
      <c r="T89" s="66">
        <f t="shared" si="216"/>
        <v>23000</v>
      </c>
      <c r="U89" s="66">
        <f t="shared" si="217"/>
        <v>11500</v>
      </c>
      <c r="V89" s="66">
        <f t="shared" si="218"/>
        <v>18400</v>
      </c>
      <c r="W89" s="66">
        <f t="shared" si="219"/>
        <v>0</v>
      </c>
      <c r="X89" s="68">
        <v>1250.0</v>
      </c>
      <c r="Y89" s="66">
        <f t="shared" si="220"/>
        <v>9566.666667</v>
      </c>
      <c r="Z89" s="69">
        <f t="shared" si="221"/>
        <v>200383.3333</v>
      </c>
      <c r="AA89" s="70">
        <f t="shared" si="222"/>
        <v>0.0329326087</v>
      </c>
      <c r="AB89" s="71">
        <f t="shared" si="223"/>
        <v>6823.873874</v>
      </c>
      <c r="AC89" s="66">
        <f t="shared" si="224"/>
        <v>207207.2072</v>
      </c>
      <c r="AD89" s="78">
        <v>230000.0</v>
      </c>
      <c r="AE89" s="73">
        <f t="shared" si="225"/>
        <v>4600</v>
      </c>
      <c r="AF89" s="76"/>
      <c r="AG89" s="75"/>
      <c r="AH89" s="66">
        <f t="shared" si="226"/>
        <v>0</v>
      </c>
      <c r="AI89" s="66">
        <f t="shared" si="227"/>
        <v>0</v>
      </c>
      <c r="AJ89" s="66">
        <f t="shared" si="228"/>
        <v>0</v>
      </c>
      <c r="AK89" s="66">
        <f t="shared" si="229"/>
        <v>0</v>
      </c>
      <c r="AL89" s="68">
        <v>1250.0</v>
      </c>
      <c r="AM89" s="66">
        <f t="shared" si="230"/>
        <v>0</v>
      </c>
      <c r="AN89" s="69">
        <f t="shared" si="231"/>
        <v>1250</v>
      </c>
      <c r="AO89" s="70" t="str">
        <f t="shared" si="232"/>
        <v>#DIV/0!</v>
      </c>
      <c r="AP89" s="71">
        <f t="shared" si="233"/>
        <v>-1250</v>
      </c>
      <c r="AQ89" s="66">
        <f t="shared" si="234"/>
        <v>0</v>
      </c>
      <c r="AR89" s="78"/>
      <c r="AS89" s="73" t="str">
        <f t="shared" si="235"/>
        <v>#DIV/0!</v>
      </c>
    </row>
    <row r="90">
      <c r="A90" s="106" t="s">
        <v>101</v>
      </c>
      <c r="B90" s="65">
        <f>'HPP MALL'!B87</f>
        <v>5700</v>
      </c>
      <c r="C90" s="65">
        <f t="shared" si="204"/>
        <v>4674</v>
      </c>
      <c r="D90" s="66">
        <f t="shared" si="205"/>
        <v>4210.810811</v>
      </c>
      <c r="E90" s="124">
        <v>5.0</v>
      </c>
      <c r="F90" s="66">
        <f t="shared" si="206"/>
        <v>4500</v>
      </c>
      <c r="G90" s="66">
        <f t="shared" si="207"/>
        <v>2025</v>
      </c>
      <c r="H90" s="66">
        <f t="shared" si="208"/>
        <v>3600</v>
      </c>
      <c r="I90" s="66">
        <f t="shared" si="209"/>
        <v>0</v>
      </c>
      <c r="J90" s="68">
        <v>1250.0</v>
      </c>
      <c r="K90" s="66">
        <f t="shared" si="210"/>
        <v>1473.783784</v>
      </c>
      <c r="L90" s="69">
        <f t="shared" si="211"/>
        <v>33902.83784</v>
      </c>
      <c r="M90" s="70">
        <f t="shared" si="212"/>
        <v>0.16373</v>
      </c>
      <c r="N90" s="71">
        <f t="shared" si="213"/>
        <v>6637.702703</v>
      </c>
      <c r="O90" s="66">
        <f t="shared" si="214"/>
        <v>40540.54054</v>
      </c>
      <c r="P90" s="78">
        <v>45000.0</v>
      </c>
      <c r="Q90" s="73">
        <f t="shared" si="215"/>
        <v>9000</v>
      </c>
      <c r="R90" s="74"/>
      <c r="S90" s="75">
        <v>50.0</v>
      </c>
      <c r="T90" s="66">
        <f t="shared" si="216"/>
        <v>35000</v>
      </c>
      <c r="U90" s="66">
        <f t="shared" si="217"/>
        <v>17500</v>
      </c>
      <c r="V90" s="66">
        <f t="shared" si="218"/>
        <v>28000</v>
      </c>
      <c r="W90" s="66">
        <f t="shared" si="219"/>
        <v>0</v>
      </c>
      <c r="X90" s="68">
        <v>1250.0</v>
      </c>
      <c r="Y90" s="66">
        <f t="shared" si="220"/>
        <v>14737.83784</v>
      </c>
      <c r="Z90" s="69">
        <f t="shared" si="221"/>
        <v>307028.3784</v>
      </c>
      <c r="AA90" s="70">
        <f t="shared" si="222"/>
        <v>0.02628142857</v>
      </c>
      <c r="AB90" s="71">
        <f t="shared" si="223"/>
        <v>8286.936937</v>
      </c>
      <c r="AC90" s="66">
        <f t="shared" si="224"/>
        <v>315315.3153</v>
      </c>
      <c r="AD90" s="78">
        <v>350000.0</v>
      </c>
      <c r="AE90" s="73">
        <f t="shared" si="225"/>
        <v>7000</v>
      </c>
      <c r="AF90" s="76"/>
      <c r="AG90" s="75"/>
      <c r="AH90" s="66">
        <f t="shared" si="226"/>
        <v>0</v>
      </c>
      <c r="AI90" s="66">
        <f t="shared" si="227"/>
        <v>0</v>
      </c>
      <c r="AJ90" s="66">
        <f t="shared" si="228"/>
        <v>0</v>
      </c>
      <c r="AK90" s="66">
        <f t="shared" si="229"/>
        <v>0</v>
      </c>
      <c r="AL90" s="68">
        <v>1250.0</v>
      </c>
      <c r="AM90" s="66">
        <f t="shared" si="230"/>
        <v>0</v>
      </c>
      <c r="AN90" s="69">
        <f t="shared" si="231"/>
        <v>1250</v>
      </c>
      <c r="AO90" s="70" t="str">
        <f t="shared" si="232"/>
        <v>#DIV/0!</v>
      </c>
      <c r="AP90" s="71">
        <f t="shared" si="233"/>
        <v>-1250</v>
      </c>
      <c r="AQ90" s="66">
        <f t="shared" si="234"/>
        <v>0</v>
      </c>
      <c r="AR90" s="78"/>
      <c r="AS90" s="73" t="str">
        <f t="shared" si="235"/>
        <v>#DIV/0!</v>
      </c>
    </row>
    <row r="91">
      <c r="A91" s="106" t="s">
        <v>102</v>
      </c>
      <c r="B91" s="65">
        <f>'HPP MALL'!B88</f>
        <v>6500</v>
      </c>
      <c r="C91" s="65">
        <f t="shared" si="204"/>
        <v>5330</v>
      </c>
      <c r="D91" s="66">
        <f t="shared" si="205"/>
        <v>4801.801802</v>
      </c>
      <c r="E91" s="124">
        <v>1.0</v>
      </c>
      <c r="F91" s="66">
        <f t="shared" si="206"/>
        <v>980</v>
      </c>
      <c r="G91" s="66">
        <f t="shared" si="207"/>
        <v>441</v>
      </c>
      <c r="H91" s="66">
        <f t="shared" si="208"/>
        <v>784</v>
      </c>
      <c r="I91" s="66">
        <f t="shared" si="209"/>
        <v>0</v>
      </c>
      <c r="J91" s="68">
        <v>1250.0</v>
      </c>
      <c r="K91" s="66">
        <f t="shared" si="210"/>
        <v>336.1261261</v>
      </c>
      <c r="L91" s="69">
        <f t="shared" si="211"/>
        <v>8592.927928</v>
      </c>
      <c r="M91" s="70">
        <f t="shared" si="212"/>
        <v>0.02671938776</v>
      </c>
      <c r="N91" s="71">
        <f t="shared" si="213"/>
        <v>235.9009009</v>
      </c>
      <c r="O91" s="66">
        <f t="shared" si="214"/>
        <v>8828.828829</v>
      </c>
      <c r="P91" s="78">
        <v>9800.0</v>
      </c>
      <c r="Q91" s="73">
        <f t="shared" si="215"/>
        <v>9800</v>
      </c>
      <c r="R91" s="74"/>
      <c r="S91" s="75">
        <v>25.0</v>
      </c>
      <c r="T91" s="66">
        <f t="shared" si="216"/>
        <v>20500</v>
      </c>
      <c r="U91" s="66">
        <f t="shared" si="217"/>
        <v>10250</v>
      </c>
      <c r="V91" s="66">
        <f t="shared" si="218"/>
        <v>16400</v>
      </c>
      <c r="W91" s="66">
        <f t="shared" si="219"/>
        <v>0</v>
      </c>
      <c r="X91" s="68">
        <v>1250.0</v>
      </c>
      <c r="Y91" s="66">
        <f t="shared" si="220"/>
        <v>8403.153153</v>
      </c>
      <c r="Z91" s="69">
        <f t="shared" si="221"/>
        <v>176848.1982</v>
      </c>
      <c r="AA91" s="70">
        <f t="shared" si="222"/>
        <v>0.04243170732</v>
      </c>
      <c r="AB91" s="71">
        <f t="shared" si="223"/>
        <v>7836.486486</v>
      </c>
      <c r="AC91" s="66">
        <f t="shared" si="224"/>
        <v>184684.6847</v>
      </c>
      <c r="AD91" s="78">
        <v>205000.0</v>
      </c>
      <c r="AE91" s="73">
        <f t="shared" si="225"/>
        <v>8200</v>
      </c>
      <c r="AF91" s="76"/>
      <c r="AG91" s="75"/>
      <c r="AH91" s="66">
        <f t="shared" si="226"/>
        <v>0</v>
      </c>
      <c r="AI91" s="66">
        <f t="shared" si="227"/>
        <v>0</v>
      </c>
      <c r="AJ91" s="66">
        <f t="shared" si="228"/>
        <v>0</v>
      </c>
      <c r="AK91" s="66">
        <f t="shared" si="229"/>
        <v>0</v>
      </c>
      <c r="AL91" s="68">
        <v>1250.0</v>
      </c>
      <c r="AM91" s="66">
        <f t="shared" si="230"/>
        <v>0</v>
      </c>
      <c r="AN91" s="69">
        <f t="shared" si="231"/>
        <v>1250</v>
      </c>
      <c r="AO91" s="70" t="str">
        <f t="shared" si="232"/>
        <v>#DIV/0!</v>
      </c>
      <c r="AP91" s="71">
        <f t="shared" si="233"/>
        <v>-1250</v>
      </c>
      <c r="AQ91" s="66">
        <f t="shared" si="234"/>
        <v>0</v>
      </c>
      <c r="AR91" s="78"/>
      <c r="AS91" s="73" t="str">
        <f t="shared" si="235"/>
        <v>#DIV/0!</v>
      </c>
    </row>
    <row r="92">
      <c r="A92" s="106" t="s">
        <v>103</v>
      </c>
      <c r="B92" s="65">
        <f>'HPP MALL'!B89</f>
        <v>11500</v>
      </c>
      <c r="C92" s="65">
        <f t="shared" si="204"/>
        <v>9430</v>
      </c>
      <c r="D92" s="66">
        <f t="shared" si="205"/>
        <v>8495.495495</v>
      </c>
      <c r="E92" s="124">
        <v>1.0</v>
      </c>
      <c r="F92" s="66">
        <f t="shared" si="206"/>
        <v>1590</v>
      </c>
      <c r="G92" s="66">
        <f t="shared" si="207"/>
        <v>715.5</v>
      </c>
      <c r="H92" s="66">
        <f t="shared" si="208"/>
        <v>1272</v>
      </c>
      <c r="I92" s="66">
        <f t="shared" si="209"/>
        <v>0</v>
      </c>
      <c r="J92" s="68">
        <v>1250.0</v>
      </c>
      <c r="K92" s="66">
        <f t="shared" si="210"/>
        <v>594.6846847</v>
      </c>
      <c r="L92" s="69">
        <f t="shared" si="211"/>
        <v>13917.68018</v>
      </c>
      <c r="M92" s="70">
        <f t="shared" si="212"/>
        <v>0.02838836478</v>
      </c>
      <c r="N92" s="71">
        <f t="shared" si="213"/>
        <v>406.6441441</v>
      </c>
      <c r="O92" s="66">
        <f t="shared" si="214"/>
        <v>14324.32432</v>
      </c>
      <c r="P92" s="78">
        <v>15900.0</v>
      </c>
      <c r="Q92" s="73">
        <f t="shared" si="215"/>
        <v>15900</v>
      </c>
      <c r="R92" s="74"/>
      <c r="S92" s="75"/>
      <c r="T92" s="66">
        <f t="shared" si="216"/>
        <v>0</v>
      </c>
      <c r="U92" s="66">
        <f t="shared" si="217"/>
        <v>0</v>
      </c>
      <c r="V92" s="66">
        <f t="shared" si="218"/>
        <v>0</v>
      </c>
      <c r="W92" s="66">
        <f t="shared" si="219"/>
        <v>0</v>
      </c>
      <c r="X92" s="68">
        <v>1250.0</v>
      </c>
      <c r="Y92" s="66">
        <f t="shared" si="220"/>
        <v>0</v>
      </c>
      <c r="Z92" s="69">
        <f t="shared" si="221"/>
        <v>1250</v>
      </c>
      <c r="AA92" s="70" t="str">
        <f t="shared" si="222"/>
        <v>#DIV/0!</v>
      </c>
      <c r="AB92" s="71">
        <f t="shared" si="223"/>
        <v>-1250</v>
      </c>
      <c r="AC92" s="66">
        <f t="shared" si="224"/>
        <v>0</v>
      </c>
      <c r="AD92" s="78"/>
      <c r="AE92" s="73" t="str">
        <f t="shared" si="225"/>
        <v>#DIV/0!</v>
      </c>
      <c r="AF92" s="76"/>
      <c r="AG92" s="75"/>
      <c r="AH92" s="66">
        <f t="shared" si="226"/>
        <v>0</v>
      </c>
      <c r="AI92" s="66">
        <f t="shared" si="227"/>
        <v>0</v>
      </c>
      <c r="AJ92" s="66">
        <f t="shared" si="228"/>
        <v>0</v>
      </c>
      <c r="AK92" s="66">
        <f t="shared" si="229"/>
        <v>0</v>
      </c>
      <c r="AL92" s="68">
        <v>1250.0</v>
      </c>
      <c r="AM92" s="66">
        <f t="shared" si="230"/>
        <v>0</v>
      </c>
      <c r="AN92" s="69">
        <f t="shared" si="231"/>
        <v>1250</v>
      </c>
      <c r="AO92" s="70" t="str">
        <f t="shared" si="232"/>
        <v>#DIV/0!</v>
      </c>
      <c r="AP92" s="71">
        <f t="shared" si="233"/>
        <v>-1250</v>
      </c>
      <c r="AQ92" s="66">
        <f t="shared" si="234"/>
        <v>0</v>
      </c>
      <c r="AR92" s="78"/>
      <c r="AS92" s="73" t="str">
        <f t="shared" si="235"/>
        <v>#DIV/0!</v>
      </c>
    </row>
    <row r="93">
      <c r="A93" s="132"/>
      <c r="B93" s="65" t="str">
        <f>'HPP MALL'!B90</f>
        <v/>
      </c>
      <c r="C93" s="133"/>
      <c r="D93" s="66"/>
      <c r="E93" s="124"/>
      <c r="F93" s="66"/>
      <c r="G93" s="66"/>
      <c r="H93" s="66"/>
      <c r="I93" s="66"/>
      <c r="J93" s="68"/>
      <c r="K93" s="66"/>
      <c r="L93" s="69"/>
      <c r="M93" s="70"/>
      <c r="N93" s="71"/>
      <c r="O93" s="66"/>
      <c r="P93" s="78"/>
      <c r="Q93" s="73"/>
      <c r="R93" s="74"/>
      <c r="S93" s="75"/>
      <c r="T93" s="66"/>
      <c r="U93" s="66"/>
      <c r="V93" s="66"/>
      <c r="W93" s="66"/>
      <c r="X93" s="68"/>
      <c r="Y93" s="66">
        <f t="shared" si="220"/>
        <v>0</v>
      </c>
      <c r="Z93" s="69"/>
      <c r="AA93" s="70"/>
      <c r="AB93" s="71"/>
      <c r="AC93" s="66"/>
      <c r="AD93" s="78"/>
      <c r="AE93" s="73"/>
      <c r="AF93" s="76"/>
      <c r="AG93" s="75"/>
      <c r="AH93" s="66"/>
      <c r="AI93" s="66"/>
      <c r="AJ93" s="66"/>
      <c r="AK93" s="66"/>
      <c r="AL93" s="68"/>
      <c r="AM93" s="66"/>
      <c r="AN93" s="69"/>
      <c r="AO93" s="70"/>
      <c r="AP93" s="71"/>
      <c r="AQ93" s="66"/>
      <c r="AR93" s="78"/>
      <c r="AS93" s="73"/>
    </row>
    <row r="94">
      <c r="A94" s="106" t="s">
        <v>104</v>
      </c>
      <c r="B94" s="65">
        <f>'HPP MALL'!B91</f>
        <v>1951</v>
      </c>
      <c r="C94" s="65">
        <f t="shared" ref="C94:C100" si="236">B94*$C$4</f>
        <v>1599.82</v>
      </c>
      <c r="D94" s="66">
        <f t="shared" ref="D94:D100" si="237">C94/$D$4</f>
        <v>1441.279279</v>
      </c>
      <c r="E94" s="134">
        <v>6.0</v>
      </c>
      <c r="F94" s="66">
        <f t="shared" ref="F94:F100" si="238">P94*$F$3</f>
        <v>1750</v>
      </c>
      <c r="G94" s="66">
        <f t="shared" ref="G94:G100" si="239">P94*$G$3</f>
        <v>787.5</v>
      </c>
      <c r="H94" s="66">
        <f t="shared" ref="H94:H100" si="240">P94*$H$3</f>
        <v>1400</v>
      </c>
      <c r="I94" s="66">
        <f t="shared" ref="I94:I100" si="241">P94*$I$3</f>
        <v>0</v>
      </c>
      <c r="J94" s="68">
        <v>1250.0</v>
      </c>
      <c r="K94" s="66">
        <f t="shared" ref="K94:K100" si="242">D94*$K$3*E94</f>
        <v>605.3372973</v>
      </c>
      <c r="L94" s="69">
        <f t="shared" ref="L94:L100" si="243">(D94*E94)+F94+G94+H94+I94+J94+K94</f>
        <v>14440.51297</v>
      </c>
      <c r="M94" s="70">
        <f t="shared" ref="M94:M100" si="244">N94/O94</f>
        <v>0.08405889143</v>
      </c>
      <c r="N94" s="71">
        <f t="shared" ref="N94:N100" si="245">O94-L94</f>
        <v>1325.252793</v>
      </c>
      <c r="O94" s="66">
        <f t="shared" ref="O94:O100" si="246">P94/$O$4</f>
        <v>15765.76577</v>
      </c>
      <c r="P94" s="78">
        <v>17500.0</v>
      </c>
      <c r="Q94" s="73">
        <f t="shared" ref="Q94:Q100" si="247">P94/E94</f>
        <v>2916.666667</v>
      </c>
      <c r="R94" s="74"/>
      <c r="S94" s="75"/>
      <c r="T94" s="66"/>
      <c r="U94" s="66"/>
      <c r="V94" s="66"/>
      <c r="W94" s="66"/>
      <c r="X94" s="68"/>
      <c r="Y94" s="66">
        <f t="shared" si="220"/>
        <v>0</v>
      </c>
      <c r="Z94" s="69"/>
      <c r="AA94" s="70"/>
      <c r="AB94" s="71"/>
      <c r="AC94" s="66"/>
      <c r="AD94" s="78"/>
      <c r="AE94" s="73"/>
      <c r="AF94" s="76"/>
      <c r="AG94" s="75"/>
      <c r="AH94" s="66"/>
      <c r="AI94" s="66"/>
      <c r="AJ94" s="66"/>
      <c r="AK94" s="66"/>
      <c r="AL94" s="68"/>
      <c r="AM94" s="66"/>
      <c r="AN94" s="69"/>
      <c r="AO94" s="70"/>
      <c r="AP94" s="71"/>
      <c r="AQ94" s="66"/>
      <c r="AR94" s="78"/>
      <c r="AS94" s="73"/>
    </row>
    <row r="95">
      <c r="A95" s="106" t="s">
        <v>105</v>
      </c>
      <c r="B95" s="65">
        <f>'HPP MALL'!B92</f>
        <v>2700</v>
      </c>
      <c r="C95" s="65">
        <f t="shared" si="236"/>
        <v>2214</v>
      </c>
      <c r="D95" s="66">
        <f t="shared" si="237"/>
        <v>1994.594595</v>
      </c>
      <c r="E95" s="134">
        <v>6.0</v>
      </c>
      <c r="F95" s="66">
        <f t="shared" si="238"/>
        <v>2100</v>
      </c>
      <c r="G95" s="66">
        <f t="shared" si="239"/>
        <v>945</v>
      </c>
      <c r="H95" s="66">
        <f t="shared" si="240"/>
        <v>1680</v>
      </c>
      <c r="I95" s="66">
        <f t="shared" si="241"/>
        <v>0</v>
      </c>
      <c r="J95" s="68">
        <v>1250.0</v>
      </c>
      <c r="K95" s="66">
        <f t="shared" si="242"/>
        <v>837.7297297</v>
      </c>
      <c r="L95" s="69">
        <f t="shared" si="243"/>
        <v>18780.2973</v>
      </c>
      <c r="M95" s="70">
        <f t="shared" si="244"/>
        <v>0.007327142857</v>
      </c>
      <c r="N95" s="71">
        <f t="shared" si="245"/>
        <v>138.6216216</v>
      </c>
      <c r="O95" s="66">
        <f t="shared" si="246"/>
        <v>18918.91892</v>
      </c>
      <c r="P95" s="78">
        <v>21000.0</v>
      </c>
      <c r="Q95" s="73">
        <f t="shared" si="247"/>
        <v>3500</v>
      </c>
      <c r="R95" s="74"/>
      <c r="S95" s="75"/>
      <c r="T95" s="66"/>
      <c r="U95" s="66"/>
      <c r="V95" s="66"/>
      <c r="W95" s="66"/>
      <c r="X95" s="68"/>
      <c r="Y95" s="66">
        <f t="shared" si="220"/>
        <v>0</v>
      </c>
      <c r="Z95" s="69"/>
      <c r="AA95" s="70"/>
      <c r="AB95" s="71"/>
      <c r="AC95" s="66"/>
      <c r="AD95" s="78"/>
      <c r="AE95" s="73"/>
      <c r="AF95" s="76"/>
      <c r="AG95" s="75"/>
      <c r="AH95" s="66"/>
      <c r="AI95" s="66"/>
      <c r="AJ95" s="66"/>
      <c r="AK95" s="66"/>
      <c r="AL95" s="68"/>
      <c r="AM95" s="66"/>
      <c r="AN95" s="69"/>
      <c r="AO95" s="70"/>
      <c r="AP95" s="71"/>
      <c r="AQ95" s="66"/>
      <c r="AR95" s="78"/>
      <c r="AS95" s="73"/>
    </row>
    <row r="96">
      <c r="A96" s="106" t="s">
        <v>106</v>
      </c>
      <c r="B96" s="65">
        <f>'HPP MALL'!B93</f>
        <v>3700</v>
      </c>
      <c r="C96" s="65">
        <f t="shared" si="236"/>
        <v>3034</v>
      </c>
      <c r="D96" s="66">
        <f t="shared" si="237"/>
        <v>2733.333333</v>
      </c>
      <c r="E96" s="134">
        <v>6.0</v>
      </c>
      <c r="F96" s="66">
        <f t="shared" si="238"/>
        <v>3300</v>
      </c>
      <c r="G96" s="66">
        <f t="shared" si="239"/>
        <v>1485</v>
      </c>
      <c r="H96" s="66">
        <f t="shared" si="240"/>
        <v>2640</v>
      </c>
      <c r="I96" s="66">
        <f t="shared" si="241"/>
        <v>0</v>
      </c>
      <c r="J96" s="68">
        <v>1250.0</v>
      </c>
      <c r="K96" s="66">
        <f t="shared" si="242"/>
        <v>1148</v>
      </c>
      <c r="L96" s="69">
        <f t="shared" si="243"/>
        <v>26223</v>
      </c>
      <c r="M96" s="70">
        <f t="shared" si="244"/>
        <v>0.1179536364</v>
      </c>
      <c r="N96" s="71">
        <f t="shared" si="245"/>
        <v>3506.72973</v>
      </c>
      <c r="O96" s="66">
        <f t="shared" si="246"/>
        <v>29729.72973</v>
      </c>
      <c r="P96" s="78">
        <v>33000.0</v>
      </c>
      <c r="Q96" s="73">
        <f t="shared" si="247"/>
        <v>5500</v>
      </c>
      <c r="R96" s="74"/>
      <c r="S96" s="75"/>
      <c r="T96" s="66"/>
      <c r="U96" s="66"/>
      <c r="V96" s="66"/>
      <c r="W96" s="66"/>
      <c r="X96" s="68"/>
      <c r="Y96" s="66">
        <f t="shared" si="220"/>
        <v>0</v>
      </c>
      <c r="Z96" s="69"/>
      <c r="AA96" s="70"/>
      <c r="AB96" s="71"/>
      <c r="AC96" s="66"/>
      <c r="AD96" s="78"/>
      <c r="AE96" s="73"/>
      <c r="AF96" s="76"/>
      <c r="AG96" s="75"/>
      <c r="AH96" s="66"/>
      <c r="AI96" s="66"/>
      <c r="AJ96" s="66"/>
      <c r="AK96" s="66"/>
      <c r="AL96" s="68"/>
      <c r="AM96" s="66"/>
      <c r="AN96" s="69"/>
      <c r="AO96" s="70"/>
      <c r="AP96" s="71"/>
      <c r="AQ96" s="66"/>
      <c r="AR96" s="78"/>
      <c r="AS96" s="73"/>
    </row>
    <row r="97">
      <c r="A97" s="135"/>
      <c r="B97" s="65" t="str">
        <f>'HPP MALL'!B94</f>
        <v/>
      </c>
      <c r="C97" s="65">
        <f t="shared" si="236"/>
        <v>0</v>
      </c>
      <c r="D97" s="66">
        <f t="shared" si="237"/>
        <v>0</v>
      </c>
      <c r="E97" s="124">
        <v>1.0</v>
      </c>
      <c r="F97" s="66">
        <f t="shared" si="238"/>
        <v>0</v>
      </c>
      <c r="G97" s="66">
        <f t="shared" si="239"/>
        <v>0</v>
      </c>
      <c r="H97" s="66">
        <f t="shared" si="240"/>
        <v>0</v>
      </c>
      <c r="I97" s="66">
        <f t="shared" si="241"/>
        <v>0</v>
      </c>
      <c r="J97" s="68">
        <v>1250.0</v>
      </c>
      <c r="K97" s="66">
        <f t="shared" si="242"/>
        <v>0</v>
      </c>
      <c r="L97" s="69">
        <f t="shared" si="243"/>
        <v>1250</v>
      </c>
      <c r="M97" s="70" t="str">
        <f t="shared" si="244"/>
        <v>#DIV/0!</v>
      </c>
      <c r="N97" s="71">
        <f t="shared" si="245"/>
        <v>-1250</v>
      </c>
      <c r="O97" s="66">
        <f t="shared" si="246"/>
        <v>0</v>
      </c>
      <c r="P97" s="78"/>
      <c r="Q97" s="73">
        <f t="shared" si="247"/>
        <v>0</v>
      </c>
      <c r="R97" s="74"/>
      <c r="S97" s="75"/>
      <c r="T97" s="66"/>
      <c r="U97" s="66"/>
      <c r="V97" s="66"/>
      <c r="W97" s="66"/>
      <c r="X97" s="68"/>
      <c r="Y97" s="66">
        <f t="shared" si="220"/>
        <v>0</v>
      </c>
      <c r="Z97" s="69"/>
      <c r="AA97" s="70"/>
      <c r="AB97" s="71"/>
      <c r="AC97" s="66"/>
      <c r="AD97" s="78"/>
      <c r="AE97" s="73"/>
      <c r="AF97" s="76"/>
      <c r="AG97" s="75"/>
      <c r="AH97" s="66"/>
      <c r="AI97" s="66"/>
      <c r="AJ97" s="66"/>
      <c r="AK97" s="66"/>
      <c r="AL97" s="68"/>
      <c r="AM97" s="66"/>
      <c r="AN97" s="69"/>
      <c r="AO97" s="70"/>
      <c r="AP97" s="71"/>
      <c r="AQ97" s="66"/>
      <c r="AR97" s="78"/>
      <c r="AS97" s="73"/>
    </row>
    <row r="98">
      <c r="A98" s="106" t="s">
        <v>107</v>
      </c>
      <c r="B98" s="65">
        <f>'HPP MALL'!B95</f>
        <v>54000</v>
      </c>
      <c r="C98" s="65">
        <f t="shared" si="236"/>
        <v>44280</v>
      </c>
      <c r="D98" s="66">
        <f t="shared" si="237"/>
        <v>39891.89189</v>
      </c>
      <c r="E98" s="124">
        <v>1.0</v>
      </c>
      <c r="F98" s="66">
        <f t="shared" si="238"/>
        <v>6500</v>
      </c>
      <c r="G98" s="66">
        <f t="shared" si="239"/>
        <v>2925</v>
      </c>
      <c r="H98" s="66">
        <f t="shared" si="240"/>
        <v>5200</v>
      </c>
      <c r="I98" s="66">
        <f t="shared" si="241"/>
        <v>0</v>
      </c>
      <c r="J98" s="68">
        <v>1250.0</v>
      </c>
      <c r="K98" s="66">
        <f t="shared" si="242"/>
        <v>2792.432432</v>
      </c>
      <c r="L98" s="69">
        <f t="shared" si="243"/>
        <v>58559.32432</v>
      </c>
      <c r="M98" s="70">
        <f t="shared" si="244"/>
        <v>-0.00001307692308</v>
      </c>
      <c r="N98" s="71">
        <f t="shared" si="245"/>
        <v>-0.7657657658</v>
      </c>
      <c r="O98" s="66">
        <f t="shared" si="246"/>
        <v>58558.55856</v>
      </c>
      <c r="P98" s="78">
        <v>65000.0</v>
      </c>
      <c r="Q98" s="73">
        <f t="shared" si="247"/>
        <v>65000</v>
      </c>
      <c r="R98" s="74"/>
      <c r="S98" s="75"/>
      <c r="T98" s="66"/>
      <c r="U98" s="66"/>
      <c r="V98" s="66"/>
      <c r="W98" s="66"/>
      <c r="X98" s="68"/>
      <c r="Y98" s="66">
        <f t="shared" si="220"/>
        <v>0</v>
      </c>
      <c r="Z98" s="69"/>
      <c r="AA98" s="70"/>
      <c r="AB98" s="71"/>
      <c r="AC98" s="66"/>
      <c r="AD98" s="78"/>
      <c r="AE98" s="73"/>
      <c r="AF98" s="76"/>
      <c r="AG98" s="75"/>
      <c r="AH98" s="66"/>
      <c r="AI98" s="66"/>
      <c r="AJ98" s="66"/>
      <c r="AK98" s="66"/>
      <c r="AL98" s="68"/>
      <c r="AM98" s="66"/>
      <c r="AN98" s="69"/>
      <c r="AO98" s="70"/>
      <c r="AP98" s="71"/>
      <c r="AQ98" s="66"/>
      <c r="AR98" s="78"/>
      <c r="AS98" s="73"/>
    </row>
    <row r="99">
      <c r="A99" s="106" t="s">
        <v>108</v>
      </c>
      <c r="B99" s="65">
        <f>'HPP MALL'!B96</f>
        <v>25353</v>
      </c>
      <c r="C99" s="65">
        <f t="shared" si="236"/>
        <v>20789.46</v>
      </c>
      <c r="D99" s="66">
        <f t="shared" si="237"/>
        <v>18729.24324</v>
      </c>
      <c r="E99" s="124">
        <v>1.0</v>
      </c>
      <c r="F99" s="66">
        <f t="shared" si="238"/>
        <v>3400</v>
      </c>
      <c r="G99" s="66">
        <f t="shared" si="239"/>
        <v>1530</v>
      </c>
      <c r="H99" s="66">
        <f t="shared" si="240"/>
        <v>2720</v>
      </c>
      <c r="I99" s="66">
        <f t="shared" si="241"/>
        <v>0</v>
      </c>
      <c r="J99" s="68">
        <v>1250.0</v>
      </c>
      <c r="K99" s="66">
        <f t="shared" si="242"/>
        <v>1311.047027</v>
      </c>
      <c r="L99" s="69">
        <f t="shared" si="243"/>
        <v>28940.29027</v>
      </c>
      <c r="M99" s="70">
        <f t="shared" si="244"/>
        <v>0.05518464118</v>
      </c>
      <c r="N99" s="71">
        <f t="shared" si="245"/>
        <v>1690.34036</v>
      </c>
      <c r="O99" s="66">
        <f t="shared" si="246"/>
        <v>30630.63063</v>
      </c>
      <c r="P99" s="78">
        <v>34000.0</v>
      </c>
      <c r="Q99" s="73">
        <f t="shared" si="247"/>
        <v>34000</v>
      </c>
      <c r="R99" s="74"/>
      <c r="S99" s="75"/>
      <c r="T99" s="66"/>
      <c r="U99" s="66"/>
      <c r="V99" s="66"/>
      <c r="W99" s="66"/>
      <c r="X99" s="68"/>
      <c r="Y99" s="66">
        <f t="shared" si="220"/>
        <v>0</v>
      </c>
      <c r="Z99" s="69"/>
      <c r="AA99" s="70"/>
      <c r="AB99" s="71"/>
      <c r="AC99" s="66"/>
      <c r="AD99" s="78"/>
      <c r="AE99" s="73"/>
      <c r="AF99" s="76"/>
      <c r="AG99" s="75"/>
      <c r="AH99" s="66"/>
      <c r="AI99" s="66"/>
      <c r="AJ99" s="66"/>
      <c r="AK99" s="66"/>
      <c r="AL99" s="68"/>
      <c r="AM99" s="66"/>
      <c r="AN99" s="69"/>
      <c r="AO99" s="70"/>
      <c r="AP99" s="71"/>
      <c r="AQ99" s="66"/>
      <c r="AR99" s="78"/>
      <c r="AS99" s="73"/>
    </row>
    <row r="100">
      <c r="A100" s="106" t="s">
        <v>109</v>
      </c>
      <c r="B100" s="65">
        <f>'HPP MALL'!B97</f>
        <v>27600</v>
      </c>
      <c r="C100" s="65">
        <f t="shared" si="236"/>
        <v>22632</v>
      </c>
      <c r="D100" s="66">
        <f t="shared" si="237"/>
        <v>20389.18919</v>
      </c>
      <c r="E100" s="124">
        <v>1.0</v>
      </c>
      <c r="F100" s="66">
        <f t="shared" si="238"/>
        <v>3600</v>
      </c>
      <c r="G100" s="66">
        <f t="shared" si="239"/>
        <v>1620</v>
      </c>
      <c r="H100" s="66">
        <f t="shared" si="240"/>
        <v>2880</v>
      </c>
      <c r="I100" s="66">
        <f t="shared" si="241"/>
        <v>0</v>
      </c>
      <c r="J100" s="68">
        <v>1250.0</v>
      </c>
      <c r="K100" s="66">
        <f t="shared" si="242"/>
        <v>1427.243243</v>
      </c>
      <c r="L100" s="69">
        <f t="shared" si="243"/>
        <v>31166.43243</v>
      </c>
      <c r="M100" s="70">
        <f t="shared" si="244"/>
        <v>0.039035</v>
      </c>
      <c r="N100" s="71">
        <f t="shared" si="245"/>
        <v>1266</v>
      </c>
      <c r="O100" s="66">
        <f t="shared" si="246"/>
        <v>32432.43243</v>
      </c>
      <c r="P100" s="78">
        <v>36000.0</v>
      </c>
      <c r="Q100" s="73">
        <f t="shared" si="247"/>
        <v>36000</v>
      </c>
      <c r="R100" s="74"/>
      <c r="S100" s="75"/>
      <c r="T100" s="66"/>
      <c r="U100" s="66"/>
      <c r="V100" s="66"/>
      <c r="W100" s="66"/>
      <c r="X100" s="68"/>
      <c r="Y100" s="66">
        <f t="shared" si="220"/>
        <v>0</v>
      </c>
      <c r="Z100" s="69"/>
      <c r="AA100" s="70"/>
      <c r="AB100" s="71"/>
      <c r="AC100" s="66"/>
      <c r="AD100" s="78"/>
      <c r="AE100" s="73"/>
      <c r="AF100" s="76"/>
      <c r="AG100" s="75"/>
      <c r="AH100" s="66"/>
      <c r="AI100" s="66"/>
      <c r="AJ100" s="66"/>
      <c r="AK100" s="66"/>
      <c r="AL100" s="68"/>
      <c r="AM100" s="66"/>
      <c r="AN100" s="69"/>
      <c r="AO100" s="70"/>
      <c r="AP100" s="71"/>
      <c r="AQ100" s="66"/>
      <c r="AR100" s="78"/>
      <c r="AS100" s="73"/>
    </row>
    <row r="10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7"/>
      <c r="S101" s="136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76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  <c r="BC101" s="102"/>
    </row>
    <row r="102">
      <c r="A102" s="106" t="s">
        <v>110</v>
      </c>
      <c r="B102" s="65">
        <f t="shared" ref="B102:B104" si="248">B87</f>
        <v>1951</v>
      </c>
      <c r="C102" s="65">
        <f t="shared" ref="C102:C106" si="249">B102*$C$4</f>
        <v>1599.82</v>
      </c>
      <c r="D102" s="66">
        <f t="shared" ref="D102:D106" si="250">C102/$D$4</f>
        <v>1441.279279</v>
      </c>
      <c r="E102" s="134">
        <v>55.0</v>
      </c>
      <c r="F102" s="66">
        <f t="shared" ref="F102:F106" si="251">P102*$F$3</f>
        <v>15000</v>
      </c>
      <c r="G102" s="66">
        <f t="shared" ref="G102:G106" si="252">P102*$G$3</f>
        <v>6750</v>
      </c>
      <c r="H102" s="66">
        <f t="shared" ref="H102:H106" si="253">P102*$H$3</f>
        <v>12000</v>
      </c>
      <c r="I102" s="66">
        <f t="shared" ref="I102:I106" si="254">P102*$I$3</f>
        <v>0</v>
      </c>
      <c r="J102" s="68">
        <v>1250.0</v>
      </c>
      <c r="K102" s="66">
        <f t="shared" ref="K102:K106" si="255">D102*$K$3*E102</f>
        <v>5548.925225</v>
      </c>
      <c r="L102" s="69">
        <f t="shared" ref="L102:L106" si="256">(D102*E102)+F102+G102+H102+I102+J102+K102</f>
        <v>119819.2856</v>
      </c>
      <c r="M102" s="70">
        <f t="shared" ref="M102:M106" si="257">N102/O102</f>
        <v>0.1133372867</v>
      </c>
      <c r="N102" s="71">
        <f t="shared" ref="N102:N106" si="258">O102-L102</f>
        <v>15315.84955</v>
      </c>
      <c r="O102" s="66">
        <f t="shared" ref="O102:O106" si="259">P102/$O$4</f>
        <v>135135.1351</v>
      </c>
      <c r="P102" s="78">
        <v>150000.0</v>
      </c>
      <c r="Q102" s="73">
        <f t="shared" ref="Q102:Q106" si="260">P102/E102</f>
        <v>2727.272727</v>
      </c>
      <c r="R102" s="74"/>
      <c r="S102" s="75"/>
      <c r="T102" s="66">
        <f t="shared" ref="T102:T106" si="261">AD102*$T$3</f>
        <v>0</v>
      </c>
      <c r="U102" s="66">
        <f t="shared" ref="U102:U106" si="262">AD102*$U$3</f>
        <v>0</v>
      </c>
      <c r="V102" s="66">
        <f t="shared" ref="V102:V106" si="263">AD102*$V$3</f>
        <v>0</v>
      </c>
      <c r="W102" s="66">
        <f t="shared" ref="W102:W106" si="264">AD102*$W$3</f>
        <v>0</v>
      </c>
      <c r="X102" s="68">
        <v>1250.0</v>
      </c>
      <c r="Y102" s="66">
        <f t="shared" ref="Y102:Y106" si="265">R102*$Y$3</f>
        <v>0</v>
      </c>
      <c r="Z102" s="69">
        <f t="shared" ref="Z102:Z106" si="266">(D102*S102)+T102+U102+V102+W102+X102+Y102</f>
        <v>1250</v>
      </c>
      <c r="AA102" s="70" t="str">
        <f t="shared" ref="AA102:AA106" si="267">AB102/AC102</f>
        <v>#DIV/0!</v>
      </c>
      <c r="AB102" s="71">
        <f t="shared" ref="AB102:AB106" si="268">AC102-Z102</f>
        <v>-1250</v>
      </c>
      <c r="AC102" s="66">
        <f t="shared" ref="AC102:AC106" si="269">AD102/$O$4</f>
        <v>0</v>
      </c>
      <c r="AD102" s="78"/>
      <c r="AE102" s="73" t="str">
        <f t="shared" ref="AE102:AE106" si="270">AD102/S102</f>
        <v>#DIV/0!</v>
      </c>
      <c r="AF102" s="76"/>
      <c r="AG102" s="75"/>
      <c r="AH102" s="66">
        <f t="shared" ref="AH102:AH106" si="271">AR102*$AH$3</f>
        <v>0</v>
      </c>
      <c r="AI102" s="66">
        <f t="shared" ref="AI102:AI106" si="272">AR102*$AI$3</f>
        <v>0</v>
      </c>
      <c r="AJ102" s="66">
        <f t="shared" ref="AJ102:AJ106" si="273">AR102*$AJ$3</f>
        <v>0</v>
      </c>
      <c r="AK102" s="66">
        <f t="shared" ref="AK102:AK106" si="274">AR102*$AK$3</f>
        <v>0</v>
      </c>
      <c r="AL102" s="68">
        <v>1250.0</v>
      </c>
      <c r="AM102" s="66">
        <f t="shared" ref="AM102:AM106" si="275">AF102*$AM$3</f>
        <v>0</v>
      </c>
      <c r="AN102" s="69">
        <f t="shared" ref="AN102:AN106" si="276">(R102*AG102)+AH102+AI102+AJ102+AK102+AL102+AM102</f>
        <v>1250</v>
      </c>
      <c r="AO102" s="70" t="str">
        <f t="shared" ref="AO102:AO106" si="277">AP102/AQ102</f>
        <v>#DIV/0!</v>
      </c>
      <c r="AP102" s="71">
        <f t="shared" ref="AP102:AP106" si="278">AQ102-AN102</f>
        <v>-1250</v>
      </c>
      <c r="AQ102" s="66">
        <f t="shared" ref="AQ102:AQ106" si="279">AR102/$O$4</f>
        <v>0</v>
      </c>
      <c r="AR102" s="78"/>
      <c r="AS102" s="73" t="str">
        <f t="shared" ref="AS102:AS106" si="280">AR102/AG102</f>
        <v>#DIV/0!</v>
      </c>
    </row>
    <row r="103">
      <c r="A103" s="106" t="s">
        <v>111</v>
      </c>
      <c r="B103" s="65">
        <f t="shared" si="248"/>
        <v>2700</v>
      </c>
      <c r="C103" s="65">
        <f t="shared" si="249"/>
        <v>2214</v>
      </c>
      <c r="D103" s="66">
        <f t="shared" si="250"/>
        <v>1994.594595</v>
      </c>
      <c r="E103" s="134">
        <v>55.0</v>
      </c>
      <c r="F103" s="66">
        <f t="shared" si="251"/>
        <v>18500</v>
      </c>
      <c r="G103" s="66">
        <f t="shared" si="252"/>
        <v>8325</v>
      </c>
      <c r="H103" s="66">
        <f t="shared" si="253"/>
        <v>14800</v>
      </c>
      <c r="I103" s="66">
        <f t="shared" si="254"/>
        <v>0</v>
      </c>
      <c r="J103" s="68">
        <v>1250.0</v>
      </c>
      <c r="K103" s="66">
        <f t="shared" si="255"/>
        <v>7679.189189</v>
      </c>
      <c r="L103" s="69">
        <f t="shared" si="256"/>
        <v>160256.8919</v>
      </c>
      <c r="M103" s="70">
        <f t="shared" si="257"/>
        <v>0.03845864865</v>
      </c>
      <c r="N103" s="71">
        <f t="shared" si="258"/>
        <v>6409.774775</v>
      </c>
      <c r="O103" s="66">
        <f t="shared" si="259"/>
        <v>166666.6667</v>
      </c>
      <c r="P103" s="78">
        <v>185000.0</v>
      </c>
      <c r="Q103" s="73">
        <f t="shared" si="260"/>
        <v>3363.636364</v>
      </c>
      <c r="R103" s="74"/>
      <c r="S103" s="75"/>
      <c r="T103" s="66">
        <f t="shared" si="261"/>
        <v>0</v>
      </c>
      <c r="U103" s="66">
        <f t="shared" si="262"/>
        <v>0</v>
      </c>
      <c r="V103" s="66">
        <f t="shared" si="263"/>
        <v>0</v>
      </c>
      <c r="W103" s="66">
        <f t="shared" si="264"/>
        <v>0</v>
      </c>
      <c r="X103" s="68">
        <v>1250.0</v>
      </c>
      <c r="Y103" s="66">
        <f t="shared" si="265"/>
        <v>0</v>
      </c>
      <c r="Z103" s="69">
        <f t="shared" si="266"/>
        <v>1250</v>
      </c>
      <c r="AA103" s="70" t="str">
        <f t="shared" si="267"/>
        <v>#DIV/0!</v>
      </c>
      <c r="AB103" s="71">
        <f t="shared" si="268"/>
        <v>-1250</v>
      </c>
      <c r="AC103" s="66">
        <f t="shared" si="269"/>
        <v>0</v>
      </c>
      <c r="AD103" s="78"/>
      <c r="AE103" s="73" t="str">
        <f t="shared" si="270"/>
        <v>#DIV/0!</v>
      </c>
      <c r="AF103" s="76"/>
      <c r="AG103" s="75"/>
      <c r="AH103" s="66">
        <f t="shared" si="271"/>
        <v>0</v>
      </c>
      <c r="AI103" s="66">
        <f t="shared" si="272"/>
        <v>0</v>
      </c>
      <c r="AJ103" s="66">
        <f t="shared" si="273"/>
        <v>0</v>
      </c>
      <c r="AK103" s="66">
        <f t="shared" si="274"/>
        <v>0</v>
      </c>
      <c r="AL103" s="68">
        <v>1250.0</v>
      </c>
      <c r="AM103" s="66">
        <f t="shared" si="275"/>
        <v>0</v>
      </c>
      <c r="AN103" s="69">
        <f t="shared" si="276"/>
        <v>1250</v>
      </c>
      <c r="AO103" s="70" t="str">
        <f t="shared" si="277"/>
        <v>#DIV/0!</v>
      </c>
      <c r="AP103" s="71">
        <f t="shared" si="278"/>
        <v>-1250</v>
      </c>
      <c r="AQ103" s="66">
        <f t="shared" si="279"/>
        <v>0</v>
      </c>
      <c r="AR103" s="78"/>
      <c r="AS103" s="73" t="str">
        <f t="shared" si="280"/>
        <v>#DIV/0!</v>
      </c>
    </row>
    <row r="104">
      <c r="A104" s="106" t="s">
        <v>112</v>
      </c>
      <c r="B104" s="65">
        <f t="shared" si="248"/>
        <v>3700</v>
      </c>
      <c r="C104" s="65">
        <f t="shared" si="249"/>
        <v>3034</v>
      </c>
      <c r="D104" s="66">
        <f t="shared" si="250"/>
        <v>2733.333333</v>
      </c>
      <c r="E104" s="134">
        <v>55.0</v>
      </c>
      <c r="F104" s="66">
        <f t="shared" si="251"/>
        <v>25000</v>
      </c>
      <c r="G104" s="66">
        <f t="shared" si="252"/>
        <v>11250</v>
      </c>
      <c r="H104" s="66">
        <f t="shared" si="253"/>
        <v>20000</v>
      </c>
      <c r="I104" s="66">
        <f t="shared" si="254"/>
        <v>0</v>
      </c>
      <c r="J104" s="68">
        <v>1250.0</v>
      </c>
      <c r="K104" s="66">
        <f t="shared" si="255"/>
        <v>10523.33333</v>
      </c>
      <c r="L104" s="69">
        <f t="shared" si="256"/>
        <v>218356.6667</v>
      </c>
      <c r="M104" s="70">
        <f t="shared" si="257"/>
        <v>0.0304964</v>
      </c>
      <c r="N104" s="71">
        <f t="shared" si="258"/>
        <v>6868.558559</v>
      </c>
      <c r="O104" s="66">
        <f t="shared" si="259"/>
        <v>225225.2252</v>
      </c>
      <c r="P104" s="78">
        <v>250000.0</v>
      </c>
      <c r="Q104" s="73">
        <f t="shared" si="260"/>
        <v>4545.454545</v>
      </c>
      <c r="R104" s="74"/>
      <c r="S104" s="75"/>
      <c r="T104" s="66">
        <f t="shared" si="261"/>
        <v>0</v>
      </c>
      <c r="U104" s="66">
        <f t="shared" si="262"/>
        <v>0</v>
      </c>
      <c r="V104" s="66">
        <f t="shared" si="263"/>
        <v>0</v>
      </c>
      <c r="W104" s="66">
        <f t="shared" si="264"/>
        <v>0</v>
      </c>
      <c r="X104" s="68">
        <v>1250.0</v>
      </c>
      <c r="Y104" s="66">
        <f t="shared" si="265"/>
        <v>0</v>
      </c>
      <c r="Z104" s="69">
        <f t="shared" si="266"/>
        <v>1250</v>
      </c>
      <c r="AA104" s="70" t="str">
        <f t="shared" si="267"/>
        <v>#DIV/0!</v>
      </c>
      <c r="AB104" s="71">
        <f t="shared" si="268"/>
        <v>-1250</v>
      </c>
      <c r="AC104" s="66">
        <f t="shared" si="269"/>
        <v>0</v>
      </c>
      <c r="AD104" s="78"/>
      <c r="AE104" s="73" t="str">
        <f t="shared" si="270"/>
        <v>#DIV/0!</v>
      </c>
      <c r="AF104" s="76"/>
      <c r="AG104" s="75"/>
      <c r="AH104" s="66">
        <f t="shared" si="271"/>
        <v>0</v>
      </c>
      <c r="AI104" s="66">
        <f t="shared" si="272"/>
        <v>0</v>
      </c>
      <c r="AJ104" s="66">
        <f t="shared" si="273"/>
        <v>0</v>
      </c>
      <c r="AK104" s="66">
        <f t="shared" si="274"/>
        <v>0</v>
      </c>
      <c r="AL104" s="68">
        <v>1250.0</v>
      </c>
      <c r="AM104" s="66">
        <f t="shared" si="275"/>
        <v>0</v>
      </c>
      <c r="AN104" s="69">
        <f t="shared" si="276"/>
        <v>1250</v>
      </c>
      <c r="AO104" s="70" t="str">
        <f t="shared" si="277"/>
        <v>#DIV/0!</v>
      </c>
      <c r="AP104" s="71">
        <f t="shared" si="278"/>
        <v>-1250</v>
      </c>
      <c r="AQ104" s="66">
        <f t="shared" si="279"/>
        <v>0</v>
      </c>
      <c r="AR104" s="78"/>
      <c r="AS104" s="73" t="str">
        <f t="shared" si="280"/>
        <v>#DIV/0!</v>
      </c>
    </row>
    <row r="105">
      <c r="A105" s="106" t="s">
        <v>113</v>
      </c>
      <c r="B105" s="65">
        <f t="shared" ref="B105:B106" si="281">B91</f>
        <v>6500</v>
      </c>
      <c r="C105" s="65">
        <f t="shared" si="249"/>
        <v>5330</v>
      </c>
      <c r="D105" s="66">
        <f t="shared" si="250"/>
        <v>4801.801802</v>
      </c>
      <c r="E105" s="134">
        <v>30.0</v>
      </c>
      <c r="F105" s="66">
        <f t="shared" si="251"/>
        <v>23900</v>
      </c>
      <c r="G105" s="66">
        <f t="shared" si="252"/>
        <v>10755</v>
      </c>
      <c r="H105" s="66">
        <f t="shared" si="253"/>
        <v>19120</v>
      </c>
      <c r="I105" s="66">
        <f t="shared" si="254"/>
        <v>0</v>
      </c>
      <c r="J105" s="68">
        <v>1250.0</v>
      </c>
      <c r="K105" s="66">
        <f t="shared" si="255"/>
        <v>10083.78378</v>
      </c>
      <c r="L105" s="69">
        <f t="shared" si="256"/>
        <v>209162.8378</v>
      </c>
      <c r="M105" s="70">
        <f t="shared" si="257"/>
        <v>0.02857426778</v>
      </c>
      <c r="N105" s="71">
        <f t="shared" si="258"/>
        <v>6152.477477</v>
      </c>
      <c r="O105" s="66">
        <f t="shared" si="259"/>
        <v>215315.3153</v>
      </c>
      <c r="P105" s="78">
        <v>239000.0</v>
      </c>
      <c r="Q105" s="73">
        <f t="shared" si="260"/>
        <v>7966.666667</v>
      </c>
      <c r="R105" s="74"/>
      <c r="S105" s="75"/>
      <c r="T105" s="66">
        <f t="shared" si="261"/>
        <v>0</v>
      </c>
      <c r="U105" s="66">
        <f t="shared" si="262"/>
        <v>0</v>
      </c>
      <c r="V105" s="66">
        <f t="shared" si="263"/>
        <v>0</v>
      </c>
      <c r="W105" s="66">
        <f t="shared" si="264"/>
        <v>0</v>
      </c>
      <c r="X105" s="68">
        <v>1250.0</v>
      </c>
      <c r="Y105" s="66">
        <f t="shared" si="265"/>
        <v>0</v>
      </c>
      <c r="Z105" s="69">
        <f t="shared" si="266"/>
        <v>1250</v>
      </c>
      <c r="AA105" s="70" t="str">
        <f t="shared" si="267"/>
        <v>#DIV/0!</v>
      </c>
      <c r="AB105" s="71">
        <f t="shared" si="268"/>
        <v>-1250</v>
      </c>
      <c r="AC105" s="66">
        <f t="shared" si="269"/>
        <v>0</v>
      </c>
      <c r="AD105" s="78"/>
      <c r="AE105" s="73" t="str">
        <f t="shared" si="270"/>
        <v>#DIV/0!</v>
      </c>
      <c r="AF105" s="76"/>
      <c r="AG105" s="75"/>
      <c r="AH105" s="66">
        <f t="shared" si="271"/>
        <v>0</v>
      </c>
      <c r="AI105" s="66">
        <f t="shared" si="272"/>
        <v>0</v>
      </c>
      <c r="AJ105" s="66">
        <f t="shared" si="273"/>
        <v>0</v>
      </c>
      <c r="AK105" s="66">
        <f t="shared" si="274"/>
        <v>0</v>
      </c>
      <c r="AL105" s="68">
        <v>1250.0</v>
      </c>
      <c r="AM105" s="66">
        <f t="shared" si="275"/>
        <v>0</v>
      </c>
      <c r="AN105" s="69">
        <f t="shared" si="276"/>
        <v>1250</v>
      </c>
      <c r="AO105" s="70" t="str">
        <f t="shared" si="277"/>
        <v>#DIV/0!</v>
      </c>
      <c r="AP105" s="71">
        <f t="shared" si="278"/>
        <v>-1250</v>
      </c>
      <c r="AQ105" s="66">
        <f t="shared" si="279"/>
        <v>0</v>
      </c>
      <c r="AR105" s="78"/>
      <c r="AS105" s="73" t="str">
        <f t="shared" si="280"/>
        <v>#DIV/0!</v>
      </c>
    </row>
    <row r="106">
      <c r="A106" s="106" t="s">
        <v>114</v>
      </c>
      <c r="B106" s="81">
        <f t="shared" si="281"/>
        <v>11500</v>
      </c>
      <c r="C106" s="65">
        <f t="shared" si="249"/>
        <v>9430</v>
      </c>
      <c r="D106" s="66">
        <f t="shared" si="250"/>
        <v>8495.495495</v>
      </c>
      <c r="E106" s="138">
        <v>4.0</v>
      </c>
      <c r="F106" s="66">
        <f t="shared" si="251"/>
        <v>5700</v>
      </c>
      <c r="G106" s="66">
        <f t="shared" si="252"/>
        <v>2565</v>
      </c>
      <c r="H106" s="66">
        <f t="shared" si="253"/>
        <v>4560</v>
      </c>
      <c r="I106" s="66">
        <f t="shared" si="254"/>
        <v>0</v>
      </c>
      <c r="J106" s="68">
        <v>1250.0</v>
      </c>
      <c r="K106" s="66">
        <f t="shared" si="255"/>
        <v>2378.738739</v>
      </c>
      <c r="L106" s="69">
        <f t="shared" si="256"/>
        <v>50435.72072</v>
      </c>
      <c r="M106" s="70">
        <f t="shared" si="257"/>
        <v>0.01783070175</v>
      </c>
      <c r="N106" s="71">
        <f t="shared" si="258"/>
        <v>915.6306306</v>
      </c>
      <c r="O106" s="66">
        <f t="shared" si="259"/>
        <v>51351.35135</v>
      </c>
      <c r="P106" s="78">
        <v>57000.0</v>
      </c>
      <c r="Q106" s="73">
        <f t="shared" si="260"/>
        <v>14250</v>
      </c>
      <c r="R106" s="74"/>
      <c r="S106" s="75"/>
      <c r="T106" s="66">
        <f t="shared" si="261"/>
        <v>0</v>
      </c>
      <c r="U106" s="66">
        <f t="shared" si="262"/>
        <v>0</v>
      </c>
      <c r="V106" s="66">
        <f t="shared" si="263"/>
        <v>0</v>
      </c>
      <c r="W106" s="66">
        <f t="shared" si="264"/>
        <v>0</v>
      </c>
      <c r="X106" s="68">
        <v>1250.0</v>
      </c>
      <c r="Y106" s="66">
        <f t="shared" si="265"/>
        <v>0</v>
      </c>
      <c r="Z106" s="69">
        <f t="shared" si="266"/>
        <v>1250</v>
      </c>
      <c r="AA106" s="70" t="str">
        <f t="shared" si="267"/>
        <v>#DIV/0!</v>
      </c>
      <c r="AB106" s="71">
        <f t="shared" si="268"/>
        <v>-1250</v>
      </c>
      <c r="AC106" s="66">
        <f t="shared" si="269"/>
        <v>0</v>
      </c>
      <c r="AD106" s="78"/>
      <c r="AE106" s="73" t="str">
        <f t="shared" si="270"/>
        <v>#DIV/0!</v>
      </c>
      <c r="AF106" s="76"/>
      <c r="AG106" s="75"/>
      <c r="AH106" s="66">
        <f t="shared" si="271"/>
        <v>0</v>
      </c>
      <c r="AI106" s="66">
        <f t="shared" si="272"/>
        <v>0</v>
      </c>
      <c r="AJ106" s="66">
        <f t="shared" si="273"/>
        <v>0</v>
      </c>
      <c r="AK106" s="66">
        <f t="shared" si="274"/>
        <v>0</v>
      </c>
      <c r="AL106" s="68">
        <v>1250.0</v>
      </c>
      <c r="AM106" s="66">
        <f t="shared" si="275"/>
        <v>0</v>
      </c>
      <c r="AN106" s="69">
        <f t="shared" si="276"/>
        <v>1250</v>
      </c>
      <c r="AO106" s="70" t="str">
        <f t="shared" si="277"/>
        <v>#DIV/0!</v>
      </c>
      <c r="AP106" s="71">
        <f t="shared" si="278"/>
        <v>-1250</v>
      </c>
      <c r="AQ106" s="66">
        <f t="shared" si="279"/>
        <v>0</v>
      </c>
      <c r="AR106" s="78"/>
      <c r="AS106" s="73" t="str">
        <f t="shared" si="280"/>
        <v>#DIV/0!</v>
      </c>
    </row>
    <row r="107">
      <c r="A107" s="139" t="s">
        <v>115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140"/>
      <c r="S107" s="94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76"/>
      <c r="AG107" s="141"/>
      <c r="AH107" s="141"/>
      <c r="AI107" s="141"/>
      <c r="AJ107" s="141"/>
      <c r="AK107" s="141"/>
      <c r="AL107" s="141"/>
      <c r="AM107" s="141"/>
      <c r="AN107" s="141"/>
      <c r="AO107" s="141"/>
      <c r="AP107" s="141"/>
      <c r="AQ107" s="141"/>
      <c r="AR107" s="141"/>
      <c r="AS107" s="141"/>
      <c r="AT107" s="141"/>
      <c r="AU107" s="141"/>
      <c r="AV107" s="141"/>
      <c r="AW107" s="141"/>
      <c r="AX107" s="141"/>
      <c r="AY107" s="141"/>
      <c r="AZ107" s="141"/>
      <c r="BA107" s="141"/>
      <c r="BB107" s="141"/>
      <c r="BC107" s="141"/>
    </row>
    <row r="108">
      <c r="A108" s="106" t="s">
        <v>116</v>
      </c>
      <c r="B108" s="82">
        <f>B87+1000</f>
        <v>2951</v>
      </c>
      <c r="C108" s="65">
        <f>B108*$C$4</f>
        <v>2419.82</v>
      </c>
      <c r="D108" s="66">
        <f>C108/$D$4</f>
        <v>2180.018018</v>
      </c>
      <c r="E108" s="142">
        <v>1.0</v>
      </c>
      <c r="F108" s="66">
        <f>P108*$F$3</f>
        <v>3000</v>
      </c>
      <c r="G108" s="66">
        <f>P108*$G$3</f>
        <v>1350</v>
      </c>
      <c r="H108" s="66">
        <f>P108*$H$3</f>
        <v>2400</v>
      </c>
      <c r="I108" s="66">
        <f>P108*$I$3</f>
        <v>0</v>
      </c>
      <c r="J108" s="68">
        <v>1250.0</v>
      </c>
      <c r="K108" s="66">
        <f>D108*$K$3</f>
        <v>152.6012613</v>
      </c>
      <c r="L108" s="69">
        <f>(D108*E108)+F108+G108+H108+I108+J108+K108</f>
        <v>10332.61928</v>
      </c>
      <c r="M108" s="70">
        <f>N108/O108</f>
        <v>0.6176930867</v>
      </c>
      <c r="N108" s="71">
        <f>O108-L108</f>
        <v>16694.40775</v>
      </c>
      <c r="O108" s="66">
        <f>P108/$O$4</f>
        <v>27027.02703</v>
      </c>
      <c r="P108" s="78">
        <v>30000.0</v>
      </c>
      <c r="Q108" s="73">
        <f>P108/E108</f>
        <v>30000</v>
      </c>
      <c r="R108" s="74"/>
      <c r="AF108" s="76"/>
      <c r="AG108" s="75"/>
      <c r="AH108" s="66">
        <f>AR108*$AH$3</f>
        <v>0</v>
      </c>
      <c r="AI108" s="66">
        <f>AR108*$AI$3</f>
        <v>0</v>
      </c>
      <c r="AJ108" s="66">
        <f>AR108*$AJ$3</f>
        <v>0</v>
      </c>
      <c r="AK108" s="66">
        <f>AR108*$AK$3</f>
        <v>0</v>
      </c>
      <c r="AL108" s="68">
        <v>1250.0</v>
      </c>
      <c r="AM108" s="66">
        <f>AF108*$AM$3</f>
        <v>0</v>
      </c>
      <c r="AN108" s="69">
        <f>(R108*AG108)+AH108+AI108+AJ108+AK108+AL108+AM108</f>
        <v>1250</v>
      </c>
      <c r="AO108" s="70" t="str">
        <f>AP108/AQ108</f>
        <v>#DIV/0!</v>
      </c>
      <c r="AP108" s="71">
        <f>AQ108-AN108</f>
        <v>-1250</v>
      </c>
      <c r="AQ108" s="66">
        <f>AR108/$O$4</f>
        <v>0</v>
      </c>
      <c r="AR108" s="78"/>
      <c r="AS108" s="73" t="str">
        <f>AR108/AG108</f>
        <v>#DIV/0!</v>
      </c>
    </row>
    <row r="109" ht="33.75" customHeight="1">
      <c r="A109" s="182" t="s">
        <v>117</v>
      </c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37"/>
      <c r="S109" s="183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  <c r="AF109" s="76"/>
      <c r="AG109" s="184"/>
      <c r="AH109" s="184"/>
      <c r="AI109" s="184"/>
      <c r="AJ109" s="184"/>
      <c r="AK109" s="184"/>
      <c r="AL109" s="184"/>
      <c r="AM109" s="184"/>
      <c r="AN109" s="184"/>
      <c r="AO109" s="184"/>
      <c r="AP109" s="184"/>
      <c r="AQ109" s="184"/>
      <c r="AR109" s="184"/>
      <c r="AS109" s="184"/>
      <c r="AT109" s="184"/>
      <c r="AU109" s="184"/>
      <c r="AV109" s="184"/>
      <c r="AW109" s="184"/>
      <c r="AX109" s="184"/>
      <c r="AY109" s="184"/>
      <c r="AZ109" s="184"/>
      <c r="BA109" s="184"/>
      <c r="BB109" s="184"/>
      <c r="BC109" s="184"/>
    </row>
    <row r="110">
      <c r="A110" s="106" t="s">
        <v>118</v>
      </c>
      <c r="B110" s="111">
        <f>'HPP MALL'!B107</f>
        <v>3200</v>
      </c>
      <c r="C110" s="65">
        <f t="shared" ref="C110:C119" si="282">B110*$C$4</f>
        <v>2624</v>
      </c>
      <c r="D110" s="66">
        <f t="shared" ref="D110:D119" si="283">C110/$D$4</f>
        <v>2363.963964</v>
      </c>
      <c r="E110" s="134">
        <v>5.0</v>
      </c>
      <c r="F110" s="66">
        <f t="shared" ref="F110:F119" si="284">P110*$F$3</f>
        <v>2250</v>
      </c>
      <c r="G110" s="66">
        <f t="shared" ref="G110:G119" si="285">P110*$G$3</f>
        <v>1012.5</v>
      </c>
      <c r="H110" s="66">
        <f t="shared" ref="H110:H119" si="286">P110*$H$3</f>
        <v>1800</v>
      </c>
      <c r="I110" s="66">
        <f t="shared" ref="I110:I119" si="287">P110*$I$3</f>
        <v>0</v>
      </c>
      <c r="J110" s="68">
        <v>1250.0</v>
      </c>
      <c r="K110" s="66">
        <f t="shared" ref="K110:K119" si="288">D110*$K$3</f>
        <v>165.4774775</v>
      </c>
      <c r="L110" s="69">
        <f t="shared" ref="L110:L119" si="289">(D110*E110)+F110+G110+H110+I110+J110+K110</f>
        <v>18297.7973</v>
      </c>
      <c r="M110" s="70">
        <f t="shared" ref="M110:M119" si="290">N110/O110</f>
        <v>0.09730866667</v>
      </c>
      <c r="N110" s="71">
        <f t="shared" ref="N110:N119" si="291">O110-L110</f>
        <v>1972.472973</v>
      </c>
      <c r="O110" s="66">
        <f t="shared" ref="O110:O119" si="292">P110/$O$4</f>
        <v>20270.27027</v>
      </c>
      <c r="P110" s="78">
        <v>22500.0</v>
      </c>
      <c r="Q110" s="73">
        <f t="shared" ref="Q110:Q119" si="293">P110/E110</f>
        <v>4500</v>
      </c>
      <c r="R110" s="74"/>
      <c r="S110" s="75">
        <v>50.0</v>
      </c>
      <c r="T110" s="66">
        <f t="shared" ref="T110:T119" si="294">AD110*$T$3</f>
        <v>19900</v>
      </c>
      <c r="U110" s="66">
        <f t="shared" ref="U110:U119" si="295">AD110*$U$3</f>
        <v>9950</v>
      </c>
      <c r="V110" s="66">
        <f t="shared" ref="V110:V119" si="296">AD110*$V$3</f>
        <v>15920</v>
      </c>
      <c r="W110" s="66">
        <f t="shared" ref="W110:W119" si="297">AD110*$W$3</f>
        <v>0</v>
      </c>
      <c r="X110" s="68">
        <v>1250.0</v>
      </c>
      <c r="Y110" s="66">
        <f t="shared" ref="Y110:Y119" si="298">D110*$Y$3*S110</f>
        <v>8273.873874</v>
      </c>
      <c r="Z110" s="69">
        <f t="shared" ref="Z110:Z119" si="299">(D110*S110)+T110+U110+V110+W110+X110+Y110</f>
        <v>173492.0721</v>
      </c>
      <c r="AA110" s="70">
        <f t="shared" ref="AA110:AA119" si="300">AB110/AC110</f>
        <v>0.03228040201</v>
      </c>
      <c r="AB110" s="71">
        <f t="shared" ref="AB110:AB119" si="301">AC110-Z110</f>
        <v>5787.207207</v>
      </c>
      <c r="AC110" s="66">
        <f t="shared" ref="AC110:AC111" si="302">AD110/$O$4</f>
        <v>179279.2793</v>
      </c>
      <c r="AD110" s="78">
        <v>199000.0</v>
      </c>
      <c r="AE110" s="73">
        <f t="shared" ref="AE110:AE119" si="303">AD110/S110</f>
        <v>3980</v>
      </c>
      <c r="AF110" s="76"/>
      <c r="AG110" s="75"/>
      <c r="AH110" s="66">
        <f t="shared" ref="AH110:AH119" si="304">AR110*$AH$3</f>
        <v>0</v>
      </c>
      <c r="AI110" s="66">
        <f t="shared" ref="AI110:AI119" si="305">AR110*$AI$3</f>
        <v>0</v>
      </c>
      <c r="AJ110" s="66">
        <f t="shared" ref="AJ110:AJ119" si="306">AR110*$AJ$3</f>
        <v>0</v>
      </c>
      <c r="AK110" s="66">
        <f t="shared" ref="AK110:AK119" si="307">AR110*$AK$3</f>
        <v>0</v>
      </c>
      <c r="AL110" s="68">
        <v>1250.0</v>
      </c>
      <c r="AM110" s="66">
        <f t="shared" ref="AM110:AM119" si="308">AF110*$AM$3</f>
        <v>0</v>
      </c>
      <c r="AN110" s="69">
        <f t="shared" ref="AN110:AN119" si="309">(R110*AG110)+AH110+AI110+AJ110+AK110+AL110+AM110</f>
        <v>1250</v>
      </c>
      <c r="AO110" s="70" t="str">
        <f t="shared" ref="AO110:AO119" si="310">AP110/AQ110</f>
        <v>#DIV/0!</v>
      </c>
      <c r="AP110" s="71">
        <f t="shared" ref="AP110:AP119" si="311">AQ110-AN110</f>
        <v>-1250</v>
      </c>
      <c r="AQ110" s="66">
        <f t="shared" ref="AQ110:AQ119" si="312">AR110/$O$4</f>
        <v>0</v>
      </c>
      <c r="AR110" s="78"/>
      <c r="AS110" s="73" t="str">
        <f t="shared" ref="AS110:AS119" si="313">AR110/AG110</f>
        <v>#DIV/0!</v>
      </c>
    </row>
    <row r="111">
      <c r="A111" s="106" t="s">
        <v>119</v>
      </c>
      <c r="B111" s="111">
        <f>'HPP MALL'!B108</f>
        <v>3200</v>
      </c>
      <c r="C111" s="65">
        <f t="shared" si="282"/>
        <v>2624</v>
      </c>
      <c r="D111" s="66">
        <f t="shared" si="283"/>
        <v>2363.963964</v>
      </c>
      <c r="E111" s="134">
        <v>5.0</v>
      </c>
      <c r="F111" s="66">
        <f t="shared" si="284"/>
        <v>2250</v>
      </c>
      <c r="G111" s="66">
        <f t="shared" si="285"/>
        <v>1012.5</v>
      </c>
      <c r="H111" s="66">
        <f t="shared" si="286"/>
        <v>1800</v>
      </c>
      <c r="I111" s="66">
        <f t="shared" si="287"/>
        <v>0</v>
      </c>
      <c r="J111" s="68">
        <v>1250.0</v>
      </c>
      <c r="K111" s="66">
        <f t="shared" si="288"/>
        <v>165.4774775</v>
      </c>
      <c r="L111" s="69">
        <f t="shared" si="289"/>
        <v>18297.7973</v>
      </c>
      <c r="M111" s="70">
        <f t="shared" si="290"/>
        <v>0.09730866667</v>
      </c>
      <c r="N111" s="71">
        <f t="shared" si="291"/>
        <v>1972.472973</v>
      </c>
      <c r="O111" s="66">
        <f t="shared" si="292"/>
        <v>20270.27027</v>
      </c>
      <c r="P111" s="78">
        <v>22500.0</v>
      </c>
      <c r="Q111" s="73">
        <f t="shared" si="293"/>
        <v>4500</v>
      </c>
      <c r="R111" s="74"/>
      <c r="S111" s="75">
        <v>50.0</v>
      </c>
      <c r="T111" s="66">
        <f t="shared" si="294"/>
        <v>19900</v>
      </c>
      <c r="U111" s="66">
        <f t="shared" si="295"/>
        <v>9950</v>
      </c>
      <c r="V111" s="66">
        <f t="shared" si="296"/>
        <v>15920</v>
      </c>
      <c r="W111" s="66">
        <f t="shared" si="297"/>
        <v>0</v>
      </c>
      <c r="X111" s="68">
        <v>1250.0</v>
      </c>
      <c r="Y111" s="66">
        <f t="shared" si="298"/>
        <v>8273.873874</v>
      </c>
      <c r="Z111" s="69">
        <f t="shared" si="299"/>
        <v>173492.0721</v>
      </c>
      <c r="AA111" s="70">
        <f t="shared" si="300"/>
        <v>0.03228040201</v>
      </c>
      <c r="AB111" s="71">
        <f t="shared" si="301"/>
        <v>5787.207207</v>
      </c>
      <c r="AC111" s="66">
        <f t="shared" si="302"/>
        <v>179279.2793</v>
      </c>
      <c r="AD111" s="78">
        <v>199000.0</v>
      </c>
      <c r="AE111" s="73">
        <f t="shared" si="303"/>
        <v>3980</v>
      </c>
      <c r="AF111" s="76"/>
      <c r="AG111" s="75"/>
      <c r="AH111" s="66">
        <f t="shared" si="304"/>
        <v>0</v>
      </c>
      <c r="AI111" s="66">
        <f t="shared" si="305"/>
        <v>0</v>
      </c>
      <c r="AJ111" s="66">
        <f t="shared" si="306"/>
        <v>0</v>
      </c>
      <c r="AK111" s="66">
        <f t="shared" si="307"/>
        <v>0</v>
      </c>
      <c r="AL111" s="68">
        <v>1250.0</v>
      </c>
      <c r="AM111" s="66">
        <f t="shared" si="308"/>
        <v>0</v>
      </c>
      <c r="AN111" s="69">
        <f t="shared" si="309"/>
        <v>1250</v>
      </c>
      <c r="AO111" s="70" t="str">
        <f t="shared" si="310"/>
        <v>#DIV/0!</v>
      </c>
      <c r="AP111" s="71">
        <f t="shared" si="311"/>
        <v>-1250</v>
      </c>
      <c r="AQ111" s="66">
        <f t="shared" si="312"/>
        <v>0</v>
      </c>
      <c r="AR111" s="78"/>
      <c r="AS111" s="73" t="str">
        <f t="shared" si="313"/>
        <v>#DIV/0!</v>
      </c>
    </row>
    <row r="112">
      <c r="A112" s="106" t="s">
        <v>120</v>
      </c>
      <c r="B112" s="111">
        <f>'HPP MALL'!B109</f>
        <v>3100</v>
      </c>
      <c r="C112" s="65">
        <f t="shared" si="282"/>
        <v>2542</v>
      </c>
      <c r="D112" s="66">
        <f t="shared" si="283"/>
        <v>2290.09009</v>
      </c>
      <c r="E112" s="134">
        <v>5.0</v>
      </c>
      <c r="F112" s="66">
        <f t="shared" si="284"/>
        <v>2400</v>
      </c>
      <c r="G112" s="66">
        <f t="shared" si="285"/>
        <v>1080</v>
      </c>
      <c r="H112" s="66">
        <f t="shared" si="286"/>
        <v>1920</v>
      </c>
      <c r="I112" s="66">
        <f t="shared" si="287"/>
        <v>0</v>
      </c>
      <c r="J112" s="68">
        <v>1250.0</v>
      </c>
      <c r="K112" s="66">
        <f t="shared" si="288"/>
        <v>160.3063063</v>
      </c>
      <c r="L112" s="69">
        <f t="shared" si="289"/>
        <v>18260.75676</v>
      </c>
      <c r="M112" s="70">
        <f t="shared" si="290"/>
        <v>0.15544</v>
      </c>
      <c r="N112" s="71">
        <f t="shared" si="291"/>
        <v>3360.864865</v>
      </c>
      <c r="O112" s="66">
        <f t="shared" si="292"/>
        <v>21621.62162</v>
      </c>
      <c r="P112" s="78">
        <v>24000.0</v>
      </c>
      <c r="Q112" s="73">
        <f t="shared" si="293"/>
        <v>4800</v>
      </c>
      <c r="R112" s="74"/>
      <c r="S112" s="75">
        <v>50.0</v>
      </c>
      <c r="T112" s="66">
        <f t="shared" si="294"/>
        <v>17900</v>
      </c>
      <c r="U112" s="66">
        <f t="shared" si="295"/>
        <v>8950</v>
      </c>
      <c r="V112" s="66">
        <f t="shared" si="296"/>
        <v>14320</v>
      </c>
      <c r="W112" s="66">
        <f t="shared" si="297"/>
        <v>0</v>
      </c>
      <c r="X112" s="68">
        <v>1250.0</v>
      </c>
      <c r="Y112" s="66">
        <f t="shared" si="298"/>
        <v>8015.315315</v>
      </c>
      <c r="Z112" s="69">
        <f t="shared" si="299"/>
        <v>164939.8198</v>
      </c>
      <c r="AA112" s="70">
        <f t="shared" si="300"/>
        <v>0.01821535822</v>
      </c>
      <c r="AB112" s="71">
        <f t="shared" si="301"/>
        <v>3060.18018</v>
      </c>
      <c r="AC112" s="68">
        <v>168000.0</v>
      </c>
      <c r="AD112" s="78">
        <v>179000.0</v>
      </c>
      <c r="AE112" s="73">
        <f t="shared" si="303"/>
        <v>3580</v>
      </c>
      <c r="AF112" s="76"/>
      <c r="AG112" s="75"/>
      <c r="AH112" s="66">
        <f t="shared" si="304"/>
        <v>0</v>
      </c>
      <c r="AI112" s="66">
        <f t="shared" si="305"/>
        <v>0</v>
      </c>
      <c r="AJ112" s="66">
        <f t="shared" si="306"/>
        <v>0</v>
      </c>
      <c r="AK112" s="66">
        <f t="shared" si="307"/>
        <v>0</v>
      </c>
      <c r="AL112" s="68">
        <v>1250.0</v>
      </c>
      <c r="AM112" s="66">
        <f t="shared" si="308"/>
        <v>0</v>
      </c>
      <c r="AN112" s="69">
        <f t="shared" si="309"/>
        <v>1250</v>
      </c>
      <c r="AO112" s="70" t="str">
        <f t="shared" si="310"/>
        <v>#DIV/0!</v>
      </c>
      <c r="AP112" s="71">
        <f t="shared" si="311"/>
        <v>-1250</v>
      </c>
      <c r="AQ112" s="66">
        <f t="shared" si="312"/>
        <v>0</v>
      </c>
      <c r="AR112" s="78"/>
      <c r="AS112" s="73" t="str">
        <f t="shared" si="313"/>
        <v>#DIV/0!</v>
      </c>
    </row>
    <row r="113">
      <c r="A113" s="106" t="s">
        <v>121</v>
      </c>
      <c r="B113" s="111">
        <f>'HPP MALL'!B110</f>
        <v>4000</v>
      </c>
      <c r="C113" s="65">
        <f t="shared" si="282"/>
        <v>3280</v>
      </c>
      <c r="D113" s="66">
        <f t="shared" si="283"/>
        <v>2954.954955</v>
      </c>
      <c r="E113" s="124">
        <v>1.0</v>
      </c>
      <c r="F113" s="66">
        <f t="shared" si="284"/>
        <v>700</v>
      </c>
      <c r="G113" s="66">
        <f t="shared" si="285"/>
        <v>315</v>
      </c>
      <c r="H113" s="66">
        <f t="shared" si="286"/>
        <v>560</v>
      </c>
      <c r="I113" s="66">
        <f t="shared" si="287"/>
        <v>0</v>
      </c>
      <c r="J113" s="68">
        <v>1250.0</v>
      </c>
      <c r="K113" s="66">
        <f t="shared" si="288"/>
        <v>206.8468468</v>
      </c>
      <c r="L113" s="69">
        <f t="shared" si="289"/>
        <v>5986.801802</v>
      </c>
      <c r="M113" s="70">
        <f t="shared" si="290"/>
        <v>0.05066428571</v>
      </c>
      <c r="N113" s="71">
        <f t="shared" si="291"/>
        <v>319.5045045</v>
      </c>
      <c r="O113" s="66">
        <f t="shared" si="292"/>
        <v>6306.306306</v>
      </c>
      <c r="P113" s="78">
        <v>7000.0</v>
      </c>
      <c r="Q113" s="73">
        <f t="shared" si="293"/>
        <v>7000</v>
      </c>
      <c r="R113" s="74"/>
      <c r="S113" s="75">
        <v>50.0</v>
      </c>
      <c r="T113" s="66">
        <f t="shared" si="294"/>
        <v>24300</v>
      </c>
      <c r="U113" s="66">
        <f t="shared" si="295"/>
        <v>12150</v>
      </c>
      <c r="V113" s="66">
        <f t="shared" si="296"/>
        <v>19440</v>
      </c>
      <c r="W113" s="66">
        <f t="shared" si="297"/>
        <v>0</v>
      </c>
      <c r="X113" s="68">
        <v>1250.0</v>
      </c>
      <c r="Y113" s="66">
        <f t="shared" si="298"/>
        <v>10342.34234</v>
      </c>
      <c r="Z113" s="69">
        <f t="shared" si="299"/>
        <v>215230.0901</v>
      </c>
      <c r="AA113" s="70">
        <f t="shared" si="300"/>
        <v>0.01685020576</v>
      </c>
      <c r="AB113" s="71">
        <f t="shared" si="301"/>
        <v>3688.828829</v>
      </c>
      <c r="AC113" s="66">
        <f t="shared" ref="AC113:AC119" si="314">AD113/$O$4</f>
        <v>218918.9189</v>
      </c>
      <c r="AD113" s="78">
        <v>243000.0</v>
      </c>
      <c r="AE113" s="73">
        <f t="shared" si="303"/>
        <v>4860</v>
      </c>
      <c r="AF113" s="76"/>
      <c r="AG113" s="75"/>
      <c r="AH113" s="66">
        <f t="shared" si="304"/>
        <v>0</v>
      </c>
      <c r="AI113" s="66">
        <f t="shared" si="305"/>
        <v>0</v>
      </c>
      <c r="AJ113" s="66">
        <f t="shared" si="306"/>
        <v>0</v>
      </c>
      <c r="AK113" s="66">
        <f t="shared" si="307"/>
        <v>0</v>
      </c>
      <c r="AL113" s="68">
        <v>1250.0</v>
      </c>
      <c r="AM113" s="66">
        <f t="shared" si="308"/>
        <v>0</v>
      </c>
      <c r="AN113" s="69">
        <f t="shared" si="309"/>
        <v>1250</v>
      </c>
      <c r="AO113" s="70" t="str">
        <f t="shared" si="310"/>
        <v>#DIV/0!</v>
      </c>
      <c r="AP113" s="71">
        <f t="shared" si="311"/>
        <v>-1250</v>
      </c>
      <c r="AQ113" s="66">
        <f t="shared" si="312"/>
        <v>0</v>
      </c>
      <c r="AR113" s="78"/>
      <c r="AS113" s="73" t="str">
        <f t="shared" si="313"/>
        <v>#DIV/0!</v>
      </c>
    </row>
    <row r="114">
      <c r="A114" s="106" t="s">
        <v>122</v>
      </c>
      <c r="B114" s="111">
        <f>'HPP MALL'!B111</f>
        <v>5500</v>
      </c>
      <c r="C114" s="65">
        <f t="shared" si="282"/>
        <v>4510</v>
      </c>
      <c r="D114" s="66">
        <f t="shared" si="283"/>
        <v>4063.063063</v>
      </c>
      <c r="E114" s="134">
        <v>3.0</v>
      </c>
      <c r="F114" s="66">
        <f t="shared" si="284"/>
        <v>2160</v>
      </c>
      <c r="G114" s="66">
        <f t="shared" si="285"/>
        <v>972</v>
      </c>
      <c r="H114" s="66">
        <f t="shared" si="286"/>
        <v>1728</v>
      </c>
      <c r="I114" s="66">
        <f t="shared" si="287"/>
        <v>0</v>
      </c>
      <c r="J114" s="68">
        <v>1250.0</v>
      </c>
      <c r="K114" s="66">
        <f t="shared" si="288"/>
        <v>284.4144144</v>
      </c>
      <c r="L114" s="69">
        <f t="shared" si="289"/>
        <v>18583.6036</v>
      </c>
      <c r="M114" s="70">
        <f t="shared" si="290"/>
        <v>0.04500925926</v>
      </c>
      <c r="N114" s="71">
        <f t="shared" si="291"/>
        <v>875.8558559</v>
      </c>
      <c r="O114" s="66">
        <f t="shared" si="292"/>
        <v>19459.45946</v>
      </c>
      <c r="P114" s="78">
        <v>21600.0</v>
      </c>
      <c r="Q114" s="73">
        <f t="shared" si="293"/>
        <v>7200</v>
      </c>
      <c r="R114" s="74"/>
      <c r="S114" s="75">
        <v>25.0</v>
      </c>
      <c r="T114" s="66">
        <f t="shared" si="294"/>
        <v>16750</v>
      </c>
      <c r="U114" s="66">
        <f t="shared" si="295"/>
        <v>8375</v>
      </c>
      <c r="V114" s="66">
        <f t="shared" si="296"/>
        <v>13400</v>
      </c>
      <c r="W114" s="66">
        <f t="shared" si="297"/>
        <v>0</v>
      </c>
      <c r="X114" s="68">
        <v>1250.0</v>
      </c>
      <c r="Y114" s="66">
        <f t="shared" si="298"/>
        <v>7110.36036</v>
      </c>
      <c r="Z114" s="69">
        <f t="shared" si="299"/>
        <v>148461.9369</v>
      </c>
      <c r="AA114" s="70">
        <f t="shared" si="300"/>
        <v>0.01616268657</v>
      </c>
      <c r="AB114" s="71">
        <f t="shared" si="301"/>
        <v>2438.963964</v>
      </c>
      <c r="AC114" s="66">
        <f t="shared" si="314"/>
        <v>150900.9009</v>
      </c>
      <c r="AD114" s="78">
        <v>167500.0</v>
      </c>
      <c r="AE114" s="73">
        <f t="shared" si="303"/>
        <v>6700</v>
      </c>
      <c r="AF114" s="76"/>
      <c r="AG114" s="75"/>
      <c r="AH114" s="66">
        <f t="shared" si="304"/>
        <v>0</v>
      </c>
      <c r="AI114" s="66">
        <f t="shared" si="305"/>
        <v>0</v>
      </c>
      <c r="AJ114" s="66">
        <f t="shared" si="306"/>
        <v>0</v>
      </c>
      <c r="AK114" s="66">
        <f t="shared" si="307"/>
        <v>0</v>
      </c>
      <c r="AL114" s="68">
        <v>1250.0</v>
      </c>
      <c r="AM114" s="66">
        <f t="shared" si="308"/>
        <v>0</v>
      </c>
      <c r="AN114" s="69">
        <f t="shared" si="309"/>
        <v>1250</v>
      </c>
      <c r="AO114" s="70" t="str">
        <f t="shared" si="310"/>
        <v>#DIV/0!</v>
      </c>
      <c r="AP114" s="71">
        <f t="shared" si="311"/>
        <v>-1250</v>
      </c>
      <c r="AQ114" s="66">
        <f t="shared" si="312"/>
        <v>0</v>
      </c>
      <c r="AR114" s="78"/>
      <c r="AS114" s="73" t="str">
        <f t="shared" si="313"/>
        <v>#DIV/0!</v>
      </c>
    </row>
    <row r="115">
      <c r="A115" s="106" t="s">
        <v>123</v>
      </c>
      <c r="B115" s="111">
        <f>'HPP MALL'!B112</f>
        <v>6500</v>
      </c>
      <c r="C115" s="65">
        <f t="shared" si="282"/>
        <v>5330</v>
      </c>
      <c r="D115" s="66">
        <f t="shared" si="283"/>
        <v>4801.801802</v>
      </c>
      <c r="E115" s="124">
        <v>1.0</v>
      </c>
      <c r="F115" s="66">
        <f t="shared" si="284"/>
        <v>1000</v>
      </c>
      <c r="G115" s="66">
        <f t="shared" si="285"/>
        <v>450</v>
      </c>
      <c r="H115" s="66">
        <f t="shared" si="286"/>
        <v>800</v>
      </c>
      <c r="I115" s="66">
        <f t="shared" si="287"/>
        <v>0</v>
      </c>
      <c r="J115" s="68">
        <v>1250.0</v>
      </c>
      <c r="K115" s="66">
        <f t="shared" si="288"/>
        <v>336.1261261</v>
      </c>
      <c r="L115" s="69">
        <f t="shared" si="289"/>
        <v>8637.927928</v>
      </c>
      <c r="M115" s="70">
        <f t="shared" si="290"/>
        <v>0.04119</v>
      </c>
      <c r="N115" s="71">
        <f t="shared" si="291"/>
        <v>371.0810811</v>
      </c>
      <c r="O115" s="66">
        <f t="shared" si="292"/>
        <v>9009.009009</v>
      </c>
      <c r="P115" s="78">
        <v>10000.0</v>
      </c>
      <c r="Q115" s="73">
        <f t="shared" si="293"/>
        <v>10000</v>
      </c>
      <c r="R115" s="74"/>
      <c r="S115" s="75">
        <v>25.0</v>
      </c>
      <c r="T115" s="66">
        <f t="shared" si="294"/>
        <v>19780</v>
      </c>
      <c r="U115" s="66">
        <f t="shared" si="295"/>
        <v>9890</v>
      </c>
      <c r="V115" s="66">
        <f t="shared" si="296"/>
        <v>15824</v>
      </c>
      <c r="W115" s="66">
        <f t="shared" si="297"/>
        <v>0</v>
      </c>
      <c r="X115" s="68">
        <v>1250.0</v>
      </c>
      <c r="Y115" s="66">
        <f t="shared" si="298"/>
        <v>8403.153153</v>
      </c>
      <c r="Z115" s="69">
        <f t="shared" si="299"/>
        <v>175192.1982</v>
      </c>
      <c r="AA115" s="70">
        <f t="shared" si="300"/>
        <v>0.01686885743</v>
      </c>
      <c r="AB115" s="71">
        <f t="shared" si="301"/>
        <v>3006</v>
      </c>
      <c r="AC115" s="66">
        <f t="shared" si="314"/>
        <v>178198.1982</v>
      </c>
      <c r="AD115" s="78">
        <v>197800.0</v>
      </c>
      <c r="AE115" s="73">
        <f t="shared" si="303"/>
        <v>7912</v>
      </c>
      <c r="AF115" s="76"/>
      <c r="AG115" s="75"/>
      <c r="AH115" s="66">
        <f t="shared" si="304"/>
        <v>0</v>
      </c>
      <c r="AI115" s="66">
        <f t="shared" si="305"/>
        <v>0</v>
      </c>
      <c r="AJ115" s="66">
        <f t="shared" si="306"/>
        <v>0</v>
      </c>
      <c r="AK115" s="66">
        <f t="shared" si="307"/>
        <v>0</v>
      </c>
      <c r="AL115" s="68">
        <v>1250.0</v>
      </c>
      <c r="AM115" s="66">
        <f t="shared" si="308"/>
        <v>0</v>
      </c>
      <c r="AN115" s="69">
        <f t="shared" si="309"/>
        <v>1250</v>
      </c>
      <c r="AO115" s="70" t="str">
        <f t="shared" si="310"/>
        <v>#DIV/0!</v>
      </c>
      <c r="AP115" s="71">
        <f t="shared" si="311"/>
        <v>-1250</v>
      </c>
      <c r="AQ115" s="66">
        <f t="shared" si="312"/>
        <v>0</v>
      </c>
      <c r="AR115" s="78"/>
      <c r="AS115" s="73" t="str">
        <f t="shared" si="313"/>
        <v>#DIV/0!</v>
      </c>
    </row>
    <row r="116">
      <c r="A116" s="106" t="s">
        <v>124</v>
      </c>
      <c r="B116" s="111">
        <f>'HPP MALL'!B113</f>
        <v>10000</v>
      </c>
      <c r="C116" s="65">
        <f t="shared" si="282"/>
        <v>8200</v>
      </c>
      <c r="D116" s="66">
        <f t="shared" si="283"/>
        <v>7387.387387</v>
      </c>
      <c r="E116" s="124">
        <v>1.0</v>
      </c>
      <c r="F116" s="66">
        <f t="shared" si="284"/>
        <v>1350</v>
      </c>
      <c r="G116" s="66">
        <f t="shared" si="285"/>
        <v>607.5</v>
      </c>
      <c r="H116" s="66">
        <f t="shared" si="286"/>
        <v>1080</v>
      </c>
      <c r="I116" s="66">
        <f t="shared" si="287"/>
        <v>0</v>
      </c>
      <c r="J116" s="68">
        <v>1250.0</v>
      </c>
      <c r="K116" s="66">
        <f t="shared" si="288"/>
        <v>517.1171171</v>
      </c>
      <c r="L116" s="69">
        <f t="shared" si="289"/>
        <v>12192.0045</v>
      </c>
      <c r="M116" s="70">
        <f t="shared" si="290"/>
        <v>-0.002453703704</v>
      </c>
      <c r="N116" s="71">
        <f t="shared" si="291"/>
        <v>-29.84234234</v>
      </c>
      <c r="O116" s="66">
        <f t="shared" si="292"/>
        <v>12162.16216</v>
      </c>
      <c r="P116" s="78">
        <v>13500.0</v>
      </c>
      <c r="Q116" s="73">
        <f t="shared" si="293"/>
        <v>13500</v>
      </c>
      <c r="R116" s="74"/>
      <c r="S116" s="75"/>
      <c r="T116" s="66">
        <f t="shared" si="294"/>
        <v>0</v>
      </c>
      <c r="U116" s="66">
        <f t="shared" si="295"/>
        <v>0</v>
      </c>
      <c r="V116" s="66">
        <f t="shared" si="296"/>
        <v>0</v>
      </c>
      <c r="W116" s="66">
        <f t="shared" si="297"/>
        <v>0</v>
      </c>
      <c r="X116" s="68">
        <v>1250.0</v>
      </c>
      <c r="Y116" s="66">
        <f t="shared" si="298"/>
        <v>0</v>
      </c>
      <c r="Z116" s="69">
        <f t="shared" si="299"/>
        <v>1250</v>
      </c>
      <c r="AA116" s="70" t="str">
        <f t="shared" si="300"/>
        <v>#DIV/0!</v>
      </c>
      <c r="AB116" s="71">
        <f t="shared" si="301"/>
        <v>-1250</v>
      </c>
      <c r="AC116" s="66">
        <f t="shared" si="314"/>
        <v>0</v>
      </c>
      <c r="AD116" s="78"/>
      <c r="AE116" s="73" t="str">
        <f t="shared" si="303"/>
        <v>#DIV/0!</v>
      </c>
      <c r="AF116" s="76"/>
      <c r="AG116" s="75"/>
      <c r="AH116" s="66">
        <f t="shared" si="304"/>
        <v>0</v>
      </c>
      <c r="AI116" s="66">
        <f t="shared" si="305"/>
        <v>0</v>
      </c>
      <c r="AJ116" s="66">
        <f t="shared" si="306"/>
        <v>0</v>
      </c>
      <c r="AK116" s="66">
        <f t="shared" si="307"/>
        <v>0</v>
      </c>
      <c r="AL116" s="68">
        <v>1250.0</v>
      </c>
      <c r="AM116" s="66">
        <f t="shared" si="308"/>
        <v>0</v>
      </c>
      <c r="AN116" s="69">
        <f t="shared" si="309"/>
        <v>1250</v>
      </c>
      <c r="AO116" s="70" t="str">
        <f t="shared" si="310"/>
        <v>#DIV/0!</v>
      </c>
      <c r="AP116" s="71">
        <f t="shared" si="311"/>
        <v>-1250</v>
      </c>
      <c r="AQ116" s="66">
        <f t="shared" si="312"/>
        <v>0</v>
      </c>
      <c r="AR116" s="78"/>
      <c r="AS116" s="73" t="str">
        <f t="shared" si="313"/>
        <v>#DIV/0!</v>
      </c>
    </row>
    <row r="117">
      <c r="A117" s="106" t="s">
        <v>125</v>
      </c>
      <c r="B117" s="111">
        <f>'HPP MALL'!B114</f>
        <v>11500</v>
      </c>
      <c r="C117" s="65">
        <f t="shared" si="282"/>
        <v>9430</v>
      </c>
      <c r="D117" s="66">
        <f t="shared" si="283"/>
        <v>8495.495495</v>
      </c>
      <c r="E117" s="124">
        <v>1.0</v>
      </c>
      <c r="F117" s="66">
        <f t="shared" si="284"/>
        <v>1550</v>
      </c>
      <c r="G117" s="66">
        <f t="shared" si="285"/>
        <v>697.5</v>
      </c>
      <c r="H117" s="66">
        <f t="shared" si="286"/>
        <v>1240</v>
      </c>
      <c r="I117" s="66">
        <f t="shared" si="287"/>
        <v>0</v>
      </c>
      <c r="J117" s="68">
        <v>1250.0</v>
      </c>
      <c r="K117" s="66">
        <f t="shared" si="288"/>
        <v>594.6846847</v>
      </c>
      <c r="L117" s="69">
        <f t="shared" si="289"/>
        <v>13827.68018</v>
      </c>
      <c r="M117" s="70">
        <f t="shared" si="290"/>
        <v>0.009759677419</v>
      </c>
      <c r="N117" s="71">
        <f t="shared" si="291"/>
        <v>136.2837838</v>
      </c>
      <c r="O117" s="66">
        <f t="shared" si="292"/>
        <v>13963.96396</v>
      </c>
      <c r="P117" s="78">
        <v>15500.0</v>
      </c>
      <c r="Q117" s="73">
        <f t="shared" si="293"/>
        <v>15500</v>
      </c>
      <c r="R117" s="74"/>
      <c r="S117" s="75"/>
      <c r="T117" s="66">
        <f t="shared" si="294"/>
        <v>0</v>
      </c>
      <c r="U117" s="66">
        <f t="shared" si="295"/>
        <v>0</v>
      </c>
      <c r="V117" s="66">
        <f t="shared" si="296"/>
        <v>0</v>
      </c>
      <c r="W117" s="66">
        <f t="shared" si="297"/>
        <v>0</v>
      </c>
      <c r="X117" s="68">
        <v>1250.0</v>
      </c>
      <c r="Y117" s="66">
        <f t="shared" si="298"/>
        <v>0</v>
      </c>
      <c r="Z117" s="69">
        <f t="shared" si="299"/>
        <v>1250</v>
      </c>
      <c r="AA117" s="70" t="str">
        <f t="shared" si="300"/>
        <v>#DIV/0!</v>
      </c>
      <c r="AB117" s="71">
        <f t="shared" si="301"/>
        <v>-1250</v>
      </c>
      <c r="AC117" s="66">
        <f t="shared" si="314"/>
        <v>0</v>
      </c>
      <c r="AD117" s="78"/>
      <c r="AE117" s="73" t="str">
        <f t="shared" si="303"/>
        <v>#DIV/0!</v>
      </c>
      <c r="AF117" s="76"/>
      <c r="AG117" s="75"/>
      <c r="AH117" s="66">
        <f t="shared" si="304"/>
        <v>0</v>
      </c>
      <c r="AI117" s="66">
        <f t="shared" si="305"/>
        <v>0</v>
      </c>
      <c r="AJ117" s="66">
        <f t="shared" si="306"/>
        <v>0</v>
      </c>
      <c r="AK117" s="66">
        <f t="shared" si="307"/>
        <v>0</v>
      </c>
      <c r="AL117" s="68">
        <v>1250.0</v>
      </c>
      <c r="AM117" s="66">
        <f t="shared" si="308"/>
        <v>0</v>
      </c>
      <c r="AN117" s="69">
        <f t="shared" si="309"/>
        <v>1250</v>
      </c>
      <c r="AO117" s="70" t="str">
        <f t="shared" si="310"/>
        <v>#DIV/0!</v>
      </c>
      <c r="AP117" s="71">
        <f t="shared" si="311"/>
        <v>-1250</v>
      </c>
      <c r="AQ117" s="66">
        <f t="shared" si="312"/>
        <v>0</v>
      </c>
      <c r="AR117" s="78"/>
      <c r="AS117" s="73" t="str">
        <f t="shared" si="313"/>
        <v>#DIV/0!</v>
      </c>
    </row>
    <row r="118">
      <c r="A118" s="106" t="s">
        <v>126</v>
      </c>
      <c r="B118" s="111">
        <f>'HPP MALL'!B115</f>
        <v>4200</v>
      </c>
      <c r="C118" s="65">
        <f t="shared" si="282"/>
        <v>3444</v>
      </c>
      <c r="D118" s="66">
        <f t="shared" si="283"/>
        <v>3102.702703</v>
      </c>
      <c r="E118" s="124">
        <v>5.0</v>
      </c>
      <c r="F118" s="66">
        <f t="shared" si="284"/>
        <v>3200</v>
      </c>
      <c r="G118" s="66">
        <f t="shared" si="285"/>
        <v>1440</v>
      </c>
      <c r="H118" s="66">
        <f t="shared" si="286"/>
        <v>2560</v>
      </c>
      <c r="I118" s="66">
        <f t="shared" si="287"/>
        <v>0</v>
      </c>
      <c r="J118" s="68">
        <v>1250.0</v>
      </c>
      <c r="K118" s="66">
        <f t="shared" si="288"/>
        <v>217.1891892</v>
      </c>
      <c r="L118" s="69">
        <f t="shared" si="289"/>
        <v>24180.7027</v>
      </c>
      <c r="M118" s="70">
        <f t="shared" si="290"/>
        <v>0.161231875</v>
      </c>
      <c r="N118" s="71">
        <f t="shared" si="291"/>
        <v>4648.126126</v>
      </c>
      <c r="O118" s="66">
        <f t="shared" si="292"/>
        <v>28828.82883</v>
      </c>
      <c r="P118" s="78">
        <v>32000.0</v>
      </c>
      <c r="Q118" s="73">
        <f t="shared" si="293"/>
        <v>6400</v>
      </c>
      <c r="R118" s="74"/>
      <c r="S118" s="75">
        <v>50.0</v>
      </c>
      <c r="T118" s="66">
        <f t="shared" si="294"/>
        <v>25000</v>
      </c>
      <c r="U118" s="66">
        <f t="shared" si="295"/>
        <v>12500</v>
      </c>
      <c r="V118" s="66">
        <f t="shared" si="296"/>
        <v>20000</v>
      </c>
      <c r="W118" s="66">
        <f t="shared" si="297"/>
        <v>0</v>
      </c>
      <c r="X118" s="68">
        <v>1250.0</v>
      </c>
      <c r="Y118" s="66">
        <f t="shared" si="298"/>
        <v>10859.45946</v>
      </c>
      <c r="Z118" s="69">
        <f t="shared" si="299"/>
        <v>224744.5946</v>
      </c>
      <c r="AA118" s="70">
        <f t="shared" si="300"/>
        <v>0.002134</v>
      </c>
      <c r="AB118" s="71">
        <f t="shared" si="301"/>
        <v>480.6306306</v>
      </c>
      <c r="AC118" s="66">
        <f t="shared" si="314"/>
        <v>225225.2252</v>
      </c>
      <c r="AD118" s="78">
        <v>250000.0</v>
      </c>
      <c r="AE118" s="73">
        <f t="shared" si="303"/>
        <v>5000</v>
      </c>
      <c r="AF118" s="76"/>
      <c r="AG118" s="75"/>
      <c r="AH118" s="66">
        <f t="shared" si="304"/>
        <v>0</v>
      </c>
      <c r="AI118" s="66">
        <f t="shared" si="305"/>
        <v>0</v>
      </c>
      <c r="AJ118" s="66">
        <f t="shared" si="306"/>
        <v>0</v>
      </c>
      <c r="AK118" s="66">
        <f t="shared" si="307"/>
        <v>0</v>
      </c>
      <c r="AL118" s="68">
        <v>1250.0</v>
      </c>
      <c r="AM118" s="66">
        <f t="shared" si="308"/>
        <v>0</v>
      </c>
      <c r="AN118" s="69">
        <f t="shared" si="309"/>
        <v>1250</v>
      </c>
      <c r="AO118" s="70" t="str">
        <f t="shared" si="310"/>
        <v>#DIV/0!</v>
      </c>
      <c r="AP118" s="71">
        <f t="shared" si="311"/>
        <v>-1250</v>
      </c>
      <c r="AQ118" s="66">
        <f t="shared" si="312"/>
        <v>0</v>
      </c>
      <c r="AR118" s="78"/>
      <c r="AS118" s="73" t="str">
        <f t="shared" si="313"/>
        <v>#DIV/0!</v>
      </c>
    </row>
    <row r="119">
      <c r="A119" s="106" t="s">
        <v>127</v>
      </c>
      <c r="B119" s="111">
        <f>'HPP MALL'!B116</f>
        <v>5200</v>
      </c>
      <c r="C119" s="65">
        <f t="shared" si="282"/>
        <v>4264</v>
      </c>
      <c r="D119" s="66">
        <f t="shared" si="283"/>
        <v>3841.441441</v>
      </c>
      <c r="E119" s="124">
        <v>5.0</v>
      </c>
      <c r="F119" s="66">
        <f t="shared" si="284"/>
        <v>4300</v>
      </c>
      <c r="G119" s="66">
        <f t="shared" si="285"/>
        <v>1935</v>
      </c>
      <c r="H119" s="66">
        <f t="shared" si="286"/>
        <v>3440</v>
      </c>
      <c r="I119" s="66">
        <f t="shared" si="287"/>
        <v>0</v>
      </c>
      <c r="J119" s="68">
        <v>1250.0</v>
      </c>
      <c r="K119" s="66">
        <f t="shared" si="288"/>
        <v>268.9009009</v>
      </c>
      <c r="L119" s="69">
        <f t="shared" si="289"/>
        <v>30401.10811</v>
      </c>
      <c r="M119" s="70">
        <f t="shared" si="290"/>
        <v>0.2152272093</v>
      </c>
      <c r="N119" s="71">
        <f t="shared" si="291"/>
        <v>8337.630631</v>
      </c>
      <c r="O119" s="66">
        <f t="shared" si="292"/>
        <v>38738.73874</v>
      </c>
      <c r="P119" s="78">
        <v>43000.0</v>
      </c>
      <c r="Q119" s="73">
        <f t="shared" si="293"/>
        <v>8600</v>
      </c>
      <c r="R119" s="74"/>
      <c r="S119" s="75"/>
      <c r="T119" s="66">
        <f t="shared" si="294"/>
        <v>0</v>
      </c>
      <c r="U119" s="66">
        <f t="shared" si="295"/>
        <v>0</v>
      </c>
      <c r="V119" s="66">
        <f t="shared" si="296"/>
        <v>0</v>
      </c>
      <c r="W119" s="66">
        <f t="shared" si="297"/>
        <v>0</v>
      </c>
      <c r="X119" s="68">
        <v>1250.0</v>
      </c>
      <c r="Y119" s="66">
        <f t="shared" si="298"/>
        <v>0</v>
      </c>
      <c r="Z119" s="69">
        <f t="shared" si="299"/>
        <v>1250</v>
      </c>
      <c r="AA119" s="70" t="str">
        <f t="shared" si="300"/>
        <v>#DIV/0!</v>
      </c>
      <c r="AB119" s="71">
        <f t="shared" si="301"/>
        <v>-1250</v>
      </c>
      <c r="AC119" s="66">
        <f t="shared" si="314"/>
        <v>0</v>
      </c>
      <c r="AD119" s="78"/>
      <c r="AE119" s="73" t="str">
        <f t="shared" si="303"/>
        <v>#DIV/0!</v>
      </c>
      <c r="AF119" s="76"/>
      <c r="AG119" s="75"/>
      <c r="AH119" s="66">
        <f t="shared" si="304"/>
        <v>0</v>
      </c>
      <c r="AI119" s="66">
        <f t="shared" si="305"/>
        <v>0</v>
      </c>
      <c r="AJ119" s="66">
        <f t="shared" si="306"/>
        <v>0</v>
      </c>
      <c r="AK119" s="66">
        <f t="shared" si="307"/>
        <v>0</v>
      </c>
      <c r="AL119" s="68">
        <v>1250.0</v>
      </c>
      <c r="AM119" s="66">
        <f t="shared" si="308"/>
        <v>0</v>
      </c>
      <c r="AN119" s="69">
        <f t="shared" si="309"/>
        <v>1250</v>
      </c>
      <c r="AO119" s="70" t="str">
        <f t="shared" si="310"/>
        <v>#DIV/0!</v>
      </c>
      <c r="AP119" s="71">
        <f t="shared" si="311"/>
        <v>-1250</v>
      </c>
      <c r="AQ119" s="66">
        <f t="shared" si="312"/>
        <v>0</v>
      </c>
      <c r="AR119" s="78"/>
      <c r="AS119" s="73" t="str">
        <f t="shared" si="313"/>
        <v>#DIV/0!</v>
      </c>
    </row>
    <row r="120">
      <c r="A120" s="146" t="s">
        <v>128</v>
      </c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37"/>
      <c r="S120" s="147"/>
      <c r="T120" s="147"/>
      <c r="U120" s="148"/>
      <c r="V120" s="148"/>
      <c r="W120" s="148"/>
      <c r="X120" s="148"/>
      <c r="Y120" s="148"/>
      <c r="Z120" s="148"/>
      <c r="AA120" s="148"/>
      <c r="AB120" s="148"/>
      <c r="AC120" s="148"/>
      <c r="AD120" s="148"/>
      <c r="AE120" s="148"/>
      <c r="AF120" s="76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</row>
    <row r="121">
      <c r="A121" s="106" t="s">
        <v>129</v>
      </c>
      <c r="B121" s="108">
        <f>B110</f>
        <v>3200</v>
      </c>
      <c r="C121" s="65">
        <f t="shared" ref="C121:C125" si="315">B121*$C$4</f>
        <v>2624</v>
      </c>
      <c r="D121" s="66">
        <f t="shared" ref="D121:D127" si="316">C121/$D$4</f>
        <v>2363.963964</v>
      </c>
      <c r="E121" s="134">
        <v>6.0</v>
      </c>
      <c r="F121" s="66">
        <f t="shared" ref="F121:F127" si="317">P121*$F$3</f>
        <v>2500</v>
      </c>
      <c r="G121" s="66">
        <f t="shared" ref="G121:G127" si="318">P121*$G$3</f>
        <v>1125</v>
      </c>
      <c r="H121" s="66">
        <f t="shared" ref="H121:H127" si="319">P121*$H$3</f>
        <v>2000</v>
      </c>
      <c r="I121" s="66">
        <f t="shared" ref="I121:I127" si="320">P121*$I$3</f>
        <v>0</v>
      </c>
      <c r="J121" s="68">
        <v>1250.0</v>
      </c>
      <c r="K121" s="66">
        <f t="shared" ref="K121:K127" si="321">D121*$K$3</f>
        <v>165.4774775</v>
      </c>
      <c r="L121" s="69">
        <f t="shared" ref="L121:L127" si="322">(D121*E121)+F121+G121+H121+I121+J121+K121</f>
        <v>21224.26126</v>
      </c>
      <c r="M121" s="70">
        <f t="shared" ref="M121:M127" si="323">N121/O121</f>
        <v>0.0576428</v>
      </c>
      <c r="N121" s="71">
        <f t="shared" ref="N121:N127" si="324">O121-L121</f>
        <v>1298.261261</v>
      </c>
      <c r="O121" s="66">
        <f t="shared" ref="O121:O127" si="325">P121/$O$4</f>
        <v>22522.52252</v>
      </c>
      <c r="P121" s="78">
        <v>25000.0</v>
      </c>
      <c r="Q121" s="73">
        <f t="shared" ref="Q121:Q127" si="326">P121/E121</f>
        <v>4166.666667</v>
      </c>
      <c r="R121" s="74"/>
      <c r="S121" s="75"/>
      <c r="T121" s="66">
        <f t="shared" ref="T121:T127" si="327">AD121*$T$3</f>
        <v>0</v>
      </c>
      <c r="U121" s="66">
        <f t="shared" ref="U121:U127" si="328">AD121*$U$3</f>
        <v>0</v>
      </c>
      <c r="V121" s="66">
        <f t="shared" ref="V121:V127" si="329">AD121*$V$3</f>
        <v>0</v>
      </c>
      <c r="W121" s="66">
        <f t="shared" ref="W121:W127" si="330">AD121*$W$3</f>
        <v>0</v>
      </c>
      <c r="X121" s="68">
        <v>1250.0</v>
      </c>
      <c r="Y121" s="66">
        <f t="shared" ref="Y121:Y127" si="331">R121*$Y$3</f>
        <v>0</v>
      </c>
      <c r="Z121" s="69">
        <f t="shared" ref="Z121:Z127" si="332">(D121*S121)+T121+U121+V121+W121+X121+Y121</f>
        <v>1250</v>
      </c>
      <c r="AA121" s="70" t="str">
        <f t="shared" ref="AA121:AA127" si="333">AB121/AC121</f>
        <v>#DIV/0!</v>
      </c>
      <c r="AB121" s="71">
        <f t="shared" ref="AB121:AB127" si="334">AC121-Z121</f>
        <v>-1250</v>
      </c>
      <c r="AC121" s="66">
        <f t="shared" ref="AC121:AC127" si="335">AD121/$O$4</f>
        <v>0</v>
      </c>
      <c r="AD121" s="78"/>
      <c r="AE121" s="73" t="str">
        <f t="shared" ref="AE121:AE127" si="336">AD121/S121</f>
        <v>#DIV/0!</v>
      </c>
      <c r="AF121" s="76"/>
      <c r="AG121" s="75"/>
      <c r="AH121" s="66">
        <f t="shared" ref="AH121:AH127" si="337">AR121*$AH$3</f>
        <v>0</v>
      </c>
      <c r="AI121" s="66">
        <f t="shared" ref="AI121:AI127" si="338">AR121*$AI$3</f>
        <v>0</v>
      </c>
      <c r="AJ121" s="66">
        <f t="shared" ref="AJ121:AJ127" si="339">AR121*$AJ$3</f>
        <v>0</v>
      </c>
      <c r="AK121" s="66">
        <f t="shared" ref="AK121:AK127" si="340">AR121*$AK$3</f>
        <v>0</v>
      </c>
      <c r="AL121" s="68">
        <v>1250.0</v>
      </c>
      <c r="AM121" s="66">
        <f t="shared" ref="AM121:AM127" si="341">AF121*$AM$3</f>
        <v>0</v>
      </c>
      <c r="AN121" s="69">
        <f t="shared" ref="AN121:AN127" si="342">(R121*AG121)+AH121+AI121+AJ121+AK121+AL121+AM121</f>
        <v>1250</v>
      </c>
      <c r="AO121" s="70" t="str">
        <f t="shared" ref="AO121:AO127" si="343">AP121/AQ121</f>
        <v>#DIV/0!</v>
      </c>
      <c r="AP121" s="71">
        <f t="shared" ref="AP121:AP127" si="344">AQ121-AN121</f>
        <v>-1250</v>
      </c>
      <c r="AQ121" s="66">
        <f t="shared" ref="AQ121:AQ127" si="345">AR121/$O$4</f>
        <v>0</v>
      </c>
      <c r="AR121" s="78"/>
      <c r="AS121" s="73" t="str">
        <f t="shared" ref="AS121:AS127" si="346">AR121/AG121</f>
        <v>#DIV/0!</v>
      </c>
    </row>
    <row r="122">
      <c r="A122" s="106" t="s">
        <v>130</v>
      </c>
      <c r="B122" s="108">
        <f t="shared" ref="B122:B124" si="347">B112</f>
        <v>3100</v>
      </c>
      <c r="C122" s="65">
        <f t="shared" si="315"/>
        <v>2542</v>
      </c>
      <c r="D122" s="66">
        <f t="shared" si="316"/>
        <v>2290.09009</v>
      </c>
      <c r="E122" s="134">
        <v>6.0</v>
      </c>
      <c r="F122" s="66">
        <f t="shared" si="317"/>
        <v>2490</v>
      </c>
      <c r="G122" s="66">
        <f t="shared" si="318"/>
        <v>1120.5</v>
      </c>
      <c r="H122" s="66">
        <f t="shared" si="319"/>
        <v>1992</v>
      </c>
      <c r="I122" s="66">
        <f t="shared" si="320"/>
        <v>0</v>
      </c>
      <c r="J122" s="68">
        <v>1250.0</v>
      </c>
      <c r="K122" s="66">
        <f t="shared" si="321"/>
        <v>160.3063063</v>
      </c>
      <c r="L122" s="69">
        <f t="shared" si="322"/>
        <v>20753.34685</v>
      </c>
      <c r="M122" s="70">
        <f t="shared" si="323"/>
        <v>0.07485080321</v>
      </c>
      <c r="N122" s="71">
        <f t="shared" si="324"/>
        <v>1679.085586</v>
      </c>
      <c r="O122" s="66">
        <f t="shared" si="325"/>
        <v>22432.43243</v>
      </c>
      <c r="P122" s="78">
        <v>24900.0</v>
      </c>
      <c r="Q122" s="73">
        <f t="shared" si="326"/>
        <v>4150</v>
      </c>
      <c r="R122" s="74"/>
      <c r="S122" s="75"/>
      <c r="T122" s="66">
        <f t="shared" si="327"/>
        <v>0</v>
      </c>
      <c r="U122" s="66">
        <f t="shared" si="328"/>
        <v>0</v>
      </c>
      <c r="V122" s="66">
        <f t="shared" si="329"/>
        <v>0</v>
      </c>
      <c r="W122" s="66">
        <f t="shared" si="330"/>
        <v>0</v>
      </c>
      <c r="X122" s="68">
        <v>1250.0</v>
      </c>
      <c r="Y122" s="66">
        <f t="shared" si="331"/>
        <v>0</v>
      </c>
      <c r="Z122" s="69">
        <f t="shared" si="332"/>
        <v>1250</v>
      </c>
      <c r="AA122" s="70" t="str">
        <f t="shared" si="333"/>
        <v>#DIV/0!</v>
      </c>
      <c r="AB122" s="71">
        <f t="shared" si="334"/>
        <v>-1250</v>
      </c>
      <c r="AC122" s="66">
        <f t="shared" si="335"/>
        <v>0</v>
      </c>
      <c r="AD122" s="78"/>
      <c r="AE122" s="73" t="str">
        <f t="shared" si="336"/>
        <v>#DIV/0!</v>
      </c>
      <c r="AF122" s="76"/>
      <c r="AG122" s="75"/>
      <c r="AH122" s="66">
        <f t="shared" si="337"/>
        <v>0</v>
      </c>
      <c r="AI122" s="66">
        <f t="shared" si="338"/>
        <v>0</v>
      </c>
      <c r="AJ122" s="66">
        <f t="shared" si="339"/>
        <v>0</v>
      </c>
      <c r="AK122" s="66">
        <f t="shared" si="340"/>
        <v>0</v>
      </c>
      <c r="AL122" s="68">
        <v>1250.0</v>
      </c>
      <c r="AM122" s="66">
        <f t="shared" si="341"/>
        <v>0</v>
      </c>
      <c r="AN122" s="69">
        <f t="shared" si="342"/>
        <v>1250</v>
      </c>
      <c r="AO122" s="70" t="str">
        <f t="shared" si="343"/>
        <v>#DIV/0!</v>
      </c>
      <c r="AP122" s="71">
        <f t="shared" si="344"/>
        <v>-1250</v>
      </c>
      <c r="AQ122" s="66">
        <f t="shared" si="345"/>
        <v>0</v>
      </c>
      <c r="AR122" s="78"/>
      <c r="AS122" s="73" t="str">
        <f t="shared" si="346"/>
        <v>#DIV/0!</v>
      </c>
    </row>
    <row r="123">
      <c r="A123" s="106" t="s">
        <v>131</v>
      </c>
      <c r="B123" s="108">
        <f t="shared" si="347"/>
        <v>4000</v>
      </c>
      <c r="C123" s="65">
        <f t="shared" si="315"/>
        <v>3280</v>
      </c>
      <c r="D123" s="66">
        <f t="shared" si="316"/>
        <v>2954.954955</v>
      </c>
      <c r="E123" s="134">
        <v>6.0</v>
      </c>
      <c r="F123" s="66">
        <f t="shared" si="317"/>
        <v>3850</v>
      </c>
      <c r="G123" s="66">
        <f t="shared" si="318"/>
        <v>1732.5</v>
      </c>
      <c r="H123" s="66">
        <f t="shared" si="319"/>
        <v>3080</v>
      </c>
      <c r="I123" s="66">
        <f t="shared" si="320"/>
        <v>0</v>
      </c>
      <c r="J123" s="68">
        <v>1250.0</v>
      </c>
      <c r="K123" s="66">
        <f t="shared" si="321"/>
        <v>206.8468468</v>
      </c>
      <c r="L123" s="69">
        <f t="shared" si="322"/>
        <v>27849.07658</v>
      </c>
      <c r="M123" s="70">
        <f t="shared" si="323"/>
        <v>0.1970785714</v>
      </c>
      <c r="N123" s="71">
        <f t="shared" si="324"/>
        <v>6835.608108</v>
      </c>
      <c r="O123" s="66">
        <f t="shared" si="325"/>
        <v>34684.68468</v>
      </c>
      <c r="P123" s="78">
        <v>38500.0</v>
      </c>
      <c r="Q123" s="73">
        <f t="shared" si="326"/>
        <v>6416.666667</v>
      </c>
      <c r="R123" s="74"/>
      <c r="S123" s="75"/>
      <c r="T123" s="66">
        <f t="shared" si="327"/>
        <v>0</v>
      </c>
      <c r="U123" s="66">
        <f t="shared" si="328"/>
        <v>0</v>
      </c>
      <c r="V123" s="66">
        <f t="shared" si="329"/>
        <v>0</v>
      </c>
      <c r="W123" s="66">
        <f t="shared" si="330"/>
        <v>0</v>
      </c>
      <c r="X123" s="68">
        <v>1250.0</v>
      </c>
      <c r="Y123" s="66">
        <f t="shared" si="331"/>
        <v>0</v>
      </c>
      <c r="Z123" s="69">
        <f t="shared" si="332"/>
        <v>1250</v>
      </c>
      <c r="AA123" s="70" t="str">
        <f t="shared" si="333"/>
        <v>#DIV/0!</v>
      </c>
      <c r="AB123" s="71">
        <f t="shared" si="334"/>
        <v>-1250</v>
      </c>
      <c r="AC123" s="66">
        <f t="shared" si="335"/>
        <v>0</v>
      </c>
      <c r="AD123" s="78"/>
      <c r="AE123" s="73" t="str">
        <f t="shared" si="336"/>
        <v>#DIV/0!</v>
      </c>
      <c r="AF123" s="76"/>
      <c r="AG123" s="75"/>
      <c r="AH123" s="66">
        <f t="shared" si="337"/>
        <v>0</v>
      </c>
      <c r="AI123" s="66">
        <f t="shared" si="338"/>
        <v>0</v>
      </c>
      <c r="AJ123" s="66">
        <f t="shared" si="339"/>
        <v>0</v>
      </c>
      <c r="AK123" s="66">
        <f t="shared" si="340"/>
        <v>0</v>
      </c>
      <c r="AL123" s="68">
        <v>1250.0</v>
      </c>
      <c r="AM123" s="66">
        <f t="shared" si="341"/>
        <v>0</v>
      </c>
      <c r="AN123" s="69">
        <f t="shared" si="342"/>
        <v>1250</v>
      </c>
      <c r="AO123" s="70" t="str">
        <f t="shared" si="343"/>
        <v>#DIV/0!</v>
      </c>
      <c r="AP123" s="71">
        <f t="shared" si="344"/>
        <v>-1250</v>
      </c>
      <c r="AQ123" s="66">
        <f t="shared" si="345"/>
        <v>0</v>
      </c>
      <c r="AR123" s="78"/>
      <c r="AS123" s="73" t="str">
        <f t="shared" si="346"/>
        <v>#DIV/0!</v>
      </c>
    </row>
    <row r="124">
      <c r="A124" s="106" t="s">
        <v>132</v>
      </c>
      <c r="B124" s="108">
        <f t="shared" si="347"/>
        <v>5500</v>
      </c>
      <c r="C124" s="65">
        <f t="shared" si="315"/>
        <v>4510</v>
      </c>
      <c r="D124" s="66">
        <f t="shared" si="316"/>
        <v>4063.063063</v>
      </c>
      <c r="E124" s="134">
        <v>6.0</v>
      </c>
      <c r="F124" s="66">
        <f t="shared" si="317"/>
        <v>4100</v>
      </c>
      <c r="G124" s="66">
        <f t="shared" si="318"/>
        <v>1845</v>
      </c>
      <c r="H124" s="66">
        <f t="shared" si="319"/>
        <v>3280</v>
      </c>
      <c r="I124" s="66">
        <f t="shared" si="320"/>
        <v>0</v>
      </c>
      <c r="J124" s="68">
        <v>1250.0</v>
      </c>
      <c r="K124" s="66">
        <f t="shared" si="321"/>
        <v>284.4144144</v>
      </c>
      <c r="L124" s="69">
        <f t="shared" si="322"/>
        <v>35137.79279</v>
      </c>
      <c r="M124" s="70">
        <f t="shared" si="323"/>
        <v>0.04870853659</v>
      </c>
      <c r="N124" s="71">
        <f t="shared" si="324"/>
        <v>1799.144144</v>
      </c>
      <c r="O124" s="66">
        <f t="shared" si="325"/>
        <v>36936.93694</v>
      </c>
      <c r="P124" s="78">
        <v>41000.0</v>
      </c>
      <c r="Q124" s="73">
        <f t="shared" si="326"/>
        <v>6833.333333</v>
      </c>
      <c r="R124" s="74"/>
      <c r="S124" s="75"/>
      <c r="T124" s="66">
        <f t="shared" si="327"/>
        <v>0</v>
      </c>
      <c r="U124" s="66">
        <f t="shared" si="328"/>
        <v>0</v>
      </c>
      <c r="V124" s="66">
        <f t="shared" si="329"/>
        <v>0</v>
      </c>
      <c r="W124" s="66">
        <f t="shared" si="330"/>
        <v>0</v>
      </c>
      <c r="X124" s="68">
        <v>1250.0</v>
      </c>
      <c r="Y124" s="66">
        <f t="shared" si="331"/>
        <v>0</v>
      </c>
      <c r="Z124" s="69">
        <f t="shared" si="332"/>
        <v>1250</v>
      </c>
      <c r="AA124" s="70" t="str">
        <f t="shared" si="333"/>
        <v>#DIV/0!</v>
      </c>
      <c r="AB124" s="71">
        <f t="shared" si="334"/>
        <v>-1250</v>
      </c>
      <c r="AC124" s="66">
        <f t="shared" si="335"/>
        <v>0</v>
      </c>
      <c r="AD124" s="78"/>
      <c r="AE124" s="73" t="str">
        <f t="shared" si="336"/>
        <v>#DIV/0!</v>
      </c>
      <c r="AF124" s="76"/>
      <c r="AG124" s="75"/>
      <c r="AH124" s="66">
        <f t="shared" si="337"/>
        <v>0</v>
      </c>
      <c r="AI124" s="66">
        <f t="shared" si="338"/>
        <v>0</v>
      </c>
      <c r="AJ124" s="66">
        <f t="shared" si="339"/>
        <v>0</v>
      </c>
      <c r="AK124" s="66">
        <f t="shared" si="340"/>
        <v>0</v>
      </c>
      <c r="AL124" s="68">
        <v>1250.0</v>
      </c>
      <c r="AM124" s="66">
        <f t="shared" si="341"/>
        <v>0</v>
      </c>
      <c r="AN124" s="69">
        <f t="shared" si="342"/>
        <v>1250</v>
      </c>
      <c r="AO124" s="70" t="str">
        <f t="shared" si="343"/>
        <v>#DIV/0!</v>
      </c>
      <c r="AP124" s="71">
        <f t="shared" si="344"/>
        <v>-1250</v>
      </c>
      <c r="AQ124" s="66">
        <f t="shared" si="345"/>
        <v>0</v>
      </c>
      <c r="AR124" s="78"/>
      <c r="AS124" s="73" t="str">
        <f t="shared" si="346"/>
        <v>#DIV/0!</v>
      </c>
    </row>
    <row r="125">
      <c r="A125" s="149" t="s">
        <v>133</v>
      </c>
      <c r="B125" s="108">
        <f>B117</f>
        <v>11500</v>
      </c>
      <c r="C125" s="65">
        <f t="shared" si="315"/>
        <v>9430</v>
      </c>
      <c r="D125" s="66">
        <f t="shared" si="316"/>
        <v>8495.495495</v>
      </c>
      <c r="E125" s="134">
        <v>4.0</v>
      </c>
      <c r="F125" s="66">
        <f t="shared" si="317"/>
        <v>5300</v>
      </c>
      <c r="G125" s="66">
        <f t="shared" si="318"/>
        <v>2385</v>
      </c>
      <c r="H125" s="66">
        <f t="shared" si="319"/>
        <v>4240</v>
      </c>
      <c r="I125" s="66">
        <f t="shared" si="320"/>
        <v>0</v>
      </c>
      <c r="J125" s="68">
        <v>1250.0</v>
      </c>
      <c r="K125" s="66">
        <f t="shared" si="321"/>
        <v>594.6846847</v>
      </c>
      <c r="L125" s="69">
        <f t="shared" si="322"/>
        <v>47751.66667</v>
      </c>
      <c r="M125" s="70">
        <f t="shared" si="323"/>
        <v>-0.0000820754717</v>
      </c>
      <c r="N125" s="71">
        <f t="shared" si="324"/>
        <v>-3.918918919</v>
      </c>
      <c r="O125" s="66">
        <f t="shared" si="325"/>
        <v>47747.74775</v>
      </c>
      <c r="P125" s="78">
        <v>53000.0</v>
      </c>
      <c r="Q125" s="73">
        <f t="shared" si="326"/>
        <v>13250</v>
      </c>
      <c r="R125" s="74"/>
      <c r="S125" s="75"/>
      <c r="T125" s="66">
        <f t="shared" si="327"/>
        <v>0</v>
      </c>
      <c r="U125" s="66">
        <f t="shared" si="328"/>
        <v>0</v>
      </c>
      <c r="V125" s="66">
        <f t="shared" si="329"/>
        <v>0</v>
      </c>
      <c r="W125" s="66">
        <f t="shared" si="330"/>
        <v>0</v>
      </c>
      <c r="X125" s="68">
        <v>1250.0</v>
      </c>
      <c r="Y125" s="66">
        <f t="shared" si="331"/>
        <v>0</v>
      </c>
      <c r="Z125" s="69">
        <f t="shared" si="332"/>
        <v>1250</v>
      </c>
      <c r="AA125" s="70" t="str">
        <f t="shared" si="333"/>
        <v>#DIV/0!</v>
      </c>
      <c r="AB125" s="71">
        <f t="shared" si="334"/>
        <v>-1250</v>
      </c>
      <c r="AC125" s="66">
        <f t="shared" si="335"/>
        <v>0</v>
      </c>
      <c r="AD125" s="78"/>
      <c r="AE125" s="73" t="str">
        <f t="shared" si="336"/>
        <v>#DIV/0!</v>
      </c>
      <c r="AF125" s="76"/>
      <c r="AG125" s="75"/>
      <c r="AH125" s="66">
        <f t="shared" si="337"/>
        <v>0</v>
      </c>
      <c r="AI125" s="66">
        <f t="shared" si="338"/>
        <v>0</v>
      </c>
      <c r="AJ125" s="66">
        <f t="shared" si="339"/>
        <v>0</v>
      </c>
      <c r="AK125" s="66">
        <f t="shared" si="340"/>
        <v>0</v>
      </c>
      <c r="AL125" s="68">
        <v>1250.0</v>
      </c>
      <c r="AM125" s="66">
        <f t="shared" si="341"/>
        <v>0</v>
      </c>
      <c r="AN125" s="69">
        <f t="shared" si="342"/>
        <v>1250</v>
      </c>
      <c r="AO125" s="70" t="str">
        <f t="shared" si="343"/>
        <v>#DIV/0!</v>
      </c>
      <c r="AP125" s="71">
        <f t="shared" si="344"/>
        <v>-1250</v>
      </c>
      <c r="AQ125" s="66">
        <f t="shared" si="345"/>
        <v>0</v>
      </c>
      <c r="AR125" s="78"/>
      <c r="AS125" s="73" t="str">
        <f t="shared" si="346"/>
        <v>#DIV/0!</v>
      </c>
    </row>
    <row r="126">
      <c r="A126" s="106" t="s">
        <v>134</v>
      </c>
      <c r="B126" s="111">
        <v>28300.0</v>
      </c>
      <c r="C126" s="65">
        <f t="shared" ref="C126:C127" si="348">B126</f>
        <v>28300</v>
      </c>
      <c r="D126" s="66">
        <f t="shared" si="316"/>
        <v>25495.4955</v>
      </c>
      <c r="E126" s="124">
        <v>1.0</v>
      </c>
      <c r="F126" s="66">
        <f t="shared" si="317"/>
        <v>4270</v>
      </c>
      <c r="G126" s="66">
        <f t="shared" si="318"/>
        <v>1921.5</v>
      </c>
      <c r="H126" s="66">
        <f t="shared" si="319"/>
        <v>3416</v>
      </c>
      <c r="I126" s="66">
        <f t="shared" si="320"/>
        <v>0</v>
      </c>
      <c r="J126" s="68">
        <v>1250.0</v>
      </c>
      <c r="K126" s="66">
        <f t="shared" si="321"/>
        <v>1784.684685</v>
      </c>
      <c r="L126" s="69">
        <f t="shared" si="322"/>
        <v>38137.68018</v>
      </c>
      <c r="M126" s="70">
        <f t="shared" si="323"/>
        <v>0.008598946136</v>
      </c>
      <c r="N126" s="71">
        <f t="shared" si="324"/>
        <v>330.7882883</v>
      </c>
      <c r="O126" s="66">
        <f t="shared" si="325"/>
        <v>38468.46847</v>
      </c>
      <c r="P126" s="78">
        <v>42700.0</v>
      </c>
      <c r="Q126" s="73">
        <f t="shared" si="326"/>
        <v>42700</v>
      </c>
      <c r="R126" s="74"/>
      <c r="S126" s="75"/>
      <c r="T126" s="66">
        <f t="shared" si="327"/>
        <v>0</v>
      </c>
      <c r="U126" s="66">
        <f t="shared" si="328"/>
        <v>0</v>
      </c>
      <c r="V126" s="66">
        <f t="shared" si="329"/>
        <v>0</v>
      </c>
      <c r="W126" s="66">
        <f t="shared" si="330"/>
        <v>0</v>
      </c>
      <c r="X126" s="68">
        <v>1250.0</v>
      </c>
      <c r="Y126" s="66">
        <f t="shared" si="331"/>
        <v>0</v>
      </c>
      <c r="Z126" s="69">
        <f t="shared" si="332"/>
        <v>1250</v>
      </c>
      <c r="AA126" s="70" t="str">
        <f t="shared" si="333"/>
        <v>#DIV/0!</v>
      </c>
      <c r="AB126" s="71">
        <f t="shared" si="334"/>
        <v>-1250</v>
      </c>
      <c r="AC126" s="66">
        <f t="shared" si="335"/>
        <v>0</v>
      </c>
      <c r="AD126" s="78"/>
      <c r="AE126" s="73" t="str">
        <f t="shared" si="336"/>
        <v>#DIV/0!</v>
      </c>
      <c r="AF126" s="76"/>
      <c r="AG126" s="75"/>
      <c r="AH126" s="66">
        <f t="shared" si="337"/>
        <v>0</v>
      </c>
      <c r="AI126" s="66">
        <f t="shared" si="338"/>
        <v>0</v>
      </c>
      <c r="AJ126" s="66">
        <f t="shared" si="339"/>
        <v>0</v>
      </c>
      <c r="AK126" s="66">
        <f t="shared" si="340"/>
        <v>0</v>
      </c>
      <c r="AL126" s="68">
        <v>1250.0</v>
      </c>
      <c r="AM126" s="66">
        <f t="shared" si="341"/>
        <v>0</v>
      </c>
      <c r="AN126" s="69">
        <f t="shared" si="342"/>
        <v>1250</v>
      </c>
      <c r="AO126" s="70" t="str">
        <f t="shared" si="343"/>
        <v>#DIV/0!</v>
      </c>
      <c r="AP126" s="71">
        <f t="shared" si="344"/>
        <v>-1250</v>
      </c>
      <c r="AQ126" s="66">
        <f t="shared" si="345"/>
        <v>0</v>
      </c>
      <c r="AR126" s="78"/>
      <c r="AS126" s="73" t="str">
        <f t="shared" si="346"/>
        <v>#DIV/0!</v>
      </c>
    </row>
    <row r="127">
      <c r="A127" s="106" t="s">
        <v>135</v>
      </c>
      <c r="B127" s="111">
        <v>33700.0</v>
      </c>
      <c r="C127" s="65">
        <f t="shared" si="348"/>
        <v>33700</v>
      </c>
      <c r="D127" s="66">
        <f t="shared" si="316"/>
        <v>30360.36036</v>
      </c>
      <c r="E127" s="124">
        <v>1.0</v>
      </c>
      <c r="F127" s="66">
        <f t="shared" si="317"/>
        <v>4990</v>
      </c>
      <c r="G127" s="66">
        <f t="shared" si="318"/>
        <v>2245.5</v>
      </c>
      <c r="H127" s="66">
        <f t="shared" si="319"/>
        <v>3992</v>
      </c>
      <c r="I127" s="66">
        <f t="shared" si="320"/>
        <v>0</v>
      </c>
      <c r="J127" s="68">
        <v>1250.0</v>
      </c>
      <c r="K127" s="66">
        <f t="shared" si="321"/>
        <v>2125.225225</v>
      </c>
      <c r="L127" s="69">
        <f t="shared" si="322"/>
        <v>44963.08559</v>
      </c>
      <c r="M127" s="70">
        <f t="shared" si="323"/>
        <v>-0.0001808617234</v>
      </c>
      <c r="N127" s="71">
        <f t="shared" si="324"/>
        <v>-8.130630631</v>
      </c>
      <c r="O127" s="66">
        <f t="shared" si="325"/>
        <v>44954.95495</v>
      </c>
      <c r="P127" s="78">
        <v>49900.0</v>
      </c>
      <c r="Q127" s="73">
        <f t="shared" si="326"/>
        <v>49900</v>
      </c>
      <c r="R127" s="74"/>
      <c r="S127" s="75"/>
      <c r="T127" s="66">
        <f t="shared" si="327"/>
        <v>0</v>
      </c>
      <c r="U127" s="66">
        <f t="shared" si="328"/>
        <v>0</v>
      </c>
      <c r="V127" s="66">
        <f t="shared" si="329"/>
        <v>0</v>
      </c>
      <c r="W127" s="66">
        <f t="shared" si="330"/>
        <v>0</v>
      </c>
      <c r="X127" s="68">
        <v>1250.0</v>
      </c>
      <c r="Y127" s="66">
        <f t="shared" si="331"/>
        <v>0</v>
      </c>
      <c r="Z127" s="69">
        <f t="shared" si="332"/>
        <v>1250</v>
      </c>
      <c r="AA127" s="70" t="str">
        <f t="shared" si="333"/>
        <v>#DIV/0!</v>
      </c>
      <c r="AB127" s="71">
        <f t="shared" si="334"/>
        <v>-1250</v>
      </c>
      <c r="AC127" s="66">
        <f t="shared" si="335"/>
        <v>0</v>
      </c>
      <c r="AD127" s="78"/>
      <c r="AE127" s="73" t="str">
        <f t="shared" si="336"/>
        <v>#DIV/0!</v>
      </c>
      <c r="AF127" s="76"/>
      <c r="AG127" s="75"/>
      <c r="AH127" s="66">
        <f t="shared" si="337"/>
        <v>0</v>
      </c>
      <c r="AI127" s="66">
        <f t="shared" si="338"/>
        <v>0</v>
      </c>
      <c r="AJ127" s="66">
        <f t="shared" si="339"/>
        <v>0</v>
      </c>
      <c r="AK127" s="66">
        <f t="shared" si="340"/>
        <v>0</v>
      </c>
      <c r="AL127" s="68">
        <v>1250.0</v>
      </c>
      <c r="AM127" s="66">
        <f t="shared" si="341"/>
        <v>0</v>
      </c>
      <c r="AN127" s="69">
        <f t="shared" si="342"/>
        <v>1250</v>
      </c>
      <c r="AO127" s="70" t="str">
        <f t="shared" si="343"/>
        <v>#DIV/0!</v>
      </c>
      <c r="AP127" s="71">
        <f t="shared" si="344"/>
        <v>-1250</v>
      </c>
      <c r="AQ127" s="66">
        <f t="shared" si="345"/>
        <v>0</v>
      </c>
      <c r="AR127" s="78"/>
      <c r="AS127" s="73" t="str">
        <f t="shared" si="346"/>
        <v>#DIV/0!</v>
      </c>
    </row>
    <row r="128">
      <c r="A128" s="150" t="s">
        <v>136</v>
      </c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140"/>
      <c r="S128" s="94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76"/>
      <c r="AG128" s="141"/>
      <c r="AH128" s="141"/>
      <c r="AI128" s="141"/>
      <c r="AJ128" s="141"/>
      <c r="AK128" s="141"/>
      <c r="AL128" s="141"/>
      <c r="AM128" s="141"/>
      <c r="AN128" s="141"/>
      <c r="AO128" s="141"/>
      <c r="AP128" s="141"/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A128" s="141"/>
      <c r="BB128" s="141"/>
      <c r="BC128" s="141"/>
    </row>
    <row r="129">
      <c r="A129" s="106" t="s">
        <v>137</v>
      </c>
      <c r="B129" s="66">
        <f>B110*5+B13</f>
        <v>21900</v>
      </c>
      <c r="C129" s="65">
        <f t="shared" ref="C129:C132" si="349">B129*$C$4</f>
        <v>17958</v>
      </c>
      <c r="D129" s="66">
        <f t="shared" ref="D129:D132" si="350">C129/$D$4</f>
        <v>16178.37838</v>
      </c>
      <c r="E129" s="124">
        <v>1.0</v>
      </c>
      <c r="F129" s="66">
        <f t="shared" ref="F129:F133" si="351">P129*$F$3</f>
        <v>2990</v>
      </c>
      <c r="G129" s="66">
        <f t="shared" ref="G129:G133" si="352">P129*$G$3</f>
        <v>1345.5</v>
      </c>
      <c r="H129" s="66">
        <f t="shared" ref="H129:H133" si="353">P129*$H$3</f>
        <v>2392</v>
      </c>
      <c r="I129" s="66">
        <f t="shared" ref="I129:I133" si="354">P129*$I$3</f>
        <v>0</v>
      </c>
      <c r="J129" s="68">
        <v>1250.0</v>
      </c>
      <c r="K129" s="66">
        <f t="shared" ref="K129:K133" si="355">D129*$K$3</f>
        <v>1132.486486</v>
      </c>
      <c r="L129" s="69">
        <f t="shared" ref="L129:L133" si="356">(D129*E129)+F129+G129+H129+I129+J129+K129</f>
        <v>25288.36486</v>
      </c>
      <c r="M129" s="70">
        <f t="shared" ref="M129:M133" si="357">N129/O129</f>
        <v>0.06120117057</v>
      </c>
      <c r="N129" s="71">
        <f t="shared" ref="N129:N133" si="358">O129-L129</f>
        <v>1648.572072</v>
      </c>
      <c r="O129" s="66">
        <f t="shared" ref="O129:O133" si="359">P129/$O$4</f>
        <v>26936.93694</v>
      </c>
      <c r="P129" s="78">
        <v>29900.0</v>
      </c>
      <c r="Q129" s="73">
        <f t="shared" ref="Q129:Q133" si="360">P129/E129</f>
        <v>29900</v>
      </c>
      <c r="R129" s="74"/>
      <c r="S129" s="75"/>
      <c r="T129" s="66">
        <f t="shared" ref="T129:T131" si="361">AD129*$T$3</f>
        <v>0</v>
      </c>
      <c r="U129" s="66">
        <f t="shared" ref="U129:U131" si="362">AD129*$U$3</f>
        <v>0</v>
      </c>
      <c r="V129" s="66">
        <f t="shared" ref="V129:V131" si="363">AD129*$V$3</f>
        <v>0</v>
      </c>
      <c r="W129" s="66">
        <f t="shared" ref="W129:W131" si="364">AD129*$W$3</f>
        <v>0</v>
      </c>
      <c r="X129" s="68">
        <v>1250.0</v>
      </c>
      <c r="Y129" s="66">
        <f t="shared" ref="Y129:Y131" si="365">R129*$Y$3</f>
        <v>0</v>
      </c>
      <c r="Z129" s="69">
        <f t="shared" ref="Z129:Z131" si="366">(D129*S129)+T129+U129+V129+W129+X129+Y129</f>
        <v>1250</v>
      </c>
      <c r="AA129" s="70" t="str">
        <f t="shared" ref="AA129:AA131" si="367">AB129/AC129</f>
        <v>#DIV/0!</v>
      </c>
      <c r="AB129" s="71">
        <f t="shared" ref="AB129:AB131" si="368">AC129-Z129</f>
        <v>-1250</v>
      </c>
      <c r="AC129" s="66">
        <f t="shared" ref="AC129:AC131" si="369">AD129/$O$4</f>
        <v>0</v>
      </c>
      <c r="AD129" s="78"/>
      <c r="AE129" s="73" t="str">
        <f t="shared" ref="AE129:AE131" si="370">AD129/S129</f>
        <v>#DIV/0!</v>
      </c>
      <c r="AF129" s="76"/>
      <c r="AG129" s="75"/>
      <c r="AH129" s="66">
        <f t="shared" ref="AH129:AH131" si="371">AR129*$AH$3</f>
        <v>0</v>
      </c>
      <c r="AI129" s="66">
        <f t="shared" ref="AI129:AI131" si="372">AR129*$AI$3</f>
        <v>0</v>
      </c>
      <c r="AJ129" s="66">
        <f t="shared" ref="AJ129:AJ131" si="373">AR129*$AJ$3</f>
        <v>0</v>
      </c>
      <c r="AK129" s="66">
        <f t="shared" ref="AK129:AK131" si="374">AR129*$AK$3</f>
        <v>0</v>
      </c>
      <c r="AL129" s="68">
        <v>1250.0</v>
      </c>
      <c r="AM129" s="66">
        <f t="shared" ref="AM129:AM131" si="375">AF129*$AM$3</f>
        <v>0</v>
      </c>
      <c r="AN129" s="69">
        <f t="shared" ref="AN129:AN131" si="376">(R129*AG129)+AH129+AI129+AJ129+AK129+AL129+AM129</f>
        <v>1250</v>
      </c>
      <c r="AO129" s="70" t="str">
        <f t="shared" ref="AO129:AO131" si="377">AP129/AQ129</f>
        <v>#DIV/0!</v>
      </c>
      <c r="AP129" s="71">
        <f t="shared" ref="AP129:AP131" si="378">AQ129-AN129</f>
        <v>-1250</v>
      </c>
      <c r="AQ129" s="66">
        <f t="shared" ref="AQ129:AQ131" si="379">AR129/$O$4</f>
        <v>0</v>
      </c>
      <c r="AR129" s="78"/>
      <c r="AS129" s="73" t="str">
        <f t="shared" ref="AS129:AS131" si="380">AR129/AG129</f>
        <v>#DIV/0!</v>
      </c>
    </row>
    <row r="130">
      <c r="A130" s="104" t="s">
        <v>138</v>
      </c>
      <c r="B130" s="66">
        <f>B115*5+B13</f>
        <v>38400</v>
      </c>
      <c r="C130" s="65">
        <f t="shared" si="349"/>
        <v>31488</v>
      </c>
      <c r="D130" s="66">
        <f t="shared" si="350"/>
        <v>28367.56757</v>
      </c>
      <c r="E130" s="124">
        <v>1.0</v>
      </c>
      <c r="F130" s="66">
        <f t="shared" si="351"/>
        <v>4450</v>
      </c>
      <c r="G130" s="66">
        <f t="shared" si="352"/>
        <v>2002.5</v>
      </c>
      <c r="H130" s="66">
        <f t="shared" si="353"/>
        <v>3560</v>
      </c>
      <c r="I130" s="66">
        <f t="shared" si="354"/>
        <v>0</v>
      </c>
      <c r="J130" s="68">
        <v>1250.0</v>
      </c>
      <c r="K130" s="66">
        <f t="shared" si="355"/>
        <v>1985.72973</v>
      </c>
      <c r="L130" s="69">
        <f t="shared" si="356"/>
        <v>41615.7973</v>
      </c>
      <c r="M130" s="70">
        <f t="shared" si="357"/>
        <v>-0.03805696629</v>
      </c>
      <c r="N130" s="71">
        <f t="shared" si="358"/>
        <v>-1525.707207</v>
      </c>
      <c r="O130" s="66">
        <f t="shared" si="359"/>
        <v>40090.09009</v>
      </c>
      <c r="P130" s="78">
        <v>44500.0</v>
      </c>
      <c r="Q130" s="73">
        <f t="shared" si="360"/>
        <v>44500</v>
      </c>
      <c r="R130" s="74"/>
      <c r="S130" s="75"/>
      <c r="T130" s="66">
        <f t="shared" si="361"/>
        <v>0</v>
      </c>
      <c r="U130" s="66">
        <f t="shared" si="362"/>
        <v>0</v>
      </c>
      <c r="V130" s="66">
        <f t="shared" si="363"/>
        <v>0</v>
      </c>
      <c r="W130" s="66">
        <f t="shared" si="364"/>
        <v>0</v>
      </c>
      <c r="X130" s="68">
        <v>1250.0</v>
      </c>
      <c r="Y130" s="66">
        <f t="shared" si="365"/>
        <v>0</v>
      </c>
      <c r="Z130" s="69">
        <f t="shared" si="366"/>
        <v>1250</v>
      </c>
      <c r="AA130" s="70" t="str">
        <f t="shared" si="367"/>
        <v>#DIV/0!</v>
      </c>
      <c r="AB130" s="71">
        <f t="shared" si="368"/>
        <v>-1250</v>
      </c>
      <c r="AC130" s="66">
        <f t="shared" si="369"/>
        <v>0</v>
      </c>
      <c r="AD130" s="78"/>
      <c r="AE130" s="73" t="str">
        <f t="shared" si="370"/>
        <v>#DIV/0!</v>
      </c>
      <c r="AF130" s="76"/>
      <c r="AG130" s="75"/>
      <c r="AH130" s="66">
        <f t="shared" si="371"/>
        <v>0</v>
      </c>
      <c r="AI130" s="66">
        <f t="shared" si="372"/>
        <v>0</v>
      </c>
      <c r="AJ130" s="66">
        <f t="shared" si="373"/>
        <v>0</v>
      </c>
      <c r="AK130" s="66">
        <f t="shared" si="374"/>
        <v>0</v>
      </c>
      <c r="AL130" s="68">
        <v>1250.0</v>
      </c>
      <c r="AM130" s="66">
        <f t="shared" si="375"/>
        <v>0</v>
      </c>
      <c r="AN130" s="69">
        <f t="shared" si="376"/>
        <v>1250</v>
      </c>
      <c r="AO130" s="70" t="str">
        <f t="shared" si="377"/>
        <v>#DIV/0!</v>
      </c>
      <c r="AP130" s="71">
        <f t="shared" si="378"/>
        <v>-1250</v>
      </c>
      <c r="AQ130" s="66">
        <f t="shared" si="379"/>
        <v>0</v>
      </c>
      <c r="AR130" s="78"/>
      <c r="AS130" s="73" t="str">
        <f t="shared" si="380"/>
        <v>#DIV/0!</v>
      </c>
    </row>
    <row r="131">
      <c r="A131" s="104" t="s">
        <v>139</v>
      </c>
      <c r="B131" s="66">
        <f>B116*4+B13</f>
        <v>45900</v>
      </c>
      <c r="C131" s="65">
        <f t="shared" si="349"/>
        <v>37638</v>
      </c>
      <c r="D131" s="66">
        <f t="shared" si="350"/>
        <v>33908.10811</v>
      </c>
      <c r="E131" s="124">
        <v>1.0</v>
      </c>
      <c r="F131" s="66">
        <f t="shared" si="351"/>
        <v>5200</v>
      </c>
      <c r="G131" s="66">
        <f t="shared" si="352"/>
        <v>2340</v>
      </c>
      <c r="H131" s="66">
        <f t="shared" si="353"/>
        <v>4160</v>
      </c>
      <c r="I131" s="66">
        <f t="shared" si="354"/>
        <v>0</v>
      </c>
      <c r="J131" s="68">
        <v>1250.0</v>
      </c>
      <c r="K131" s="66">
        <f t="shared" si="355"/>
        <v>2373.567568</v>
      </c>
      <c r="L131" s="69">
        <f t="shared" si="356"/>
        <v>49231.67568</v>
      </c>
      <c r="M131" s="70">
        <f t="shared" si="357"/>
        <v>-0.05090692308</v>
      </c>
      <c r="N131" s="71">
        <f t="shared" si="358"/>
        <v>-2384.828829</v>
      </c>
      <c r="O131" s="66">
        <f t="shared" si="359"/>
        <v>46846.84685</v>
      </c>
      <c r="P131" s="78">
        <v>52000.0</v>
      </c>
      <c r="Q131" s="73">
        <f t="shared" si="360"/>
        <v>52000</v>
      </c>
      <c r="R131" s="74"/>
      <c r="S131" s="75"/>
      <c r="T131" s="66">
        <f t="shared" si="361"/>
        <v>0</v>
      </c>
      <c r="U131" s="66">
        <f t="shared" si="362"/>
        <v>0</v>
      </c>
      <c r="V131" s="66">
        <f t="shared" si="363"/>
        <v>0</v>
      </c>
      <c r="W131" s="66">
        <f t="shared" si="364"/>
        <v>0</v>
      </c>
      <c r="X131" s="68">
        <v>1250.0</v>
      </c>
      <c r="Y131" s="66">
        <f t="shared" si="365"/>
        <v>0</v>
      </c>
      <c r="Z131" s="69">
        <f t="shared" si="366"/>
        <v>1250</v>
      </c>
      <c r="AA131" s="70" t="str">
        <f t="shared" si="367"/>
        <v>#DIV/0!</v>
      </c>
      <c r="AB131" s="71">
        <f t="shared" si="368"/>
        <v>-1250</v>
      </c>
      <c r="AC131" s="66">
        <f t="shared" si="369"/>
        <v>0</v>
      </c>
      <c r="AD131" s="78"/>
      <c r="AE131" s="73" t="str">
        <f t="shared" si="370"/>
        <v>#DIV/0!</v>
      </c>
      <c r="AF131" s="76"/>
      <c r="AG131" s="75"/>
      <c r="AH131" s="66">
        <f t="shared" si="371"/>
        <v>0</v>
      </c>
      <c r="AI131" s="66">
        <f t="shared" si="372"/>
        <v>0</v>
      </c>
      <c r="AJ131" s="66">
        <f t="shared" si="373"/>
        <v>0</v>
      </c>
      <c r="AK131" s="66">
        <f t="shared" si="374"/>
        <v>0</v>
      </c>
      <c r="AL131" s="68">
        <v>1250.0</v>
      </c>
      <c r="AM131" s="66">
        <f t="shared" si="375"/>
        <v>0</v>
      </c>
      <c r="AN131" s="69">
        <f t="shared" si="376"/>
        <v>1250</v>
      </c>
      <c r="AO131" s="70" t="str">
        <f t="shared" si="377"/>
        <v>#DIV/0!</v>
      </c>
      <c r="AP131" s="71">
        <f t="shared" si="378"/>
        <v>-1250</v>
      </c>
      <c r="AQ131" s="66">
        <f t="shared" si="379"/>
        <v>0</v>
      </c>
      <c r="AR131" s="78"/>
      <c r="AS131" s="73" t="str">
        <f t="shared" si="380"/>
        <v>#DIV/0!</v>
      </c>
    </row>
    <row r="132">
      <c r="A132" s="105"/>
      <c r="C132" s="65">
        <f t="shared" si="349"/>
        <v>0</v>
      </c>
      <c r="D132" s="66">
        <f t="shared" si="350"/>
        <v>0</v>
      </c>
      <c r="E132" s="151"/>
      <c r="F132" s="66">
        <f t="shared" si="351"/>
        <v>0</v>
      </c>
      <c r="G132" s="66">
        <f t="shared" si="352"/>
        <v>0</v>
      </c>
      <c r="H132" s="66">
        <f t="shared" si="353"/>
        <v>0</v>
      </c>
      <c r="I132" s="66">
        <f t="shared" si="354"/>
        <v>0</v>
      </c>
      <c r="J132" s="68">
        <v>1250.0</v>
      </c>
      <c r="K132" s="66">
        <f t="shared" si="355"/>
        <v>0</v>
      </c>
      <c r="L132" s="69">
        <f t="shared" si="356"/>
        <v>1250</v>
      </c>
      <c r="M132" s="70" t="str">
        <f t="shared" si="357"/>
        <v>#DIV/0!</v>
      </c>
      <c r="N132" s="71">
        <f t="shared" si="358"/>
        <v>-1250</v>
      </c>
      <c r="O132" s="66">
        <f t="shared" si="359"/>
        <v>0</v>
      </c>
      <c r="P132" s="152"/>
      <c r="Q132" s="73" t="str">
        <f t="shared" si="360"/>
        <v>#DIV/0!</v>
      </c>
      <c r="R132" s="74"/>
      <c r="S132" s="112"/>
      <c r="AF132" s="76"/>
    </row>
    <row r="133">
      <c r="A133" s="153"/>
      <c r="C133" s="133"/>
      <c r="D133" s="123"/>
      <c r="E133" s="124"/>
      <c r="F133" s="66">
        <f t="shared" si="351"/>
        <v>0</v>
      </c>
      <c r="G133" s="66">
        <f t="shared" si="352"/>
        <v>0</v>
      </c>
      <c r="H133" s="66">
        <f t="shared" si="353"/>
        <v>0</v>
      </c>
      <c r="I133" s="66">
        <f t="shared" si="354"/>
        <v>0</v>
      </c>
      <c r="J133" s="68">
        <v>1250.0</v>
      </c>
      <c r="K133" s="66">
        <f t="shared" si="355"/>
        <v>0</v>
      </c>
      <c r="L133" s="69">
        <f t="shared" si="356"/>
        <v>1250</v>
      </c>
      <c r="M133" s="70" t="str">
        <f t="shared" si="357"/>
        <v>#DIV/0!</v>
      </c>
      <c r="N133" s="71">
        <f t="shared" si="358"/>
        <v>-1250</v>
      </c>
      <c r="O133" s="66">
        <f t="shared" si="359"/>
        <v>0</v>
      </c>
      <c r="P133" s="152"/>
      <c r="Q133" s="73" t="str">
        <f t="shared" si="360"/>
        <v>#DIV/0!</v>
      </c>
      <c r="R133" s="74"/>
      <c r="S133" s="112"/>
      <c r="AF133" s="76"/>
    </row>
    <row r="134">
      <c r="A134" s="154" t="s">
        <v>140</v>
      </c>
      <c r="B134" s="141"/>
      <c r="C134" s="155">
        <f t="shared" ref="C134:C140" si="381">B134*$C$4</f>
        <v>0</v>
      </c>
      <c r="D134" s="156"/>
      <c r="E134" s="157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74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76"/>
      <c r="AG134" s="141"/>
      <c r="AH134" s="141"/>
      <c r="AI134" s="141"/>
      <c r="AJ134" s="141"/>
      <c r="AK134" s="141"/>
      <c r="AL134" s="141"/>
      <c r="AM134" s="141"/>
      <c r="AN134" s="141"/>
      <c r="AO134" s="141"/>
      <c r="AP134" s="141"/>
      <c r="AQ134" s="141"/>
      <c r="AR134" s="141"/>
      <c r="AS134" s="141"/>
      <c r="AT134" s="141"/>
      <c r="AU134" s="141"/>
      <c r="AV134" s="141"/>
      <c r="AW134" s="141"/>
      <c r="AX134" s="141"/>
      <c r="AY134" s="141"/>
      <c r="AZ134" s="141"/>
      <c r="BA134" s="141"/>
      <c r="BB134" s="141"/>
      <c r="BC134" s="141"/>
    </row>
    <row r="135">
      <c r="A135" s="104" t="s">
        <v>141</v>
      </c>
      <c r="B135" s="65">
        <v>1900.0</v>
      </c>
      <c r="C135" s="65">
        <f t="shared" si="381"/>
        <v>1558</v>
      </c>
      <c r="D135" s="66">
        <f t="shared" ref="D135:D140" si="382">C135/$D$4</f>
        <v>1403.603604</v>
      </c>
      <c r="E135" s="124">
        <v>1.0</v>
      </c>
      <c r="F135" s="66">
        <f t="shared" ref="F135:F140" si="383">P135*$F$3</f>
        <v>900</v>
      </c>
      <c r="G135" s="66">
        <f t="shared" ref="G135:G140" si="384">P135*$G$3</f>
        <v>405</v>
      </c>
      <c r="H135" s="66">
        <f t="shared" ref="H135:H140" si="385">P135*$H$3</f>
        <v>720</v>
      </c>
      <c r="I135" s="66">
        <f t="shared" ref="I135:I140" si="386">P135*$I$3</f>
        <v>0</v>
      </c>
      <c r="J135" s="68">
        <v>1250.0</v>
      </c>
      <c r="K135" s="66">
        <f t="shared" ref="K135:K140" si="387">D135*$K$3</f>
        <v>98.25225225</v>
      </c>
      <c r="L135" s="69">
        <f t="shared" ref="L135:L140" si="388">(D135*E135)+F135+G135+H135+I135+J135+K135</f>
        <v>4776.855856</v>
      </c>
      <c r="M135" s="70">
        <f t="shared" ref="M135:M140" si="389">N135/O135</f>
        <v>0.4108544444</v>
      </c>
      <c r="N135" s="71">
        <f t="shared" ref="N135:N140" si="390">O135-L135</f>
        <v>3331.252252</v>
      </c>
      <c r="O135" s="66">
        <f t="shared" ref="O135:O140" si="391">P135/$O$4</f>
        <v>8108.108108</v>
      </c>
      <c r="P135" s="78">
        <v>9000.0</v>
      </c>
      <c r="Q135" s="73">
        <f t="shared" ref="Q135:Q140" si="392">P135/E135</f>
        <v>9000</v>
      </c>
      <c r="R135" s="74"/>
      <c r="S135" s="112"/>
      <c r="AF135" s="76"/>
    </row>
    <row r="136">
      <c r="A136" s="104" t="s">
        <v>142</v>
      </c>
      <c r="B136" s="65">
        <v>2800.0</v>
      </c>
      <c r="C136" s="65">
        <f t="shared" si="381"/>
        <v>2296</v>
      </c>
      <c r="D136" s="66">
        <f t="shared" si="382"/>
        <v>2068.468468</v>
      </c>
      <c r="E136" s="124">
        <v>1.0</v>
      </c>
      <c r="F136" s="66">
        <f t="shared" si="383"/>
        <v>1200</v>
      </c>
      <c r="G136" s="66">
        <f t="shared" si="384"/>
        <v>540</v>
      </c>
      <c r="H136" s="66">
        <f t="shared" si="385"/>
        <v>960</v>
      </c>
      <c r="I136" s="66">
        <f t="shared" si="386"/>
        <v>0</v>
      </c>
      <c r="J136" s="68">
        <v>1250.0</v>
      </c>
      <c r="K136" s="66">
        <f t="shared" si="387"/>
        <v>144.7927928</v>
      </c>
      <c r="L136" s="69">
        <f t="shared" si="388"/>
        <v>6163.261261</v>
      </c>
      <c r="M136" s="70">
        <f t="shared" si="389"/>
        <v>0.4298983333</v>
      </c>
      <c r="N136" s="71">
        <f t="shared" si="390"/>
        <v>4647.54955</v>
      </c>
      <c r="O136" s="66">
        <f t="shared" si="391"/>
        <v>10810.81081</v>
      </c>
      <c r="P136" s="78">
        <v>12000.0</v>
      </c>
      <c r="Q136" s="73">
        <f t="shared" si="392"/>
        <v>12000</v>
      </c>
      <c r="R136" s="74"/>
      <c r="S136" s="112"/>
      <c r="AF136" s="76"/>
    </row>
    <row r="137">
      <c r="A137" s="104" t="s">
        <v>143</v>
      </c>
      <c r="B137" s="65">
        <v>6840.0</v>
      </c>
      <c r="C137" s="65">
        <f t="shared" si="381"/>
        <v>5608.8</v>
      </c>
      <c r="D137" s="66">
        <f t="shared" si="382"/>
        <v>5052.972973</v>
      </c>
      <c r="E137" s="124">
        <v>1.0</v>
      </c>
      <c r="F137" s="66">
        <f t="shared" si="383"/>
        <v>2300</v>
      </c>
      <c r="G137" s="66">
        <f t="shared" si="384"/>
        <v>1035</v>
      </c>
      <c r="H137" s="66">
        <f t="shared" si="385"/>
        <v>1840</v>
      </c>
      <c r="I137" s="66">
        <f t="shared" si="386"/>
        <v>0</v>
      </c>
      <c r="J137" s="68">
        <v>1250.0</v>
      </c>
      <c r="K137" s="66">
        <f t="shared" si="387"/>
        <v>353.7081081</v>
      </c>
      <c r="L137" s="69">
        <f t="shared" si="388"/>
        <v>11831.68108</v>
      </c>
      <c r="M137" s="70">
        <f t="shared" si="389"/>
        <v>0.4289927826</v>
      </c>
      <c r="N137" s="71">
        <f t="shared" si="390"/>
        <v>8889.03964</v>
      </c>
      <c r="O137" s="66">
        <f t="shared" si="391"/>
        <v>20720.72072</v>
      </c>
      <c r="P137" s="78">
        <v>23000.0</v>
      </c>
      <c r="Q137" s="73">
        <f t="shared" si="392"/>
        <v>23000</v>
      </c>
      <c r="R137" s="74"/>
      <c r="S137" s="112"/>
      <c r="AF137" s="76"/>
    </row>
    <row r="138">
      <c r="A138" s="104" t="s">
        <v>144</v>
      </c>
      <c r="B138" s="65">
        <v>8400.0</v>
      </c>
      <c r="C138" s="65">
        <f t="shared" si="381"/>
        <v>6888</v>
      </c>
      <c r="D138" s="66">
        <f t="shared" si="382"/>
        <v>6205.405405</v>
      </c>
      <c r="E138" s="124">
        <v>1.0</v>
      </c>
      <c r="F138" s="66">
        <f t="shared" si="383"/>
        <v>3000</v>
      </c>
      <c r="G138" s="66">
        <f t="shared" si="384"/>
        <v>1350</v>
      </c>
      <c r="H138" s="66">
        <f t="shared" si="385"/>
        <v>2400</v>
      </c>
      <c r="I138" s="66">
        <f t="shared" si="386"/>
        <v>0</v>
      </c>
      <c r="J138" s="68">
        <v>1250.0</v>
      </c>
      <c r="K138" s="66">
        <f t="shared" si="387"/>
        <v>434.3783784</v>
      </c>
      <c r="L138" s="69">
        <f t="shared" si="388"/>
        <v>14639.78378</v>
      </c>
      <c r="M138" s="70">
        <f t="shared" si="389"/>
        <v>0.458328</v>
      </c>
      <c r="N138" s="71">
        <f t="shared" si="390"/>
        <v>12387.24324</v>
      </c>
      <c r="O138" s="66">
        <f t="shared" si="391"/>
        <v>27027.02703</v>
      </c>
      <c r="P138" s="78">
        <v>30000.0</v>
      </c>
      <c r="Q138" s="73">
        <f t="shared" si="392"/>
        <v>30000</v>
      </c>
      <c r="R138" s="74"/>
      <c r="S138" s="112"/>
      <c r="AF138" s="76"/>
    </row>
    <row r="139">
      <c r="A139" s="104" t="s">
        <v>145</v>
      </c>
      <c r="B139" s="65">
        <v>9940.0</v>
      </c>
      <c r="C139" s="65">
        <f t="shared" si="381"/>
        <v>8150.8</v>
      </c>
      <c r="D139" s="66">
        <f t="shared" si="382"/>
        <v>7343.063063</v>
      </c>
      <c r="E139" s="124">
        <v>1.0</v>
      </c>
      <c r="F139" s="66">
        <f t="shared" si="383"/>
        <v>1450</v>
      </c>
      <c r="G139" s="66">
        <f t="shared" si="384"/>
        <v>652.5</v>
      </c>
      <c r="H139" s="66">
        <f t="shared" si="385"/>
        <v>1160</v>
      </c>
      <c r="I139" s="66">
        <f t="shared" si="386"/>
        <v>0</v>
      </c>
      <c r="J139" s="68">
        <v>1250.0</v>
      </c>
      <c r="K139" s="66">
        <f t="shared" si="387"/>
        <v>514.0144144</v>
      </c>
      <c r="L139" s="69">
        <f t="shared" si="388"/>
        <v>12369.57748</v>
      </c>
      <c r="M139" s="70">
        <f t="shared" si="389"/>
        <v>0.05308751724</v>
      </c>
      <c r="N139" s="71">
        <f t="shared" si="390"/>
        <v>693.4855856</v>
      </c>
      <c r="O139" s="66">
        <f t="shared" si="391"/>
        <v>13063.06306</v>
      </c>
      <c r="P139" s="78">
        <v>14500.0</v>
      </c>
      <c r="Q139" s="73">
        <f t="shared" si="392"/>
        <v>14500</v>
      </c>
      <c r="R139" s="74"/>
      <c r="S139" s="112"/>
      <c r="AF139" s="76"/>
    </row>
    <row r="140">
      <c r="A140" s="104" t="s">
        <v>146</v>
      </c>
      <c r="B140" s="65">
        <v>27999.0</v>
      </c>
      <c r="C140" s="65">
        <f t="shared" si="381"/>
        <v>22959.18</v>
      </c>
      <c r="D140" s="66">
        <f t="shared" si="382"/>
        <v>20683.94595</v>
      </c>
      <c r="E140" s="124">
        <v>1.0</v>
      </c>
      <c r="F140" s="66">
        <f t="shared" si="383"/>
        <v>4300</v>
      </c>
      <c r="G140" s="66">
        <f t="shared" si="384"/>
        <v>1935</v>
      </c>
      <c r="H140" s="66">
        <f t="shared" si="385"/>
        <v>3440</v>
      </c>
      <c r="I140" s="66">
        <f t="shared" si="386"/>
        <v>0</v>
      </c>
      <c r="J140" s="68">
        <v>1250.0</v>
      </c>
      <c r="K140" s="66">
        <f t="shared" si="387"/>
        <v>1447.876216</v>
      </c>
      <c r="L140" s="69">
        <f t="shared" si="388"/>
        <v>33056.82216</v>
      </c>
      <c r="M140" s="70">
        <f t="shared" si="389"/>
        <v>0.1466727302</v>
      </c>
      <c r="N140" s="71">
        <f t="shared" si="390"/>
        <v>5681.916577</v>
      </c>
      <c r="O140" s="66">
        <f t="shared" si="391"/>
        <v>38738.73874</v>
      </c>
      <c r="P140" s="78">
        <v>43000.0</v>
      </c>
      <c r="Q140" s="73">
        <f t="shared" si="392"/>
        <v>43000</v>
      </c>
      <c r="R140" s="74"/>
      <c r="S140" s="112"/>
      <c r="AF140" s="76"/>
    </row>
    <row r="141">
      <c r="A141" s="153"/>
      <c r="C141" s="133"/>
      <c r="D141" s="123"/>
      <c r="E141" s="124"/>
      <c r="L141" s="125"/>
      <c r="N141" s="126"/>
      <c r="P141" s="127"/>
      <c r="Q141" s="128"/>
      <c r="R141" s="74"/>
      <c r="S141" s="112"/>
      <c r="AF141" s="76"/>
    </row>
    <row r="142" hidden="1">
      <c r="A142" s="153"/>
      <c r="C142" s="133"/>
      <c r="D142" s="123"/>
      <c r="E142" s="124"/>
      <c r="L142" s="125"/>
      <c r="N142" s="126"/>
      <c r="P142" s="127"/>
      <c r="Q142" s="128"/>
      <c r="R142" s="74"/>
      <c r="AF142" s="76"/>
    </row>
    <row r="143" hidden="1">
      <c r="A143" s="153"/>
      <c r="C143" s="133"/>
      <c r="D143" s="123"/>
      <c r="E143" s="124"/>
      <c r="L143" s="125"/>
      <c r="N143" s="126"/>
      <c r="P143" s="127"/>
      <c r="Q143" s="128"/>
      <c r="R143" s="74"/>
      <c r="AF143" s="76"/>
    </row>
    <row r="144" hidden="1">
      <c r="A144" s="153"/>
      <c r="C144" s="133"/>
      <c r="D144" s="123"/>
      <c r="E144" s="124"/>
      <c r="L144" s="125"/>
      <c r="N144" s="126"/>
      <c r="P144" s="127"/>
      <c r="Q144" s="128"/>
      <c r="R144" s="74"/>
      <c r="AF144" s="76"/>
    </row>
    <row r="145" hidden="1">
      <c r="A145" s="153"/>
      <c r="C145" s="133"/>
      <c r="D145" s="123"/>
      <c r="E145" s="124"/>
      <c r="L145" s="125"/>
      <c r="N145" s="126"/>
      <c r="P145" s="127"/>
      <c r="Q145" s="128"/>
      <c r="R145" s="74"/>
      <c r="AF145" s="76"/>
    </row>
    <row r="146" hidden="1">
      <c r="A146" s="153"/>
      <c r="C146" s="133"/>
      <c r="D146" s="123"/>
      <c r="E146" s="124"/>
      <c r="L146" s="125"/>
      <c r="N146" s="126"/>
      <c r="P146" s="127"/>
      <c r="Q146" s="128"/>
      <c r="R146" s="74"/>
      <c r="AF146" s="76"/>
    </row>
    <row r="147" hidden="1">
      <c r="A147" s="153"/>
      <c r="C147" s="133"/>
      <c r="D147" s="123"/>
      <c r="E147" s="124"/>
      <c r="L147" s="125"/>
      <c r="N147" s="126"/>
      <c r="P147" s="127"/>
      <c r="Q147" s="128"/>
      <c r="R147" s="74"/>
      <c r="AF147" s="76"/>
    </row>
    <row r="148">
      <c r="A148" s="180" t="s">
        <v>161</v>
      </c>
      <c r="B148" s="2" t="s">
        <v>1</v>
      </c>
      <c r="C148" s="158" t="s">
        <v>147</v>
      </c>
      <c r="D148" s="158" t="s">
        <v>147</v>
      </c>
      <c r="E148" s="3" t="s">
        <v>3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5"/>
      <c r="R148" s="6"/>
      <c r="S148" s="7" t="s">
        <v>4</v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8"/>
      <c r="AG148" s="9" t="s">
        <v>5</v>
      </c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1"/>
      <c r="AU148" s="10"/>
      <c r="AV148" s="10"/>
      <c r="AW148" s="10"/>
      <c r="AX148" s="10"/>
      <c r="AY148" s="10"/>
      <c r="AZ148" s="10"/>
      <c r="BA148" s="10"/>
      <c r="BB148" s="10"/>
      <c r="BC148" s="12"/>
    </row>
    <row r="149">
      <c r="A149" s="13"/>
      <c r="B149" s="13"/>
      <c r="C149" s="14"/>
      <c r="D149" s="14"/>
      <c r="E149" s="15" t="s">
        <v>6</v>
      </c>
      <c r="F149" s="16" t="s">
        <v>7</v>
      </c>
      <c r="G149" s="4"/>
      <c r="H149" s="4"/>
      <c r="I149" s="5"/>
      <c r="J149" s="17" t="s">
        <v>8</v>
      </c>
      <c r="K149" s="17" t="s">
        <v>9</v>
      </c>
      <c r="L149" s="18" t="s">
        <v>10</v>
      </c>
      <c r="M149" s="19" t="s">
        <v>11</v>
      </c>
      <c r="N149" s="20" t="s">
        <v>12</v>
      </c>
      <c r="O149" s="3" t="s">
        <v>13</v>
      </c>
      <c r="P149" s="5"/>
      <c r="Q149" s="21" t="s">
        <v>14</v>
      </c>
      <c r="R149" s="22"/>
      <c r="S149" s="23" t="s">
        <v>15</v>
      </c>
      <c r="T149" s="24" t="s">
        <v>7</v>
      </c>
      <c r="U149" s="4"/>
      <c r="V149" s="4"/>
      <c r="W149" s="5"/>
      <c r="X149" s="25" t="s">
        <v>8</v>
      </c>
      <c r="Y149" s="25" t="s">
        <v>9</v>
      </c>
      <c r="Z149" s="26" t="s">
        <v>10</v>
      </c>
      <c r="AA149" s="37" t="s">
        <v>148</v>
      </c>
      <c r="AB149" s="28" t="s">
        <v>12</v>
      </c>
      <c r="AC149" s="29" t="s">
        <v>17</v>
      </c>
      <c r="AD149" s="5"/>
      <c r="AE149" s="159" t="s">
        <v>18</v>
      </c>
      <c r="AF149" s="31"/>
      <c r="AG149" s="32" t="s">
        <v>19</v>
      </c>
      <c r="AH149" s="24" t="s">
        <v>7</v>
      </c>
      <c r="AI149" s="4"/>
      <c r="AJ149" s="4"/>
      <c r="AK149" s="5"/>
      <c r="AL149" s="25" t="s">
        <v>8</v>
      </c>
      <c r="AM149" s="25" t="s">
        <v>9</v>
      </c>
      <c r="AN149" s="33" t="s">
        <v>10</v>
      </c>
      <c r="AO149" s="37" t="s">
        <v>148</v>
      </c>
      <c r="AP149" s="34" t="s">
        <v>12</v>
      </c>
      <c r="AQ149" s="35" t="s">
        <v>13</v>
      </c>
      <c r="AR149" s="5"/>
      <c r="AS149" s="160" t="s">
        <v>21</v>
      </c>
      <c r="AT149" s="32" t="s">
        <v>22</v>
      </c>
      <c r="AU149" s="25" t="s">
        <v>7</v>
      </c>
      <c r="AV149" s="25" t="s">
        <v>8</v>
      </c>
      <c r="AW149" s="25" t="s">
        <v>9</v>
      </c>
      <c r="AX149" s="33" t="s">
        <v>10</v>
      </c>
      <c r="AY149" s="37" t="s">
        <v>23</v>
      </c>
      <c r="AZ149" s="34" t="s">
        <v>12</v>
      </c>
      <c r="BA149" s="35" t="s">
        <v>13</v>
      </c>
      <c r="BB149" s="5"/>
      <c r="BC149" s="38" t="s">
        <v>24</v>
      </c>
    </row>
    <row r="150">
      <c r="A150" s="39"/>
      <c r="B150" s="40"/>
      <c r="C150" s="40" t="s">
        <v>25</v>
      </c>
      <c r="D150" s="40" t="s">
        <v>26</v>
      </c>
      <c r="E150" s="39"/>
      <c r="F150" s="41">
        <v>0.102</v>
      </c>
      <c r="G150" s="42">
        <v>0.06</v>
      </c>
      <c r="H150" s="41">
        <v>0.045</v>
      </c>
      <c r="I150" s="41">
        <v>0.018</v>
      </c>
      <c r="J150" s="43">
        <v>1250.0</v>
      </c>
      <c r="K150" s="42">
        <v>0.05</v>
      </c>
      <c r="L150" s="44" t="s">
        <v>26</v>
      </c>
      <c r="M150" s="41">
        <v>0.025</v>
      </c>
      <c r="N150" s="39"/>
      <c r="O150" s="44" t="s">
        <v>26</v>
      </c>
      <c r="P150" s="45" t="s">
        <v>27</v>
      </c>
      <c r="Q150" s="39"/>
      <c r="R150" s="46"/>
      <c r="S150" s="39"/>
      <c r="T150" s="41">
        <v>0.117</v>
      </c>
      <c r="U150" s="41">
        <v>0.06</v>
      </c>
      <c r="V150" s="41">
        <v>0.045</v>
      </c>
      <c r="W150" s="41">
        <v>0.018</v>
      </c>
      <c r="X150" s="47"/>
      <c r="Y150" s="42">
        <v>0.05</v>
      </c>
      <c r="Z150" s="48" t="s">
        <v>26</v>
      </c>
      <c r="AA150" s="39"/>
      <c r="AB150" s="39"/>
      <c r="AC150" s="49" t="s">
        <v>26</v>
      </c>
      <c r="AD150" s="50" t="s">
        <v>25</v>
      </c>
      <c r="AE150" s="51"/>
      <c r="AF150" s="31"/>
      <c r="AG150" s="39"/>
      <c r="AH150" s="41">
        <v>0.117</v>
      </c>
      <c r="AI150" s="41">
        <v>0.06</v>
      </c>
      <c r="AJ150" s="41">
        <v>0.045</v>
      </c>
      <c r="AK150" s="41">
        <v>0.018</v>
      </c>
      <c r="AL150" s="47"/>
      <c r="AM150" s="42">
        <v>0.05</v>
      </c>
      <c r="AN150" s="52" t="s">
        <v>26</v>
      </c>
      <c r="AO150" s="39"/>
      <c r="AP150" s="39"/>
      <c r="AQ150" s="53" t="s">
        <v>26</v>
      </c>
      <c r="AR150" s="54" t="s">
        <v>25</v>
      </c>
      <c r="AS150" s="51"/>
      <c r="AT150" s="39"/>
      <c r="AU150" s="55">
        <v>0.17</v>
      </c>
      <c r="AV150" s="47"/>
      <c r="AW150" s="55">
        <v>0.04</v>
      </c>
      <c r="AX150" s="52" t="s">
        <v>26</v>
      </c>
      <c r="AY150" s="39"/>
      <c r="AZ150" s="39"/>
      <c r="BA150" s="53" t="s">
        <v>26</v>
      </c>
      <c r="BB150" s="54" t="s">
        <v>25</v>
      </c>
      <c r="BC150" s="39"/>
    </row>
    <row r="151">
      <c r="A151" s="161" t="s">
        <v>149</v>
      </c>
      <c r="B151" s="162"/>
      <c r="C151" s="163"/>
      <c r="D151" s="164"/>
      <c r="E151" s="165"/>
      <c r="F151" s="164"/>
      <c r="G151" s="164"/>
      <c r="H151" s="164"/>
      <c r="I151" s="164"/>
      <c r="J151" s="166"/>
      <c r="K151" s="164"/>
      <c r="L151" s="164"/>
      <c r="M151" s="167"/>
      <c r="N151" s="164"/>
      <c r="O151" s="164"/>
      <c r="P151" s="166"/>
      <c r="Q151" s="164"/>
      <c r="R151" s="74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76"/>
      <c r="AG151" s="162"/>
      <c r="AH151" s="162"/>
      <c r="AI151" s="162"/>
      <c r="AJ151" s="162"/>
      <c r="AK151" s="162"/>
      <c r="AL151" s="162"/>
      <c r="AM151" s="162"/>
      <c r="AN151" s="162"/>
      <c r="AO151" s="162"/>
      <c r="AP151" s="162"/>
      <c r="AQ151" s="162"/>
      <c r="AR151" s="162"/>
      <c r="AS151" s="162"/>
      <c r="AT151" s="162"/>
      <c r="AU151" s="162"/>
      <c r="AV151" s="162"/>
      <c r="AW151" s="162"/>
      <c r="AX151" s="162"/>
      <c r="AY151" s="162"/>
      <c r="AZ151" s="162"/>
      <c r="BA151" s="162"/>
      <c r="BB151" s="162"/>
      <c r="BC151" s="162"/>
    </row>
    <row r="152">
      <c r="A152" s="104" t="s">
        <v>150</v>
      </c>
      <c r="B152" s="68">
        <f>'HPP MALL'!B149</f>
        <v>12500</v>
      </c>
      <c r="C152" s="65">
        <f t="shared" ref="C152:C156" si="393">B152*$C$4</f>
        <v>10250</v>
      </c>
      <c r="D152" s="66">
        <f t="shared" ref="D152:D156" si="394">C152/$D$4</f>
        <v>9234.234234</v>
      </c>
      <c r="E152" s="124">
        <v>1.0</v>
      </c>
      <c r="F152" s="66">
        <f t="shared" ref="F152:F156" si="395">P152*$F$150</f>
        <v>1713.6</v>
      </c>
      <c r="G152" s="66">
        <f t="shared" ref="G152:G156" si="396">P152*$G$150</f>
        <v>1008</v>
      </c>
      <c r="H152" s="66">
        <f t="shared" ref="H152:H156" si="397">P152*$H$150</f>
        <v>756</v>
      </c>
      <c r="I152" s="66">
        <f t="shared" ref="I152:I156" si="398">P152*$I$150</f>
        <v>302.4</v>
      </c>
      <c r="J152" s="68">
        <v>1250.0</v>
      </c>
      <c r="K152" s="66">
        <f t="shared" ref="K152:K156" si="399">D152*$K$150</f>
        <v>461.7117117</v>
      </c>
      <c r="L152" s="69">
        <f t="shared" ref="L152:L156" si="400">(D152*E152)+F152+G152+H152+I152+J152+K152</f>
        <v>14725.94595</v>
      </c>
      <c r="M152" s="70">
        <f t="shared" ref="M152:M156" si="401">N152/O152</f>
        <v>0.02703571429</v>
      </c>
      <c r="N152" s="71">
        <f t="shared" ref="N152:N156" si="402">O152-L152</f>
        <v>409.1891892</v>
      </c>
      <c r="O152" s="66">
        <f t="shared" ref="O152:O156" si="403">P152/$O$4</f>
        <v>15135.13514</v>
      </c>
      <c r="P152" s="78">
        <v>16800.0</v>
      </c>
      <c r="Q152" s="73">
        <f t="shared" ref="Q152:Q156" si="404">P152/E152</f>
        <v>16800</v>
      </c>
      <c r="R152" s="74"/>
      <c r="S152" s="112"/>
      <c r="AF152" s="76"/>
    </row>
    <row r="153">
      <c r="A153" s="104" t="s">
        <v>151</v>
      </c>
      <c r="B153" s="68">
        <f>'HPP MALL'!B150</f>
        <v>12500</v>
      </c>
      <c r="C153" s="65">
        <f t="shared" si="393"/>
        <v>10250</v>
      </c>
      <c r="D153" s="66">
        <f t="shared" si="394"/>
        <v>9234.234234</v>
      </c>
      <c r="E153" s="124">
        <v>1.0</v>
      </c>
      <c r="F153" s="66">
        <f t="shared" si="395"/>
        <v>1713.6</v>
      </c>
      <c r="G153" s="66">
        <f t="shared" si="396"/>
        <v>1008</v>
      </c>
      <c r="H153" s="66">
        <f t="shared" si="397"/>
        <v>756</v>
      </c>
      <c r="I153" s="66">
        <f t="shared" si="398"/>
        <v>302.4</v>
      </c>
      <c r="J153" s="68">
        <v>1250.0</v>
      </c>
      <c r="K153" s="66">
        <f t="shared" si="399"/>
        <v>461.7117117</v>
      </c>
      <c r="L153" s="69">
        <f t="shared" si="400"/>
        <v>14725.94595</v>
      </c>
      <c r="M153" s="70">
        <f t="shared" si="401"/>
        <v>0.02703571429</v>
      </c>
      <c r="N153" s="71">
        <f t="shared" si="402"/>
        <v>409.1891892</v>
      </c>
      <c r="O153" s="66">
        <f t="shared" si="403"/>
        <v>15135.13514</v>
      </c>
      <c r="P153" s="78">
        <v>16800.0</v>
      </c>
      <c r="Q153" s="73">
        <f t="shared" si="404"/>
        <v>16800</v>
      </c>
      <c r="R153" s="74"/>
      <c r="S153" s="112"/>
      <c r="AF153" s="76"/>
    </row>
    <row r="154">
      <c r="A154" s="104" t="s">
        <v>152</v>
      </c>
      <c r="B154" s="66">
        <f>B153</f>
        <v>12500</v>
      </c>
      <c r="C154" s="65">
        <f t="shared" si="393"/>
        <v>10250</v>
      </c>
      <c r="D154" s="66">
        <f t="shared" si="394"/>
        <v>9234.234234</v>
      </c>
      <c r="E154" s="134">
        <v>2.0</v>
      </c>
      <c r="F154" s="66">
        <f t="shared" si="395"/>
        <v>3162</v>
      </c>
      <c r="G154" s="66">
        <f t="shared" si="396"/>
        <v>1860</v>
      </c>
      <c r="H154" s="66">
        <f t="shared" si="397"/>
        <v>1395</v>
      </c>
      <c r="I154" s="66">
        <f t="shared" si="398"/>
        <v>558</v>
      </c>
      <c r="J154" s="68">
        <v>1250.0</v>
      </c>
      <c r="K154" s="66">
        <f t="shared" si="399"/>
        <v>461.7117117</v>
      </c>
      <c r="L154" s="69">
        <f t="shared" si="400"/>
        <v>27155.18018</v>
      </c>
      <c r="M154" s="70">
        <f t="shared" si="401"/>
        <v>0.02766935484</v>
      </c>
      <c r="N154" s="71">
        <f t="shared" si="402"/>
        <v>772.7477477</v>
      </c>
      <c r="O154" s="66">
        <f t="shared" si="403"/>
        <v>27927.92793</v>
      </c>
      <c r="P154" s="78">
        <v>31000.0</v>
      </c>
      <c r="Q154" s="73">
        <f t="shared" si="404"/>
        <v>15500</v>
      </c>
      <c r="R154" s="74"/>
      <c r="S154" s="112"/>
      <c r="AF154" s="76"/>
    </row>
    <row r="155">
      <c r="A155" s="122" t="s">
        <v>163</v>
      </c>
      <c r="B155" s="66">
        <f t="shared" ref="B155:B156" si="405">B152</f>
        <v>12500</v>
      </c>
      <c r="C155" s="65">
        <f t="shared" si="393"/>
        <v>10250</v>
      </c>
      <c r="D155" s="66">
        <f t="shared" si="394"/>
        <v>9234.234234</v>
      </c>
      <c r="E155" s="134">
        <v>6.0</v>
      </c>
      <c r="F155" s="66">
        <f t="shared" si="395"/>
        <v>9384</v>
      </c>
      <c r="G155" s="66">
        <f t="shared" si="396"/>
        <v>5520</v>
      </c>
      <c r="H155" s="66">
        <f t="shared" si="397"/>
        <v>4140</v>
      </c>
      <c r="I155" s="66">
        <f t="shared" si="398"/>
        <v>1656</v>
      </c>
      <c r="J155" s="68">
        <v>1250.0</v>
      </c>
      <c r="K155" s="66">
        <f t="shared" si="399"/>
        <v>461.7117117</v>
      </c>
      <c r="L155" s="69">
        <f t="shared" si="400"/>
        <v>77817.11712</v>
      </c>
      <c r="M155" s="70">
        <f t="shared" si="401"/>
        <v>0.06111956522</v>
      </c>
      <c r="N155" s="71">
        <f t="shared" si="402"/>
        <v>5065.765766</v>
      </c>
      <c r="O155" s="66">
        <f t="shared" si="403"/>
        <v>82882.88288</v>
      </c>
      <c r="P155" s="78">
        <v>92000.0</v>
      </c>
      <c r="Q155" s="73">
        <f t="shared" si="404"/>
        <v>15333.33333</v>
      </c>
      <c r="R155" s="74"/>
      <c r="S155" s="112"/>
      <c r="AF155" s="76"/>
    </row>
    <row r="156">
      <c r="A156" s="122" t="s">
        <v>164</v>
      </c>
      <c r="B156" s="66">
        <f t="shared" si="405"/>
        <v>12500</v>
      </c>
      <c r="C156" s="65">
        <f t="shared" si="393"/>
        <v>10250</v>
      </c>
      <c r="D156" s="66">
        <f t="shared" si="394"/>
        <v>9234.234234</v>
      </c>
      <c r="E156" s="134">
        <v>24.0</v>
      </c>
      <c r="F156" s="66">
        <f t="shared" si="395"/>
        <v>36475.2</v>
      </c>
      <c r="G156" s="66">
        <f t="shared" si="396"/>
        <v>21456</v>
      </c>
      <c r="H156" s="66">
        <f t="shared" si="397"/>
        <v>16092</v>
      </c>
      <c r="I156" s="66">
        <f t="shared" si="398"/>
        <v>6436.8</v>
      </c>
      <c r="J156" s="68">
        <v>1250.0</v>
      </c>
      <c r="K156" s="66">
        <f t="shared" si="399"/>
        <v>461.7117117</v>
      </c>
      <c r="L156" s="69">
        <f t="shared" si="400"/>
        <v>303793.3333</v>
      </c>
      <c r="M156" s="70">
        <f t="shared" si="401"/>
        <v>0.05701733781</v>
      </c>
      <c r="N156" s="71">
        <f t="shared" si="402"/>
        <v>18368.82883</v>
      </c>
      <c r="O156" s="66">
        <f t="shared" si="403"/>
        <v>322162.1622</v>
      </c>
      <c r="P156" s="78">
        <v>357600.0</v>
      </c>
      <c r="Q156" s="73">
        <f t="shared" si="404"/>
        <v>14900</v>
      </c>
      <c r="R156" s="74"/>
      <c r="S156" s="112"/>
      <c r="AF156" s="76"/>
    </row>
    <row r="157">
      <c r="A157" s="180" t="s">
        <v>161</v>
      </c>
      <c r="B157" s="2" t="s">
        <v>1</v>
      </c>
      <c r="C157" s="158" t="s">
        <v>147</v>
      </c>
      <c r="D157" s="158" t="s">
        <v>147</v>
      </c>
      <c r="E157" s="3" t="s">
        <v>3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5"/>
      <c r="R157" s="6"/>
      <c r="S157" s="7" t="s">
        <v>4</v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8"/>
      <c r="AG157" s="9" t="s">
        <v>5</v>
      </c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1"/>
      <c r="AU157" s="10"/>
      <c r="AV157" s="10"/>
      <c r="AW157" s="10"/>
      <c r="AX157" s="10"/>
      <c r="AY157" s="10"/>
      <c r="AZ157" s="10"/>
      <c r="BA157" s="10"/>
      <c r="BB157" s="10"/>
      <c r="BC157" s="12"/>
    </row>
    <row r="158">
      <c r="A158" s="13"/>
      <c r="B158" s="13"/>
      <c r="C158" s="14"/>
      <c r="D158" s="14"/>
      <c r="E158" s="15" t="s">
        <v>6</v>
      </c>
      <c r="F158" s="16" t="s">
        <v>7</v>
      </c>
      <c r="G158" s="4"/>
      <c r="H158" s="4"/>
      <c r="I158" s="5"/>
      <c r="J158" s="17" t="s">
        <v>8</v>
      </c>
      <c r="K158" s="17" t="s">
        <v>9</v>
      </c>
      <c r="L158" s="18" t="s">
        <v>10</v>
      </c>
      <c r="M158" s="19" t="s">
        <v>11</v>
      </c>
      <c r="N158" s="20" t="s">
        <v>12</v>
      </c>
      <c r="O158" s="3" t="s">
        <v>13</v>
      </c>
      <c r="P158" s="5"/>
      <c r="Q158" s="21" t="s">
        <v>14</v>
      </c>
      <c r="R158" s="22"/>
      <c r="S158" s="23" t="s">
        <v>15</v>
      </c>
      <c r="T158" s="24" t="s">
        <v>7</v>
      </c>
      <c r="U158" s="4"/>
      <c r="V158" s="4"/>
      <c r="W158" s="5"/>
      <c r="X158" s="25" t="s">
        <v>8</v>
      </c>
      <c r="Y158" s="25" t="s">
        <v>9</v>
      </c>
      <c r="Z158" s="26" t="s">
        <v>10</v>
      </c>
      <c r="AA158" s="37" t="s">
        <v>148</v>
      </c>
      <c r="AB158" s="28" t="s">
        <v>12</v>
      </c>
      <c r="AC158" s="29" t="s">
        <v>17</v>
      </c>
      <c r="AD158" s="5"/>
      <c r="AE158" s="159" t="s">
        <v>18</v>
      </c>
      <c r="AF158" s="31"/>
      <c r="AG158" s="32" t="s">
        <v>19</v>
      </c>
      <c r="AH158" s="24" t="s">
        <v>7</v>
      </c>
      <c r="AI158" s="4"/>
      <c r="AJ158" s="4"/>
      <c r="AK158" s="5"/>
      <c r="AL158" s="25" t="s">
        <v>8</v>
      </c>
      <c r="AM158" s="25" t="s">
        <v>9</v>
      </c>
      <c r="AN158" s="33" t="s">
        <v>10</v>
      </c>
      <c r="AO158" s="37" t="s">
        <v>148</v>
      </c>
      <c r="AP158" s="34" t="s">
        <v>12</v>
      </c>
      <c r="AQ158" s="35" t="s">
        <v>13</v>
      </c>
      <c r="AR158" s="5"/>
      <c r="AS158" s="160" t="s">
        <v>21</v>
      </c>
      <c r="AT158" s="32" t="s">
        <v>22</v>
      </c>
      <c r="AU158" s="25" t="s">
        <v>7</v>
      </c>
      <c r="AV158" s="25" t="s">
        <v>8</v>
      </c>
      <c r="AW158" s="25" t="s">
        <v>9</v>
      </c>
      <c r="AX158" s="33" t="s">
        <v>10</v>
      </c>
      <c r="AY158" s="37" t="s">
        <v>23</v>
      </c>
      <c r="AZ158" s="34" t="s">
        <v>12</v>
      </c>
      <c r="BA158" s="35" t="s">
        <v>13</v>
      </c>
      <c r="BB158" s="5"/>
      <c r="BC158" s="38" t="s">
        <v>24</v>
      </c>
    </row>
    <row r="159">
      <c r="A159" s="39"/>
      <c r="B159" s="40"/>
      <c r="C159" s="40" t="s">
        <v>25</v>
      </c>
      <c r="D159" s="40" t="s">
        <v>26</v>
      </c>
      <c r="E159" s="39"/>
      <c r="F159" s="41">
        <v>0.095</v>
      </c>
      <c r="G159" s="42">
        <v>0.08</v>
      </c>
      <c r="H159" s="41">
        <v>0.045</v>
      </c>
      <c r="I159" s="41">
        <v>0.018</v>
      </c>
      <c r="J159" s="43">
        <v>1250.0</v>
      </c>
      <c r="K159" s="42">
        <v>0.05</v>
      </c>
      <c r="L159" s="44" t="s">
        <v>26</v>
      </c>
      <c r="M159" s="41">
        <v>0.025</v>
      </c>
      <c r="N159" s="39"/>
      <c r="O159" s="44" t="s">
        <v>26</v>
      </c>
      <c r="P159" s="45" t="s">
        <v>27</v>
      </c>
      <c r="Q159" s="39"/>
      <c r="R159" s="46"/>
      <c r="S159" s="39"/>
      <c r="T159" s="41">
        <v>0.117</v>
      </c>
      <c r="U159" s="41">
        <v>0.06</v>
      </c>
      <c r="V159" s="41">
        <v>0.045</v>
      </c>
      <c r="W159" s="41">
        <v>0.018</v>
      </c>
      <c r="X159" s="47"/>
      <c r="Y159" s="42">
        <v>0.05</v>
      </c>
      <c r="Z159" s="48" t="s">
        <v>26</v>
      </c>
      <c r="AA159" s="39"/>
      <c r="AB159" s="39"/>
      <c r="AC159" s="49" t="s">
        <v>26</v>
      </c>
      <c r="AD159" s="50" t="s">
        <v>25</v>
      </c>
      <c r="AE159" s="51"/>
      <c r="AF159" s="31"/>
      <c r="AG159" s="39"/>
      <c r="AH159" s="41">
        <v>0.117</v>
      </c>
      <c r="AI159" s="41">
        <v>0.06</v>
      </c>
      <c r="AJ159" s="41">
        <v>0.045</v>
      </c>
      <c r="AK159" s="41">
        <v>0.018</v>
      </c>
      <c r="AL159" s="47"/>
      <c r="AM159" s="42">
        <v>0.05</v>
      </c>
      <c r="AN159" s="52" t="s">
        <v>26</v>
      </c>
      <c r="AO159" s="39"/>
      <c r="AP159" s="39"/>
      <c r="AQ159" s="53" t="s">
        <v>26</v>
      </c>
      <c r="AR159" s="54" t="s">
        <v>25</v>
      </c>
      <c r="AS159" s="51"/>
      <c r="AT159" s="39"/>
      <c r="AU159" s="55">
        <v>0.17</v>
      </c>
      <c r="AV159" s="47"/>
      <c r="AW159" s="55">
        <v>0.04</v>
      </c>
      <c r="AX159" s="52" t="s">
        <v>26</v>
      </c>
      <c r="AY159" s="39"/>
      <c r="AZ159" s="39"/>
      <c r="BA159" s="53" t="s">
        <v>26</v>
      </c>
      <c r="BB159" s="54" t="s">
        <v>25</v>
      </c>
      <c r="BC159" s="39"/>
    </row>
    <row r="160">
      <c r="A160" s="168" t="s">
        <v>154</v>
      </c>
      <c r="B160" s="169"/>
      <c r="C160" s="170">
        <v>0.7</v>
      </c>
      <c r="D160" s="171"/>
      <c r="E160" s="172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74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76"/>
      <c r="AG160" s="169"/>
      <c r="AH160" s="169"/>
      <c r="AI160" s="169"/>
      <c r="AJ160" s="169"/>
      <c r="AK160" s="169"/>
      <c r="AL160" s="169"/>
      <c r="AM160" s="169"/>
      <c r="AN160" s="169"/>
      <c r="AO160" s="169"/>
      <c r="AP160" s="169"/>
      <c r="AQ160" s="169"/>
      <c r="AR160" s="169"/>
      <c r="AS160" s="169"/>
      <c r="AT160" s="169"/>
      <c r="AU160" s="169"/>
      <c r="AV160" s="169"/>
      <c r="AW160" s="169"/>
      <c r="AX160" s="169"/>
      <c r="AY160" s="169"/>
      <c r="AZ160" s="169"/>
      <c r="BA160" s="169"/>
      <c r="BB160" s="169"/>
      <c r="BC160" s="169"/>
    </row>
    <row r="161">
      <c r="A161" s="104" t="s">
        <v>155</v>
      </c>
      <c r="B161" s="68">
        <v>5770.0</v>
      </c>
      <c r="C161" s="65">
        <f t="shared" ref="C161:C164" si="406">B161*$C$160</f>
        <v>4039</v>
      </c>
      <c r="D161" s="66">
        <f t="shared" ref="D161:D164" si="407">C161/$D$4</f>
        <v>3638.738739</v>
      </c>
      <c r="E161" s="124">
        <v>1.0</v>
      </c>
      <c r="F161" s="66">
        <f t="shared" ref="F161:F164" si="408">P161*$F$159</f>
        <v>760</v>
      </c>
      <c r="G161" s="66">
        <f t="shared" ref="G161:G164" si="409">P161*$G$159</f>
        <v>640</v>
      </c>
      <c r="H161" s="66">
        <f t="shared" ref="H161:H164" si="410">P161*$H$159</f>
        <v>360</v>
      </c>
      <c r="I161" s="66">
        <f t="shared" ref="I161:I164" si="411">P161*$I$159</f>
        <v>144</v>
      </c>
      <c r="J161" s="68">
        <v>1250.0</v>
      </c>
      <c r="K161" s="66">
        <f t="shared" ref="K161:K164" si="412">D161*$K$159</f>
        <v>181.9369369</v>
      </c>
      <c r="L161" s="69">
        <f t="shared" ref="L161:L164" si="413">(D161*E161)+F161+G161+H161+I161+J161+K161</f>
        <v>6974.675676</v>
      </c>
      <c r="M161" s="70">
        <f t="shared" ref="M161:M164" si="414">N161/O161</f>
        <v>0.03226375</v>
      </c>
      <c r="N161" s="71">
        <f t="shared" ref="N161:N164" si="415">O161-L161</f>
        <v>232.5315315</v>
      </c>
      <c r="O161" s="66">
        <f t="shared" ref="O161:O164" si="416">P161/$O$4</f>
        <v>7207.207207</v>
      </c>
      <c r="P161" s="78">
        <v>8000.0</v>
      </c>
      <c r="Q161" s="73">
        <f t="shared" ref="Q161:Q164" si="417">P161/E161</f>
        <v>8000</v>
      </c>
      <c r="R161" s="74"/>
      <c r="S161" s="112"/>
      <c r="AF161" s="76"/>
    </row>
    <row r="162">
      <c r="A162" s="104" t="s">
        <v>156</v>
      </c>
      <c r="B162" s="68">
        <v>4330.0</v>
      </c>
      <c r="C162" s="65">
        <f t="shared" si="406"/>
        <v>3031</v>
      </c>
      <c r="D162" s="66">
        <f t="shared" si="407"/>
        <v>2730.630631</v>
      </c>
      <c r="E162" s="124">
        <v>1.0</v>
      </c>
      <c r="F162" s="66">
        <f t="shared" si="408"/>
        <v>617.5</v>
      </c>
      <c r="G162" s="66">
        <f t="shared" si="409"/>
        <v>520</v>
      </c>
      <c r="H162" s="66">
        <f t="shared" si="410"/>
        <v>292.5</v>
      </c>
      <c r="I162" s="66">
        <f t="shared" si="411"/>
        <v>117</v>
      </c>
      <c r="J162" s="68">
        <v>1250.0</v>
      </c>
      <c r="K162" s="66">
        <f t="shared" si="412"/>
        <v>136.5315315</v>
      </c>
      <c r="L162" s="69">
        <f t="shared" si="413"/>
        <v>5664.162162</v>
      </c>
      <c r="M162" s="70">
        <f t="shared" si="414"/>
        <v>0.03273538462</v>
      </c>
      <c r="N162" s="71">
        <f t="shared" si="415"/>
        <v>191.6936937</v>
      </c>
      <c r="O162" s="66">
        <f t="shared" si="416"/>
        <v>5855.855856</v>
      </c>
      <c r="P162" s="78">
        <v>6500.0</v>
      </c>
      <c r="Q162" s="73">
        <f t="shared" si="417"/>
        <v>6500</v>
      </c>
      <c r="R162" s="74"/>
      <c r="S162" s="112"/>
      <c r="AF162" s="76"/>
    </row>
    <row r="163">
      <c r="A163" s="104" t="s">
        <v>157</v>
      </c>
      <c r="B163" s="66">
        <f t="shared" ref="B163:B164" si="418">B161</f>
        <v>5770</v>
      </c>
      <c r="C163" s="65">
        <f t="shared" si="406"/>
        <v>4039</v>
      </c>
      <c r="D163" s="66">
        <f t="shared" si="407"/>
        <v>3638.738739</v>
      </c>
      <c r="E163" s="134">
        <v>12.0</v>
      </c>
      <c r="F163" s="66">
        <f t="shared" si="408"/>
        <v>6840</v>
      </c>
      <c r="G163" s="66">
        <f t="shared" si="409"/>
        <v>5760</v>
      </c>
      <c r="H163" s="66">
        <f t="shared" si="410"/>
        <v>3240</v>
      </c>
      <c r="I163" s="66">
        <f t="shared" si="411"/>
        <v>1296</v>
      </c>
      <c r="J163" s="68">
        <v>1250.0</v>
      </c>
      <c r="K163" s="66">
        <f t="shared" si="412"/>
        <v>181.9369369</v>
      </c>
      <c r="L163" s="69">
        <f t="shared" si="413"/>
        <v>62232.8018</v>
      </c>
      <c r="M163" s="70">
        <f t="shared" si="414"/>
        <v>0.04057763889</v>
      </c>
      <c r="N163" s="71">
        <f t="shared" si="415"/>
        <v>2632.063063</v>
      </c>
      <c r="O163" s="66">
        <f t="shared" si="416"/>
        <v>64864.86486</v>
      </c>
      <c r="P163" s="78">
        <v>72000.0</v>
      </c>
      <c r="Q163" s="73">
        <f t="shared" si="417"/>
        <v>6000</v>
      </c>
      <c r="R163" s="74"/>
      <c r="S163" s="112"/>
      <c r="AF163" s="76"/>
    </row>
    <row r="164">
      <c r="A164" s="104" t="s">
        <v>158</v>
      </c>
      <c r="B164" s="66">
        <f t="shared" si="418"/>
        <v>4330</v>
      </c>
      <c r="C164" s="65">
        <f t="shared" si="406"/>
        <v>3031</v>
      </c>
      <c r="D164" s="66">
        <f t="shared" si="407"/>
        <v>2730.630631</v>
      </c>
      <c r="E164" s="134">
        <v>12.0</v>
      </c>
      <c r="F164" s="66">
        <f t="shared" si="408"/>
        <v>5130</v>
      </c>
      <c r="G164" s="66">
        <f t="shared" si="409"/>
        <v>4320</v>
      </c>
      <c r="H164" s="66">
        <f t="shared" si="410"/>
        <v>2430</v>
      </c>
      <c r="I164" s="66">
        <f t="shared" si="411"/>
        <v>972</v>
      </c>
      <c r="J164" s="68">
        <v>1250.0</v>
      </c>
      <c r="K164" s="66">
        <f t="shared" si="412"/>
        <v>136.5315315</v>
      </c>
      <c r="L164" s="69">
        <f t="shared" si="413"/>
        <v>47006.0991</v>
      </c>
      <c r="M164" s="70">
        <f t="shared" si="414"/>
        <v>0.03376351852</v>
      </c>
      <c r="N164" s="71">
        <f t="shared" si="415"/>
        <v>1642.54955</v>
      </c>
      <c r="O164" s="66">
        <f t="shared" si="416"/>
        <v>48648.64865</v>
      </c>
      <c r="P164" s="78">
        <v>54000.0</v>
      </c>
      <c r="Q164" s="73">
        <f t="shared" si="417"/>
        <v>4500</v>
      </c>
      <c r="R164" s="74"/>
      <c r="S164" s="112"/>
      <c r="AF164" s="76"/>
    </row>
    <row r="165">
      <c r="A165" s="104"/>
      <c r="B165" s="66"/>
      <c r="C165" s="65"/>
      <c r="D165" s="123"/>
      <c r="E165" s="124"/>
      <c r="L165" s="125"/>
      <c r="N165" s="126"/>
      <c r="P165" s="127"/>
      <c r="Q165" s="128"/>
      <c r="R165" s="74"/>
      <c r="S165" s="112"/>
      <c r="AF165" s="76"/>
    </row>
    <row r="166">
      <c r="A166" s="104"/>
      <c r="B166" s="66"/>
      <c r="C166" s="65"/>
      <c r="D166" s="123"/>
      <c r="E166" s="124"/>
      <c r="L166" s="125"/>
      <c r="N166" s="126"/>
      <c r="P166" s="127"/>
      <c r="Q166" s="128"/>
      <c r="R166" s="74"/>
      <c r="S166" s="112"/>
      <c r="AF166" s="76"/>
    </row>
    <row r="167">
      <c r="A167" s="104"/>
      <c r="C167" s="65"/>
      <c r="D167" s="123"/>
      <c r="E167" s="124"/>
      <c r="L167" s="125"/>
      <c r="N167" s="126"/>
      <c r="P167" s="127"/>
      <c r="Q167" s="128"/>
      <c r="R167" s="74"/>
      <c r="S167" s="112"/>
      <c r="AF167" s="76"/>
    </row>
    <row r="168">
      <c r="A168" s="173" t="s">
        <v>159</v>
      </c>
      <c r="B168" s="174"/>
      <c r="C168" s="175">
        <f t="shared" ref="C168:C170" si="419">B168*$C$4</f>
        <v>0</v>
      </c>
      <c r="D168" s="176"/>
      <c r="E168" s="177">
        <v>1.0</v>
      </c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76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4"/>
      <c r="AT168" s="174"/>
      <c r="AU168" s="174"/>
      <c r="AV168" s="174"/>
      <c r="AW168" s="174"/>
      <c r="AX168" s="174"/>
      <c r="AY168" s="174"/>
      <c r="AZ168" s="174"/>
      <c r="BA168" s="174"/>
      <c r="BB168" s="174"/>
      <c r="BC168" s="174"/>
    </row>
    <row r="169">
      <c r="A169" s="178"/>
      <c r="C169" s="65">
        <f t="shared" si="419"/>
        <v>0</v>
      </c>
      <c r="D169" s="123"/>
      <c r="E169" s="178"/>
      <c r="L169" s="125"/>
      <c r="N169" s="126"/>
      <c r="P169" s="127"/>
      <c r="Q169" s="128"/>
      <c r="R169" s="74"/>
      <c r="AF169" s="76"/>
    </row>
    <row r="170">
      <c r="A170" s="179" t="s">
        <v>160</v>
      </c>
      <c r="C170" s="65">
        <f t="shared" si="419"/>
        <v>0</v>
      </c>
      <c r="D170" s="123"/>
      <c r="E170" s="124">
        <v>1.0</v>
      </c>
      <c r="L170" s="125"/>
      <c r="N170" s="126"/>
      <c r="P170" s="127"/>
      <c r="Q170" s="128"/>
      <c r="R170" s="74"/>
      <c r="AF170" s="76"/>
    </row>
    <row r="171">
      <c r="A171" s="178"/>
      <c r="D171" s="123"/>
      <c r="E171" s="124">
        <v>1.0</v>
      </c>
      <c r="L171" s="125"/>
      <c r="N171" s="126"/>
      <c r="P171" s="127"/>
      <c r="Q171" s="128"/>
      <c r="R171" s="74"/>
      <c r="AF171" s="76"/>
    </row>
    <row r="172">
      <c r="D172" s="123"/>
      <c r="L172" s="125"/>
      <c r="N172" s="126"/>
      <c r="P172" s="127"/>
      <c r="Q172" s="128"/>
      <c r="R172" s="74"/>
      <c r="AF172" s="76"/>
    </row>
    <row r="173">
      <c r="D173" s="123"/>
      <c r="L173" s="125"/>
      <c r="N173" s="126"/>
      <c r="P173" s="127"/>
      <c r="Q173" s="128"/>
      <c r="R173" s="74"/>
      <c r="AF173" s="76"/>
    </row>
    <row r="174">
      <c r="D174" s="123"/>
      <c r="L174" s="125"/>
      <c r="N174" s="126"/>
      <c r="P174" s="127"/>
      <c r="Q174" s="128"/>
      <c r="R174" s="74"/>
      <c r="AF174" s="76"/>
    </row>
    <row r="175">
      <c r="D175" s="123"/>
      <c r="L175" s="125"/>
      <c r="N175" s="126"/>
      <c r="P175" s="127"/>
      <c r="Q175" s="128"/>
      <c r="R175" s="74"/>
      <c r="AF175" s="76"/>
    </row>
    <row r="176">
      <c r="D176" s="123"/>
      <c r="L176" s="125"/>
      <c r="N176" s="126"/>
      <c r="P176" s="127"/>
      <c r="Q176" s="128"/>
      <c r="R176" s="74"/>
      <c r="AF176" s="76"/>
    </row>
    <row r="177">
      <c r="D177" s="123"/>
      <c r="L177" s="125"/>
      <c r="N177" s="126"/>
      <c r="P177" s="127"/>
      <c r="Q177" s="128"/>
      <c r="R177" s="74"/>
      <c r="AF177" s="76"/>
    </row>
    <row r="178">
      <c r="D178" s="123"/>
      <c r="L178" s="125"/>
      <c r="N178" s="126"/>
      <c r="P178" s="127"/>
      <c r="Q178" s="128"/>
      <c r="R178" s="74"/>
      <c r="AF178" s="76"/>
    </row>
    <row r="179">
      <c r="D179" s="123"/>
      <c r="L179" s="125"/>
      <c r="N179" s="126"/>
      <c r="P179" s="127"/>
      <c r="Q179" s="128"/>
      <c r="R179" s="74"/>
      <c r="AF179" s="76"/>
    </row>
    <row r="180">
      <c r="D180" s="123"/>
      <c r="L180" s="125"/>
      <c r="N180" s="126"/>
      <c r="P180" s="127"/>
      <c r="Q180" s="128"/>
      <c r="R180" s="74"/>
      <c r="AF180" s="76"/>
    </row>
    <row r="181">
      <c r="D181" s="123"/>
      <c r="L181" s="125"/>
      <c r="N181" s="126"/>
      <c r="P181" s="127"/>
      <c r="Q181" s="128"/>
      <c r="R181" s="74"/>
      <c r="AF181" s="76"/>
    </row>
    <row r="182">
      <c r="D182" s="123"/>
      <c r="L182" s="125"/>
      <c r="N182" s="126"/>
      <c r="P182" s="127"/>
      <c r="Q182" s="128"/>
      <c r="R182" s="74"/>
      <c r="AF182" s="76"/>
    </row>
    <row r="183">
      <c r="D183" s="123"/>
      <c r="L183" s="125"/>
      <c r="N183" s="126"/>
      <c r="P183" s="127"/>
      <c r="Q183" s="128"/>
      <c r="R183" s="74"/>
      <c r="AF183" s="76"/>
    </row>
    <row r="184">
      <c r="D184" s="123"/>
      <c r="L184" s="125"/>
      <c r="N184" s="126"/>
      <c r="P184" s="127"/>
      <c r="Q184" s="128"/>
      <c r="R184" s="74"/>
      <c r="AF184" s="76"/>
    </row>
    <row r="185">
      <c r="D185" s="123"/>
      <c r="L185" s="125"/>
      <c r="N185" s="126"/>
      <c r="P185" s="127"/>
      <c r="Q185" s="128"/>
      <c r="R185" s="74"/>
      <c r="AF185" s="76"/>
    </row>
    <row r="186">
      <c r="D186" s="123"/>
      <c r="L186" s="125"/>
      <c r="N186" s="126"/>
      <c r="P186" s="127"/>
      <c r="Q186" s="128"/>
      <c r="R186" s="74"/>
      <c r="AF186" s="76"/>
    </row>
    <row r="187">
      <c r="D187" s="123"/>
      <c r="L187" s="125"/>
      <c r="N187" s="126"/>
      <c r="P187" s="127"/>
      <c r="Q187" s="128"/>
      <c r="R187" s="74"/>
      <c r="AF187" s="76"/>
    </row>
    <row r="188">
      <c r="D188" s="123"/>
      <c r="L188" s="125"/>
      <c r="N188" s="126"/>
      <c r="P188" s="127"/>
      <c r="Q188" s="128"/>
      <c r="R188" s="74"/>
      <c r="AF188" s="76"/>
    </row>
    <row r="189">
      <c r="D189" s="123"/>
      <c r="L189" s="125"/>
      <c r="N189" s="126"/>
      <c r="P189" s="127"/>
      <c r="Q189" s="128"/>
      <c r="R189" s="74"/>
      <c r="AF189" s="76"/>
    </row>
    <row r="190">
      <c r="D190" s="123"/>
      <c r="L190" s="125"/>
      <c r="N190" s="126"/>
      <c r="P190" s="127"/>
      <c r="Q190" s="128"/>
      <c r="R190" s="74"/>
      <c r="AF190" s="76"/>
    </row>
    <row r="191">
      <c r="D191" s="123"/>
      <c r="L191" s="125"/>
      <c r="N191" s="126"/>
      <c r="P191" s="127"/>
      <c r="Q191" s="128"/>
      <c r="R191" s="74"/>
      <c r="AF191" s="76"/>
    </row>
    <row r="192">
      <c r="D192" s="123"/>
      <c r="L192" s="125"/>
      <c r="N192" s="126"/>
      <c r="P192" s="127"/>
      <c r="Q192" s="128"/>
      <c r="R192" s="74"/>
      <c r="AF192" s="76"/>
    </row>
    <row r="193">
      <c r="D193" s="123"/>
      <c r="L193" s="125"/>
      <c r="N193" s="126"/>
      <c r="P193" s="127"/>
      <c r="Q193" s="128"/>
      <c r="R193" s="74"/>
      <c r="AF193" s="76"/>
    </row>
    <row r="194">
      <c r="D194" s="123"/>
      <c r="L194" s="125"/>
      <c r="N194" s="126"/>
      <c r="P194" s="127"/>
      <c r="Q194" s="128"/>
      <c r="R194" s="74"/>
      <c r="AF194" s="76"/>
    </row>
    <row r="195">
      <c r="D195" s="123"/>
      <c r="L195" s="125"/>
      <c r="N195" s="126"/>
      <c r="P195" s="127"/>
      <c r="Q195" s="128"/>
      <c r="R195" s="74"/>
      <c r="AF195" s="76"/>
    </row>
    <row r="196">
      <c r="D196" s="123"/>
      <c r="L196" s="125"/>
      <c r="N196" s="126"/>
      <c r="P196" s="127"/>
      <c r="Q196" s="128"/>
      <c r="R196" s="74"/>
      <c r="AF196" s="76"/>
    </row>
    <row r="197">
      <c r="D197" s="123"/>
      <c r="L197" s="125"/>
      <c r="N197" s="126"/>
      <c r="P197" s="127"/>
      <c r="Q197" s="128"/>
      <c r="R197" s="74"/>
      <c r="AF197" s="76"/>
    </row>
    <row r="198">
      <c r="D198" s="123"/>
      <c r="L198" s="125"/>
      <c r="N198" s="126"/>
      <c r="P198" s="127"/>
      <c r="Q198" s="128"/>
      <c r="R198" s="74"/>
      <c r="AF198" s="76"/>
    </row>
    <row r="199">
      <c r="D199" s="123"/>
      <c r="L199" s="125"/>
      <c r="N199" s="126"/>
      <c r="P199" s="127"/>
      <c r="Q199" s="128"/>
      <c r="R199" s="74"/>
      <c r="AF199" s="76"/>
    </row>
    <row r="200">
      <c r="D200" s="123"/>
      <c r="L200" s="125"/>
      <c r="N200" s="126"/>
      <c r="P200" s="127"/>
      <c r="Q200" s="128"/>
      <c r="R200" s="74"/>
      <c r="AF200" s="76"/>
    </row>
    <row r="201">
      <c r="D201" s="123"/>
      <c r="L201" s="125"/>
      <c r="N201" s="126"/>
      <c r="P201" s="127"/>
      <c r="Q201" s="128"/>
      <c r="R201" s="74"/>
      <c r="AF201" s="76"/>
    </row>
    <row r="202">
      <c r="D202" s="123"/>
      <c r="L202" s="125"/>
      <c r="N202" s="126"/>
      <c r="P202" s="127"/>
      <c r="Q202" s="128"/>
      <c r="R202" s="74"/>
      <c r="AF202" s="76"/>
    </row>
    <row r="203">
      <c r="D203" s="123"/>
      <c r="L203" s="125"/>
      <c r="N203" s="126"/>
      <c r="P203" s="127"/>
      <c r="Q203" s="128"/>
      <c r="R203" s="74"/>
      <c r="AF203" s="76"/>
    </row>
    <row r="204">
      <c r="D204" s="123"/>
      <c r="L204" s="125"/>
      <c r="N204" s="126"/>
      <c r="P204" s="127"/>
      <c r="Q204" s="128"/>
      <c r="R204" s="74"/>
      <c r="AF204" s="76"/>
    </row>
    <row r="205">
      <c r="D205" s="123"/>
      <c r="L205" s="125"/>
      <c r="N205" s="126"/>
      <c r="P205" s="127"/>
      <c r="Q205" s="128"/>
      <c r="R205" s="74"/>
      <c r="AF205" s="76"/>
    </row>
    <row r="206">
      <c r="D206" s="123"/>
      <c r="L206" s="125"/>
      <c r="N206" s="126"/>
      <c r="P206" s="127"/>
      <c r="Q206" s="128"/>
      <c r="R206" s="74"/>
      <c r="AF206" s="76"/>
    </row>
    <row r="207">
      <c r="D207" s="123"/>
      <c r="L207" s="125"/>
      <c r="N207" s="126"/>
      <c r="P207" s="127"/>
      <c r="Q207" s="128"/>
      <c r="R207" s="74"/>
      <c r="AF207" s="76"/>
    </row>
    <row r="208">
      <c r="D208" s="123"/>
      <c r="L208" s="125"/>
      <c r="N208" s="126"/>
      <c r="P208" s="127"/>
      <c r="Q208" s="128"/>
      <c r="R208" s="74"/>
      <c r="AF208" s="76"/>
    </row>
    <row r="209">
      <c r="D209" s="123"/>
      <c r="L209" s="125"/>
      <c r="N209" s="126"/>
      <c r="P209" s="127"/>
      <c r="Q209" s="128"/>
      <c r="R209" s="74"/>
      <c r="AF209" s="76"/>
    </row>
    <row r="210">
      <c r="D210" s="123"/>
      <c r="L210" s="125"/>
      <c r="N210" s="126"/>
      <c r="P210" s="127"/>
      <c r="Q210" s="128"/>
      <c r="R210" s="74"/>
      <c r="AF210" s="76"/>
    </row>
    <row r="211">
      <c r="D211" s="123"/>
      <c r="L211" s="125"/>
      <c r="N211" s="126"/>
      <c r="P211" s="127"/>
      <c r="Q211" s="128"/>
      <c r="R211" s="74"/>
      <c r="AF211" s="76"/>
    </row>
    <row r="212">
      <c r="D212" s="123"/>
      <c r="L212" s="125"/>
      <c r="N212" s="126"/>
      <c r="P212" s="127"/>
      <c r="Q212" s="128"/>
      <c r="R212" s="74"/>
      <c r="AF212" s="76"/>
    </row>
    <row r="213">
      <c r="D213" s="123"/>
      <c r="L213" s="125"/>
      <c r="N213" s="126"/>
      <c r="P213" s="127"/>
      <c r="Q213" s="128"/>
      <c r="R213" s="74"/>
      <c r="AF213" s="76"/>
    </row>
    <row r="214">
      <c r="D214" s="123"/>
      <c r="L214" s="125"/>
      <c r="N214" s="126"/>
      <c r="P214" s="127"/>
      <c r="Q214" s="128"/>
      <c r="R214" s="74"/>
      <c r="AF214" s="76"/>
    </row>
    <row r="215">
      <c r="D215" s="123"/>
      <c r="L215" s="125"/>
      <c r="N215" s="126"/>
      <c r="P215" s="127"/>
      <c r="Q215" s="128"/>
      <c r="R215" s="74"/>
      <c r="AF215" s="76"/>
    </row>
    <row r="216">
      <c r="D216" s="123"/>
      <c r="L216" s="125"/>
      <c r="N216" s="126"/>
      <c r="P216" s="127"/>
      <c r="Q216" s="128"/>
      <c r="R216" s="74"/>
      <c r="AF216" s="76"/>
    </row>
    <row r="217">
      <c r="D217" s="123"/>
      <c r="L217" s="125"/>
      <c r="N217" s="126"/>
      <c r="P217" s="127"/>
      <c r="Q217" s="128"/>
      <c r="R217" s="74"/>
      <c r="AF217" s="76"/>
    </row>
    <row r="218">
      <c r="D218" s="123"/>
      <c r="L218" s="125"/>
      <c r="N218" s="126"/>
      <c r="P218" s="127"/>
      <c r="Q218" s="128"/>
      <c r="R218" s="74"/>
      <c r="AF218" s="76"/>
    </row>
    <row r="219">
      <c r="D219" s="123"/>
      <c r="L219" s="125"/>
      <c r="N219" s="126"/>
      <c r="P219" s="127"/>
      <c r="Q219" s="128"/>
      <c r="R219" s="74"/>
      <c r="AF219" s="76"/>
    </row>
    <row r="220">
      <c r="D220" s="123"/>
      <c r="L220" s="125"/>
      <c r="N220" s="126"/>
      <c r="P220" s="127"/>
      <c r="Q220" s="128"/>
      <c r="R220" s="74"/>
      <c r="AF220" s="76"/>
    </row>
    <row r="221">
      <c r="D221" s="123"/>
      <c r="L221" s="125"/>
      <c r="N221" s="126"/>
      <c r="P221" s="127"/>
      <c r="Q221" s="128"/>
      <c r="R221" s="74"/>
      <c r="AF221" s="76"/>
    </row>
    <row r="222">
      <c r="D222" s="123"/>
      <c r="L222" s="125"/>
      <c r="N222" s="126"/>
      <c r="P222" s="127"/>
      <c r="Q222" s="128"/>
      <c r="R222" s="74"/>
      <c r="AF222" s="76"/>
    </row>
    <row r="223">
      <c r="D223" s="123"/>
      <c r="L223" s="125"/>
      <c r="N223" s="126"/>
      <c r="P223" s="127"/>
      <c r="Q223" s="128"/>
      <c r="R223" s="74"/>
      <c r="AF223" s="76"/>
    </row>
    <row r="224">
      <c r="D224" s="123"/>
      <c r="L224" s="125"/>
      <c r="N224" s="126"/>
      <c r="P224" s="127"/>
      <c r="Q224" s="128"/>
      <c r="R224" s="74"/>
      <c r="AF224" s="76"/>
    </row>
    <row r="225">
      <c r="D225" s="123"/>
      <c r="L225" s="125"/>
      <c r="N225" s="126"/>
      <c r="P225" s="127"/>
      <c r="Q225" s="128"/>
      <c r="R225" s="74"/>
      <c r="AF225" s="76"/>
    </row>
    <row r="226">
      <c r="D226" s="123"/>
      <c r="L226" s="125"/>
      <c r="N226" s="126"/>
      <c r="P226" s="127"/>
      <c r="Q226" s="128"/>
      <c r="R226" s="74"/>
      <c r="AF226" s="76"/>
    </row>
    <row r="227">
      <c r="D227" s="123"/>
      <c r="L227" s="125"/>
      <c r="N227" s="126"/>
      <c r="P227" s="127"/>
      <c r="Q227" s="128"/>
      <c r="R227" s="74"/>
      <c r="AF227" s="76"/>
    </row>
    <row r="228">
      <c r="D228" s="123"/>
      <c r="L228" s="125"/>
      <c r="N228" s="126"/>
      <c r="P228" s="127"/>
      <c r="Q228" s="128"/>
      <c r="R228" s="74"/>
      <c r="AF228" s="76"/>
    </row>
    <row r="229">
      <c r="D229" s="123"/>
      <c r="L229" s="125"/>
      <c r="N229" s="126"/>
      <c r="P229" s="127"/>
      <c r="Q229" s="128"/>
      <c r="R229" s="74"/>
      <c r="AF229" s="76"/>
    </row>
    <row r="230">
      <c r="D230" s="123"/>
      <c r="L230" s="125"/>
      <c r="N230" s="126"/>
      <c r="P230" s="127"/>
      <c r="Q230" s="128"/>
      <c r="R230" s="74"/>
      <c r="AF230" s="76"/>
    </row>
    <row r="231">
      <c r="D231" s="123"/>
      <c r="L231" s="125"/>
      <c r="N231" s="126"/>
      <c r="P231" s="127"/>
      <c r="Q231" s="128"/>
      <c r="R231" s="74"/>
      <c r="AF231" s="76"/>
    </row>
    <row r="232">
      <c r="D232" s="123"/>
      <c r="L232" s="125"/>
      <c r="N232" s="126"/>
      <c r="P232" s="127"/>
      <c r="Q232" s="128"/>
      <c r="R232" s="74"/>
      <c r="AF232" s="76"/>
    </row>
    <row r="233">
      <c r="D233" s="123"/>
      <c r="L233" s="125"/>
      <c r="N233" s="126"/>
      <c r="P233" s="127"/>
      <c r="Q233" s="128"/>
      <c r="R233" s="74"/>
      <c r="AF233" s="76"/>
    </row>
    <row r="234">
      <c r="D234" s="123"/>
      <c r="L234" s="125"/>
      <c r="N234" s="126"/>
      <c r="P234" s="127"/>
      <c r="Q234" s="128"/>
      <c r="R234" s="74"/>
      <c r="AF234" s="76"/>
    </row>
    <row r="235">
      <c r="D235" s="123"/>
      <c r="L235" s="125"/>
      <c r="N235" s="126"/>
      <c r="P235" s="127"/>
      <c r="Q235" s="128"/>
      <c r="R235" s="74"/>
      <c r="AF235" s="76"/>
    </row>
    <row r="236">
      <c r="D236" s="123"/>
      <c r="L236" s="125"/>
      <c r="N236" s="126"/>
      <c r="P236" s="127"/>
      <c r="Q236" s="128"/>
      <c r="R236" s="74"/>
      <c r="AF236" s="76"/>
    </row>
    <row r="237">
      <c r="D237" s="123"/>
      <c r="L237" s="125"/>
      <c r="N237" s="126"/>
      <c r="P237" s="127"/>
      <c r="Q237" s="128"/>
      <c r="R237" s="74"/>
      <c r="AF237" s="76"/>
    </row>
    <row r="238">
      <c r="D238" s="123"/>
      <c r="L238" s="125"/>
      <c r="N238" s="126"/>
      <c r="P238" s="127"/>
      <c r="Q238" s="128"/>
      <c r="R238" s="74"/>
      <c r="AF238" s="76"/>
    </row>
    <row r="239">
      <c r="D239" s="123"/>
      <c r="L239" s="125"/>
      <c r="N239" s="126"/>
      <c r="P239" s="127"/>
      <c r="Q239" s="128"/>
      <c r="R239" s="74"/>
      <c r="AF239" s="76"/>
    </row>
    <row r="240">
      <c r="D240" s="123"/>
      <c r="L240" s="125"/>
      <c r="N240" s="126"/>
      <c r="P240" s="127"/>
      <c r="Q240" s="128"/>
      <c r="R240" s="74"/>
      <c r="AF240" s="76"/>
    </row>
    <row r="241">
      <c r="D241" s="123"/>
      <c r="L241" s="125"/>
      <c r="N241" s="126"/>
      <c r="P241" s="127"/>
      <c r="Q241" s="128"/>
      <c r="R241" s="74"/>
      <c r="AF241" s="76"/>
    </row>
    <row r="242">
      <c r="D242" s="123"/>
      <c r="L242" s="125"/>
      <c r="N242" s="126"/>
      <c r="P242" s="127"/>
      <c r="Q242" s="128"/>
      <c r="R242" s="74"/>
      <c r="AF242" s="76"/>
    </row>
    <row r="243">
      <c r="D243" s="123"/>
      <c r="L243" s="125"/>
      <c r="N243" s="126"/>
      <c r="P243" s="127"/>
      <c r="Q243" s="128"/>
      <c r="R243" s="74"/>
      <c r="AF243" s="76"/>
    </row>
    <row r="244">
      <c r="D244" s="123"/>
      <c r="L244" s="125"/>
      <c r="N244" s="126"/>
      <c r="P244" s="127"/>
      <c r="Q244" s="128"/>
      <c r="R244" s="74"/>
      <c r="AF244" s="76"/>
    </row>
    <row r="245">
      <c r="D245" s="123"/>
      <c r="L245" s="125"/>
      <c r="N245" s="126"/>
      <c r="P245" s="127"/>
      <c r="Q245" s="128"/>
      <c r="R245" s="74"/>
      <c r="AF245" s="76"/>
    </row>
    <row r="246">
      <c r="D246" s="123"/>
      <c r="L246" s="125"/>
      <c r="N246" s="126"/>
      <c r="P246" s="127"/>
      <c r="Q246" s="128"/>
      <c r="R246" s="74"/>
      <c r="AF246" s="76"/>
    </row>
    <row r="247">
      <c r="D247" s="123"/>
      <c r="L247" s="125"/>
      <c r="N247" s="126"/>
      <c r="P247" s="127"/>
      <c r="Q247" s="128"/>
      <c r="R247" s="74"/>
      <c r="AF247" s="76"/>
    </row>
    <row r="248">
      <c r="D248" s="123"/>
      <c r="L248" s="125"/>
      <c r="N248" s="126"/>
      <c r="P248" s="127"/>
      <c r="Q248" s="128"/>
      <c r="R248" s="74"/>
      <c r="AF248" s="76"/>
    </row>
    <row r="249">
      <c r="D249" s="123"/>
      <c r="L249" s="125"/>
      <c r="N249" s="126"/>
      <c r="P249" s="127"/>
      <c r="Q249" s="128"/>
      <c r="R249" s="74"/>
      <c r="AF249" s="76"/>
    </row>
    <row r="250">
      <c r="D250" s="123"/>
      <c r="L250" s="125"/>
      <c r="N250" s="126"/>
      <c r="P250" s="127"/>
      <c r="Q250" s="128"/>
      <c r="R250" s="74"/>
      <c r="AF250" s="76"/>
    </row>
    <row r="251">
      <c r="D251" s="123"/>
      <c r="L251" s="125"/>
      <c r="N251" s="126"/>
      <c r="P251" s="127"/>
      <c r="Q251" s="128"/>
      <c r="R251" s="74"/>
      <c r="AF251" s="76"/>
    </row>
    <row r="252">
      <c r="D252" s="123"/>
      <c r="L252" s="125"/>
      <c r="N252" s="126"/>
      <c r="P252" s="127"/>
      <c r="Q252" s="128"/>
      <c r="R252" s="74"/>
      <c r="AF252" s="76"/>
    </row>
    <row r="253">
      <c r="D253" s="123"/>
      <c r="L253" s="125"/>
      <c r="N253" s="126"/>
      <c r="P253" s="127"/>
      <c r="Q253" s="128"/>
      <c r="R253" s="74"/>
      <c r="AF253" s="76"/>
    </row>
    <row r="254">
      <c r="D254" s="123"/>
      <c r="L254" s="125"/>
      <c r="N254" s="126"/>
      <c r="P254" s="127"/>
      <c r="Q254" s="128"/>
      <c r="R254" s="74"/>
      <c r="AF254" s="76"/>
    </row>
    <row r="255">
      <c r="D255" s="123"/>
      <c r="L255" s="125"/>
      <c r="N255" s="126"/>
      <c r="P255" s="127"/>
      <c r="Q255" s="128"/>
      <c r="R255" s="74"/>
      <c r="AF255" s="76"/>
    </row>
    <row r="256">
      <c r="D256" s="123"/>
      <c r="L256" s="125"/>
      <c r="N256" s="126"/>
      <c r="P256" s="127"/>
      <c r="Q256" s="128"/>
      <c r="R256" s="74"/>
      <c r="AF256" s="76"/>
    </row>
    <row r="257">
      <c r="D257" s="123"/>
      <c r="L257" s="125"/>
      <c r="N257" s="126"/>
      <c r="P257" s="127"/>
      <c r="Q257" s="128"/>
      <c r="R257" s="74"/>
      <c r="AF257" s="76"/>
    </row>
    <row r="258">
      <c r="D258" s="123"/>
      <c r="L258" s="125"/>
      <c r="N258" s="126"/>
      <c r="P258" s="127"/>
      <c r="Q258" s="128"/>
      <c r="R258" s="74"/>
      <c r="AF258" s="76"/>
    </row>
    <row r="259">
      <c r="D259" s="123"/>
      <c r="L259" s="125"/>
      <c r="N259" s="126"/>
      <c r="P259" s="127"/>
      <c r="Q259" s="128"/>
      <c r="R259" s="74"/>
      <c r="AF259" s="76"/>
    </row>
    <row r="260">
      <c r="D260" s="123"/>
      <c r="L260" s="125"/>
      <c r="N260" s="126"/>
      <c r="P260" s="127"/>
      <c r="Q260" s="128"/>
      <c r="R260" s="74"/>
      <c r="AF260" s="76"/>
    </row>
    <row r="261">
      <c r="D261" s="123"/>
      <c r="L261" s="125"/>
      <c r="N261" s="126"/>
      <c r="P261" s="127"/>
      <c r="Q261" s="128"/>
      <c r="R261" s="74"/>
      <c r="AF261" s="76"/>
    </row>
    <row r="262">
      <c r="D262" s="123"/>
      <c r="L262" s="125"/>
      <c r="N262" s="126"/>
      <c r="P262" s="127"/>
      <c r="Q262" s="128"/>
      <c r="R262" s="74"/>
      <c r="AF262" s="76"/>
    </row>
    <row r="263">
      <c r="D263" s="123"/>
      <c r="L263" s="125"/>
      <c r="N263" s="126"/>
      <c r="P263" s="127"/>
      <c r="Q263" s="128"/>
      <c r="R263" s="74"/>
      <c r="AF263" s="76"/>
    </row>
    <row r="264">
      <c r="D264" s="123"/>
      <c r="L264" s="125"/>
      <c r="N264" s="126"/>
      <c r="P264" s="127"/>
      <c r="Q264" s="128"/>
      <c r="R264" s="74"/>
      <c r="AF264" s="76"/>
    </row>
    <row r="265">
      <c r="D265" s="123"/>
      <c r="L265" s="125"/>
      <c r="N265" s="126"/>
      <c r="P265" s="127"/>
      <c r="Q265" s="128"/>
      <c r="R265" s="74"/>
      <c r="AF265" s="76"/>
    </row>
    <row r="266">
      <c r="D266" s="123"/>
      <c r="L266" s="125"/>
      <c r="N266" s="126"/>
      <c r="P266" s="127"/>
      <c r="Q266" s="128"/>
      <c r="R266" s="74"/>
      <c r="AF266" s="76"/>
    </row>
    <row r="267">
      <c r="D267" s="123"/>
      <c r="L267" s="125"/>
      <c r="N267" s="126"/>
      <c r="P267" s="127"/>
      <c r="Q267" s="128"/>
      <c r="R267" s="74"/>
      <c r="AF267" s="76"/>
    </row>
    <row r="268">
      <c r="D268" s="123"/>
      <c r="L268" s="125"/>
      <c r="N268" s="126"/>
      <c r="P268" s="127"/>
      <c r="Q268" s="128"/>
      <c r="R268" s="74"/>
      <c r="AF268" s="76"/>
    </row>
    <row r="269">
      <c r="D269" s="123"/>
      <c r="L269" s="125"/>
      <c r="N269" s="126"/>
      <c r="P269" s="127"/>
      <c r="Q269" s="128"/>
      <c r="R269" s="74"/>
      <c r="AF269" s="76"/>
    </row>
    <row r="270">
      <c r="D270" s="123"/>
      <c r="L270" s="125"/>
      <c r="N270" s="126"/>
      <c r="P270" s="127"/>
      <c r="Q270" s="128"/>
      <c r="R270" s="74"/>
      <c r="AF270" s="76"/>
    </row>
    <row r="271">
      <c r="D271" s="123"/>
      <c r="L271" s="125"/>
      <c r="N271" s="126"/>
      <c r="P271" s="127"/>
      <c r="Q271" s="128"/>
      <c r="R271" s="74"/>
      <c r="AF271" s="76"/>
    </row>
    <row r="272">
      <c r="D272" s="123"/>
      <c r="L272" s="125"/>
      <c r="N272" s="126"/>
      <c r="P272" s="127"/>
      <c r="Q272" s="128"/>
      <c r="R272" s="74"/>
      <c r="AF272" s="76"/>
    </row>
    <row r="273">
      <c r="D273" s="123"/>
      <c r="L273" s="125"/>
      <c r="N273" s="126"/>
      <c r="P273" s="127"/>
      <c r="Q273" s="128"/>
      <c r="R273" s="74"/>
      <c r="AF273" s="76"/>
    </row>
    <row r="274">
      <c r="D274" s="123"/>
      <c r="L274" s="125"/>
      <c r="N274" s="126"/>
      <c r="P274" s="127"/>
      <c r="Q274" s="128"/>
      <c r="R274" s="74"/>
      <c r="AF274" s="76"/>
    </row>
    <row r="275">
      <c r="D275" s="123"/>
      <c r="L275" s="125"/>
      <c r="N275" s="126"/>
      <c r="P275" s="127"/>
      <c r="Q275" s="128"/>
      <c r="R275" s="74"/>
      <c r="AF275" s="76"/>
    </row>
    <row r="276">
      <c r="D276" s="123"/>
      <c r="L276" s="125"/>
      <c r="N276" s="126"/>
      <c r="P276" s="127"/>
      <c r="Q276" s="128"/>
      <c r="R276" s="74"/>
      <c r="AF276" s="76"/>
    </row>
    <row r="277">
      <c r="D277" s="123"/>
      <c r="L277" s="125"/>
      <c r="N277" s="126"/>
      <c r="P277" s="127"/>
      <c r="Q277" s="128"/>
      <c r="R277" s="74"/>
      <c r="AF277" s="76"/>
    </row>
    <row r="278">
      <c r="D278" s="123"/>
      <c r="L278" s="125"/>
      <c r="N278" s="126"/>
      <c r="P278" s="127"/>
      <c r="Q278" s="128"/>
      <c r="R278" s="74"/>
      <c r="AF278" s="76"/>
    </row>
    <row r="279">
      <c r="D279" s="123"/>
      <c r="L279" s="125"/>
      <c r="N279" s="126"/>
      <c r="P279" s="127"/>
      <c r="Q279" s="128"/>
      <c r="R279" s="74"/>
      <c r="AF279" s="76"/>
    </row>
    <row r="280">
      <c r="D280" s="123"/>
      <c r="L280" s="125"/>
      <c r="N280" s="126"/>
      <c r="P280" s="127"/>
      <c r="Q280" s="128"/>
      <c r="R280" s="74"/>
      <c r="AF280" s="76"/>
    </row>
    <row r="281">
      <c r="D281" s="123"/>
      <c r="L281" s="125"/>
      <c r="N281" s="126"/>
      <c r="P281" s="127"/>
      <c r="Q281" s="128"/>
      <c r="R281" s="74"/>
      <c r="AF281" s="76"/>
    </row>
    <row r="282">
      <c r="D282" s="123"/>
      <c r="L282" s="125"/>
      <c r="N282" s="126"/>
      <c r="P282" s="127"/>
      <c r="Q282" s="128"/>
      <c r="R282" s="74"/>
      <c r="AF282" s="76"/>
    </row>
    <row r="283">
      <c r="D283" s="123"/>
      <c r="L283" s="125"/>
      <c r="N283" s="126"/>
      <c r="P283" s="127"/>
      <c r="Q283" s="128"/>
      <c r="R283" s="74"/>
      <c r="AF283" s="76"/>
    </row>
    <row r="284">
      <c r="D284" s="123"/>
      <c r="L284" s="125"/>
      <c r="N284" s="126"/>
      <c r="P284" s="127"/>
      <c r="Q284" s="128"/>
      <c r="R284" s="74"/>
      <c r="AF284" s="76"/>
    </row>
    <row r="285">
      <c r="D285" s="123"/>
      <c r="L285" s="125"/>
      <c r="N285" s="126"/>
      <c r="P285" s="127"/>
      <c r="Q285" s="128"/>
      <c r="R285" s="74"/>
      <c r="AF285" s="76"/>
    </row>
    <row r="286">
      <c r="D286" s="123"/>
      <c r="L286" s="125"/>
      <c r="N286" s="126"/>
      <c r="P286" s="127"/>
      <c r="Q286" s="128"/>
      <c r="R286" s="74"/>
      <c r="AF286" s="76"/>
    </row>
    <row r="287">
      <c r="D287" s="123"/>
      <c r="L287" s="125"/>
      <c r="N287" s="126"/>
      <c r="P287" s="127"/>
      <c r="Q287" s="128"/>
      <c r="R287" s="74"/>
      <c r="AF287" s="76"/>
    </row>
    <row r="288">
      <c r="D288" s="123"/>
      <c r="L288" s="125"/>
      <c r="N288" s="126"/>
      <c r="P288" s="127"/>
      <c r="Q288" s="128"/>
      <c r="R288" s="74"/>
      <c r="AF288" s="76"/>
    </row>
    <row r="289">
      <c r="D289" s="123"/>
      <c r="L289" s="125"/>
      <c r="N289" s="126"/>
      <c r="P289" s="127"/>
      <c r="Q289" s="128"/>
      <c r="R289" s="74"/>
      <c r="AF289" s="76"/>
    </row>
    <row r="290">
      <c r="D290" s="123"/>
      <c r="L290" s="125"/>
      <c r="N290" s="126"/>
      <c r="P290" s="127"/>
      <c r="Q290" s="128"/>
      <c r="R290" s="74"/>
      <c r="AF290" s="76"/>
    </row>
    <row r="291">
      <c r="D291" s="123"/>
      <c r="L291" s="125"/>
      <c r="N291" s="126"/>
      <c r="P291" s="127"/>
      <c r="Q291" s="128"/>
      <c r="R291" s="74"/>
      <c r="AF291" s="76"/>
    </row>
    <row r="292">
      <c r="D292" s="123"/>
      <c r="L292" s="125"/>
      <c r="N292" s="126"/>
      <c r="P292" s="127"/>
      <c r="Q292" s="128"/>
      <c r="R292" s="74"/>
      <c r="AF292" s="76"/>
    </row>
    <row r="293">
      <c r="D293" s="123"/>
      <c r="L293" s="125"/>
      <c r="N293" s="126"/>
      <c r="P293" s="127"/>
      <c r="Q293" s="128"/>
      <c r="R293" s="74"/>
      <c r="AF293" s="76"/>
    </row>
    <row r="294">
      <c r="D294" s="123"/>
      <c r="L294" s="125"/>
      <c r="N294" s="126"/>
      <c r="P294" s="127"/>
      <c r="Q294" s="128"/>
      <c r="R294" s="74"/>
      <c r="AF294" s="76"/>
    </row>
    <row r="295">
      <c r="D295" s="123"/>
      <c r="L295" s="125"/>
      <c r="N295" s="126"/>
      <c r="P295" s="127"/>
      <c r="Q295" s="128"/>
      <c r="R295" s="74"/>
      <c r="AF295" s="76"/>
    </row>
    <row r="296">
      <c r="D296" s="123"/>
      <c r="L296" s="125"/>
      <c r="N296" s="126"/>
      <c r="P296" s="127"/>
      <c r="Q296" s="128"/>
      <c r="R296" s="74"/>
      <c r="AF296" s="76"/>
    </row>
    <row r="297">
      <c r="D297" s="123"/>
      <c r="L297" s="125"/>
      <c r="N297" s="126"/>
      <c r="P297" s="127"/>
      <c r="Q297" s="128"/>
      <c r="R297" s="74"/>
      <c r="AF297" s="76"/>
    </row>
    <row r="298">
      <c r="D298" s="123"/>
      <c r="L298" s="125"/>
      <c r="N298" s="126"/>
      <c r="P298" s="127"/>
      <c r="Q298" s="128"/>
      <c r="R298" s="74"/>
      <c r="AF298" s="76"/>
    </row>
    <row r="299">
      <c r="D299" s="123"/>
      <c r="L299" s="125"/>
      <c r="N299" s="126"/>
      <c r="P299" s="127"/>
      <c r="Q299" s="128"/>
      <c r="R299" s="74"/>
      <c r="AF299" s="76"/>
    </row>
    <row r="300">
      <c r="D300" s="123"/>
      <c r="L300" s="125"/>
      <c r="N300" s="126"/>
      <c r="P300" s="127"/>
      <c r="Q300" s="128"/>
      <c r="R300" s="74"/>
      <c r="AF300" s="76"/>
    </row>
    <row r="301">
      <c r="D301" s="123"/>
      <c r="L301" s="125"/>
      <c r="N301" s="126"/>
      <c r="P301" s="127"/>
      <c r="Q301" s="128"/>
      <c r="R301" s="74"/>
      <c r="AF301" s="76"/>
    </row>
    <row r="302">
      <c r="D302" s="123"/>
      <c r="L302" s="125"/>
      <c r="N302" s="126"/>
      <c r="P302" s="127"/>
      <c r="Q302" s="128"/>
      <c r="R302" s="74"/>
      <c r="AF302" s="76"/>
    </row>
    <row r="303">
      <c r="D303" s="123"/>
      <c r="L303" s="125"/>
      <c r="N303" s="126"/>
      <c r="P303" s="127"/>
      <c r="Q303" s="128"/>
      <c r="R303" s="74"/>
      <c r="AF303" s="76"/>
    </row>
    <row r="304">
      <c r="D304" s="123"/>
      <c r="L304" s="125"/>
      <c r="N304" s="126"/>
      <c r="P304" s="127"/>
      <c r="Q304" s="128"/>
      <c r="R304" s="74"/>
      <c r="AF304" s="76"/>
    </row>
    <row r="305">
      <c r="D305" s="123"/>
      <c r="L305" s="125"/>
      <c r="N305" s="126"/>
      <c r="P305" s="127"/>
      <c r="Q305" s="128"/>
      <c r="R305" s="74"/>
      <c r="AF305" s="76"/>
    </row>
    <row r="306">
      <c r="D306" s="123"/>
      <c r="L306" s="125"/>
      <c r="N306" s="126"/>
      <c r="P306" s="127"/>
      <c r="Q306" s="128"/>
      <c r="R306" s="74"/>
      <c r="AF306" s="76"/>
    </row>
    <row r="307">
      <c r="D307" s="123"/>
      <c r="L307" s="125"/>
      <c r="N307" s="126"/>
      <c r="P307" s="127"/>
      <c r="Q307" s="128"/>
      <c r="R307" s="74"/>
      <c r="AF307" s="76"/>
    </row>
    <row r="308">
      <c r="D308" s="123"/>
      <c r="L308" s="125"/>
      <c r="N308" s="126"/>
      <c r="P308" s="127"/>
      <c r="Q308" s="128"/>
      <c r="R308" s="74"/>
      <c r="AF308" s="76"/>
    </row>
    <row r="309">
      <c r="D309" s="123"/>
      <c r="L309" s="125"/>
      <c r="N309" s="126"/>
      <c r="P309" s="127"/>
      <c r="Q309" s="128"/>
      <c r="R309" s="74"/>
      <c r="AF309" s="76"/>
    </row>
    <row r="310">
      <c r="D310" s="123"/>
      <c r="L310" s="125"/>
      <c r="N310" s="126"/>
      <c r="P310" s="127"/>
      <c r="Q310" s="128"/>
      <c r="R310" s="74"/>
      <c r="AF310" s="76"/>
    </row>
    <row r="311">
      <c r="D311" s="123"/>
      <c r="L311" s="125"/>
      <c r="N311" s="126"/>
      <c r="P311" s="127"/>
      <c r="Q311" s="128"/>
      <c r="R311" s="74"/>
      <c r="AF311" s="76"/>
    </row>
    <row r="312">
      <c r="D312" s="123"/>
      <c r="L312" s="125"/>
      <c r="N312" s="126"/>
      <c r="P312" s="127"/>
      <c r="Q312" s="128"/>
      <c r="R312" s="74"/>
      <c r="AF312" s="76"/>
    </row>
    <row r="313">
      <c r="D313" s="123"/>
      <c r="L313" s="125"/>
      <c r="N313" s="126"/>
      <c r="P313" s="127"/>
      <c r="Q313" s="128"/>
      <c r="R313" s="74"/>
      <c r="AF313" s="76"/>
    </row>
    <row r="314">
      <c r="D314" s="123"/>
      <c r="L314" s="125"/>
      <c r="N314" s="126"/>
      <c r="P314" s="127"/>
      <c r="Q314" s="128"/>
      <c r="R314" s="74"/>
      <c r="AF314" s="76"/>
    </row>
    <row r="315">
      <c r="D315" s="123"/>
      <c r="L315" s="125"/>
      <c r="N315" s="126"/>
      <c r="P315" s="127"/>
      <c r="Q315" s="128"/>
      <c r="R315" s="74"/>
      <c r="AF315" s="76"/>
    </row>
    <row r="316">
      <c r="D316" s="123"/>
      <c r="L316" s="125"/>
      <c r="N316" s="126"/>
      <c r="P316" s="127"/>
      <c r="Q316" s="128"/>
      <c r="R316" s="74"/>
      <c r="AF316" s="76"/>
    </row>
    <row r="317">
      <c r="D317" s="123"/>
      <c r="L317" s="125"/>
      <c r="N317" s="126"/>
      <c r="P317" s="127"/>
      <c r="Q317" s="128"/>
      <c r="R317" s="74"/>
      <c r="AF317" s="76"/>
    </row>
    <row r="318">
      <c r="D318" s="123"/>
      <c r="L318" s="125"/>
      <c r="N318" s="126"/>
      <c r="P318" s="127"/>
      <c r="Q318" s="128"/>
      <c r="R318" s="74"/>
      <c r="AF318" s="76"/>
    </row>
    <row r="319">
      <c r="D319" s="123"/>
      <c r="L319" s="125"/>
      <c r="N319" s="126"/>
      <c r="P319" s="127"/>
      <c r="Q319" s="128"/>
      <c r="R319" s="74"/>
      <c r="AF319" s="76"/>
    </row>
    <row r="320">
      <c r="D320" s="123"/>
      <c r="L320" s="125"/>
      <c r="N320" s="126"/>
      <c r="P320" s="127"/>
      <c r="Q320" s="128"/>
      <c r="R320" s="74"/>
      <c r="AF320" s="76"/>
    </row>
    <row r="321">
      <c r="D321" s="123"/>
      <c r="L321" s="125"/>
      <c r="N321" s="126"/>
      <c r="P321" s="127"/>
      <c r="Q321" s="128"/>
      <c r="R321" s="74"/>
      <c r="AF321" s="76"/>
    </row>
    <row r="322">
      <c r="D322" s="123"/>
      <c r="L322" s="125"/>
      <c r="N322" s="126"/>
      <c r="P322" s="127"/>
      <c r="Q322" s="128"/>
      <c r="R322" s="74"/>
      <c r="AF322" s="76"/>
    </row>
    <row r="323">
      <c r="D323" s="123"/>
      <c r="L323" s="125"/>
      <c r="N323" s="126"/>
      <c r="P323" s="127"/>
      <c r="Q323" s="128"/>
      <c r="R323" s="74"/>
      <c r="AF323" s="76"/>
    </row>
    <row r="324">
      <c r="D324" s="123"/>
      <c r="L324" s="125"/>
      <c r="N324" s="126"/>
      <c r="P324" s="127"/>
      <c r="Q324" s="128"/>
      <c r="R324" s="74"/>
      <c r="AF324" s="76"/>
    </row>
    <row r="325">
      <c r="D325" s="123"/>
      <c r="L325" s="125"/>
      <c r="N325" s="126"/>
      <c r="P325" s="127"/>
      <c r="Q325" s="128"/>
      <c r="R325" s="74"/>
      <c r="AF325" s="76"/>
    </row>
    <row r="326">
      <c r="D326" s="123"/>
      <c r="L326" s="125"/>
      <c r="N326" s="126"/>
      <c r="P326" s="127"/>
      <c r="Q326" s="128"/>
      <c r="R326" s="74"/>
      <c r="AF326" s="76"/>
    </row>
    <row r="327">
      <c r="D327" s="123"/>
      <c r="L327" s="125"/>
      <c r="N327" s="126"/>
      <c r="P327" s="127"/>
      <c r="Q327" s="128"/>
      <c r="R327" s="74"/>
      <c r="AF327" s="76"/>
    </row>
    <row r="328">
      <c r="D328" s="123"/>
      <c r="L328" s="125"/>
      <c r="N328" s="126"/>
      <c r="P328" s="127"/>
      <c r="Q328" s="128"/>
      <c r="R328" s="74"/>
      <c r="AF328" s="76"/>
    </row>
    <row r="329">
      <c r="D329" s="123"/>
      <c r="L329" s="125"/>
      <c r="N329" s="126"/>
      <c r="P329" s="127"/>
      <c r="Q329" s="128"/>
      <c r="R329" s="74"/>
      <c r="AF329" s="76"/>
    </row>
    <row r="330">
      <c r="D330" s="123"/>
      <c r="L330" s="125"/>
      <c r="N330" s="126"/>
      <c r="P330" s="127"/>
      <c r="Q330" s="128"/>
      <c r="R330" s="74"/>
      <c r="AF330" s="76"/>
    </row>
    <row r="331">
      <c r="D331" s="123"/>
      <c r="L331" s="125"/>
      <c r="N331" s="126"/>
      <c r="P331" s="127"/>
      <c r="Q331" s="128"/>
      <c r="R331" s="74"/>
      <c r="AF331" s="76"/>
    </row>
    <row r="332">
      <c r="D332" s="123"/>
      <c r="L332" s="125"/>
      <c r="N332" s="126"/>
      <c r="P332" s="127"/>
      <c r="Q332" s="128"/>
      <c r="R332" s="74"/>
      <c r="AF332" s="76"/>
    </row>
    <row r="333">
      <c r="D333" s="123"/>
      <c r="L333" s="125"/>
      <c r="N333" s="126"/>
      <c r="P333" s="127"/>
      <c r="Q333" s="128"/>
      <c r="R333" s="74"/>
      <c r="AF333" s="76"/>
    </row>
    <row r="334">
      <c r="D334" s="123"/>
      <c r="L334" s="125"/>
      <c r="N334" s="126"/>
      <c r="P334" s="127"/>
      <c r="Q334" s="128"/>
      <c r="R334" s="74"/>
      <c r="AF334" s="76"/>
    </row>
    <row r="335">
      <c r="D335" s="123"/>
      <c r="L335" s="125"/>
      <c r="N335" s="126"/>
      <c r="P335" s="127"/>
      <c r="Q335" s="128"/>
      <c r="R335" s="74"/>
      <c r="AF335" s="76"/>
    </row>
    <row r="336">
      <c r="D336" s="123"/>
      <c r="L336" s="125"/>
      <c r="N336" s="126"/>
      <c r="P336" s="127"/>
      <c r="Q336" s="128"/>
      <c r="R336" s="74"/>
      <c r="AF336" s="76"/>
    </row>
    <row r="337">
      <c r="D337" s="123"/>
      <c r="L337" s="125"/>
      <c r="N337" s="126"/>
      <c r="P337" s="127"/>
      <c r="Q337" s="128"/>
      <c r="R337" s="74"/>
      <c r="AF337" s="76"/>
    </row>
    <row r="338">
      <c r="D338" s="123"/>
      <c r="L338" s="125"/>
      <c r="N338" s="126"/>
      <c r="P338" s="127"/>
      <c r="Q338" s="128"/>
      <c r="R338" s="74"/>
      <c r="AF338" s="76"/>
    </row>
    <row r="339">
      <c r="D339" s="123"/>
      <c r="L339" s="125"/>
      <c r="N339" s="126"/>
      <c r="P339" s="127"/>
      <c r="Q339" s="128"/>
      <c r="R339" s="74"/>
      <c r="AF339" s="76"/>
    </row>
    <row r="340">
      <c r="D340" s="123"/>
      <c r="L340" s="125"/>
      <c r="N340" s="126"/>
      <c r="P340" s="127"/>
      <c r="Q340" s="128"/>
      <c r="R340" s="74"/>
      <c r="AF340" s="76"/>
    </row>
    <row r="341">
      <c r="D341" s="123"/>
      <c r="L341" s="125"/>
      <c r="N341" s="126"/>
      <c r="P341" s="127"/>
      <c r="Q341" s="128"/>
      <c r="R341" s="74"/>
      <c r="AF341" s="76"/>
    </row>
    <row r="342">
      <c r="D342" s="123"/>
      <c r="L342" s="125"/>
      <c r="N342" s="126"/>
      <c r="P342" s="127"/>
      <c r="Q342" s="128"/>
      <c r="R342" s="74"/>
      <c r="AF342" s="76"/>
    </row>
    <row r="343">
      <c r="D343" s="123"/>
      <c r="L343" s="125"/>
      <c r="N343" s="126"/>
      <c r="P343" s="127"/>
      <c r="Q343" s="128"/>
      <c r="R343" s="74"/>
      <c r="AF343" s="76"/>
    </row>
    <row r="344">
      <c r="D344" s="123"/>
      <c r="L344" s="125"/>
      <c r="N344" s="126"/>
      <c r="P344" s="127"/>
      <c r="Q344" s="128"/>
      <c r="R344" s="74"/>
      <c r="AF344" s="76"/>
    </row>
    <row r="345">
      <c r="D345" s="123"/>
      <c r="L345" s="125"/>
      <c r="N345" s="126"/>
      <c r="P345" s="127"/>
      <c r="Q345" s="128"/>
      <c r="R345" s="74"/>
      <c r="AF345" s="76"/>
    </row>
    <row r="346">
      <c r="D346" s="123"/>
      <c r="L346" s="125"/>
      <c r="N346" s="126"/>
      <c r="P346" s="127"/>
      <c r="Q346" s="128"/>
      <c r="R346" s="74"/>
      <c r="AF346" s="76"/>
    </row>
    <row r="347">
      <c r="D347" s="123"/>
      <c r="L347" s="125"/>
      <c r="N347" s="126"/>
      <c r="P347" s="127"/>
      <c r="Q347" s="128"/>
      <c r="R347" s="74"/>
      <c r="AF347" s="76"/>
    </row>
    <row r="348">
      <c r="D348" s="123"/>
      <c r="L348" s="125"/>
      <c r="N348" s="126"/>
      <c r="P348" s="127"/>
      <c r="Q348" s="128"/>
      <c r="R348" s="74"/>
      <c r="AF348" s="76"/>
    </row>
    <row r="349">
      <c r="D349" s="123"/>
      <c r="L349" s="125"/>
      <c r="N349" s="126"/>
      <c r="P349" s="127"/>
      <c r="Q349" s="128"/>
      <c r="R349" s="74"/>
      <c r="AF349" s="76"/>
    </row>
    <row r="350">
      <c r="D350" s="123"/>
      <c r="L350" s="125"/>
      <c r="N350" s="126"/>
      <c r="P350" s="127"/>
      <c r="Q350" s="128"/>
      <c r="R350" s="74"/>
      <c r="AF350" s="76"/>
    </row>
    <row r="351">
      <c r="D351" s="123"/>
      <c r="L351" s="125"/>
      <c r="N351" s="126"/>
      <c r="P351" s="127"/>
      <c r="Q351" s="128"/>
      <c r="R351" s="74"/>
      <c r="AF351" s="76"/>
    </row>
    <row r="352">
      <c r="D352" s="123"/>
      <c r="L352" s="125"/>
      <c r="N352" s="126"/>
      <c r="P352" s="127"/>
      <c r="Q352" s="128"/>
      <c r="R352" s="74"/>
      <c r="AF352" s="76"/>
    </row>
    <row r="353">
      <c r="D353" s="123"/>
      <c r="L353" s="125"/>
      <c r="N353" s="126"/>
      <c r="P353" s="127"/>
      <c r="Q353" s="128"/>
      <c r="R353" s="74"/>
      <c r="AF353" s="76"/>
    </row>
    <row r="354">
      <c r="D354" s="123"/>
      <c r="L354" s="125"/>
      <c r="N354" s="126"/>
      <c r="P354" s="127"/>
      <c r="Q354" s="128"/>
      <c r="R354" s="74"/>
      <c r="AF354" s="76"/>
    </row>
    <row r="355">
      <c r="D355" s="123"/>
      <c r="L355" s="125"/>
      <c r="N355" s="126"/>
      <c r="P355" s="127"/>
      <c r="Q355" s="128"/>
      <c r="R355" s="74"/>
      <c r="AF355" s="76"/>
    </row>
    <row r="356">
      <c r="D356" s="123"/>
      <c r="L356" s="125"/>
      <c r="N356" s="126"/>
      <c r="P356" s="127"/>
      <c r="Q356" s="128"/>
      <c r="R356" s="74"/>
      <c r="AF356" s="76"/>
    </row>
    <row r="357">
      <c r="D357" s="123"/>
      <c r="L357" s="125"/>
      <c r="N357" s="126"/>
      <c r="P357" s="127"/>
      <c r="Q357" s="128"/>
      <c r="R357" s="74"/>
      <c r="AF357" s="76"/>
    </row>
    <row r="358">
      <c r="D358" s="123"/>
      <c r="L358" s="125"/>
      <c r="N358" s="126"/>
      <c r="P358" s="127"/>
      <c r="Q358" s="128"/>
      <c r="R358" s="74"/>
      <c r="AF358" s="76"/>
    </row>
    <row r="359">
      <c r="D359" s="123"/>
      <c r="L359" s="125"/>
      <c r="N359" s="126"/>
      <c r="P359" s="127"/>
      <c r="Q359" s="128"/>
      <c r="R359" s="74"/>
      <c r="AF359" s="76"/>
    </row>
    <row r="360">
      <c r="D360" s="123"/>
      <c r="L360" s="125"/>
      <c r="N360" s="126"/>
      <c r="P360" s="127"/>
      <c r="Q360" s="128"/>
      <c r="R360" s="74"/>
      <c r="AF360" s="76"/>
    </row>
    <row r="361">
      <c r="D361" s="123"/>
      <c r="L361" s="125"/>
      <c r="N361" s="126"/>
      <c r="P361" s="127"/>
      <c r="Q361" s="128"/>
      <c r="R361" s="74"/>
      <c r="AF361" s="76"/>
    </row>
    <row r="362">
      <c r="D362" s="123"/>
      <c r="L362" s="125"/>
      <c r="N362" s="126"/>
      <c r="P362" s="127"/>
      <c r="Q362" s="128"/>
      <c r="R362" s="74"/>
      <c r="AF362" s="76"/>
    </row>
    <row r="363">
      <c r="D363" s="123"/>
      <c r="L363" s="125"/>
      <c r="N363" s="126"/>
      <c r="P363" s="127"/>
      <c r="Q363" s="128"/>
      <c r="R363" s="74"/>
      <c r="AF363" s="76"/>
    </row>
    <row r="364">
      <c r="D364" s="123"/>
      <c r="L364" s="125"/>
      <c r="N364" s="126"/>
      <c r="P364" s="127"/>
      <c r="Q364" s="128"/>
      <c r="R364" s="74"/>
      <c r="AF364" s="76"/>
    </row>
    <row r="365">
      <c r="D365" s="123"/>
      <c r="L365" s="125"/>
      <c r="N365" s="126"/>
      <c r="P365" s="127"/>
      <c r="Q365" s="128"/>
      <c r="R365" s="74"/>
      <c r="AF365" s="76"/>
    </row>
    <row r="366">
      <c r="D366" s="123"/>
      <c r="L366" s="125"/>
      <c r="N366" s="126"/>
      <c r="P366" s="127"/>
      <c r="Q366" s="128"/>
      <c r="R366" s="74"/>
      <c r="AF366" s="76"/>
    </row>
    <row r="367">
      <c r="D367" s="123"/>
      <c r="L367" s="125"/>
      <c r="N367" s="126"/>
      <c r="P367" s="127"/>
      <c r="Q367" s="128"/>
      <c r="R367" s="74"/>
      <c r="AF367" s="76"/>
    </row>
    <row r="368">
      <c r="D368" s="123"/>
      <c r="L368" s="125"/>
      <c r="N368" s="126"/>
      <c r="P368" s="127"/>
      <c r="Q368" s="128"/>
      <c r="R368" s="74"/>
      <c r="AF368" s="76"/>
    </row>
    <row r="369">
      <c r="D369" s="123"/>
      <c r="L369" s="125"/>
      <c r="N369" s="126"/>
      <c r="P369" s="127"/>
      <c r="Q369" s="128"/>
      <c r="R369" s="74"/>
      <c r="AF369" s="76"/>
    </row>
    <row r="370">
      <c r="D370" s="123"/>
      <c r="L370" s="125"/>
      <c r="N370" s="126"/>
      <c r="P370" s="127"/>
      <c r="Q370" s="128"/>
      <c r="R370" s="74"/>
      <c r="AF370" s="76"/>
    </row>
    <row r="371">
      <c r="D371" s="123"/>
      <c r="L371" s="125"/>
      <c r="N371" s="126"/>
      <c r="P371" s="127"/>
      <c r="Q371" s="128"/>
      <c r="R371" s="74"/>
      <c r="AF371" s="76"/>
    </row>
    <row r="372">
      <c r="D372" s="123"/>
      <c r="L372" s="125"/>
      <c r="N372" s="126"/>
      <c r="P372" s="127"/>
      <c r="Q372" s="128"/>
      <c r="R372" s="74"/>
      <c r="AF372" s="76"/>
    </row>
    <row r="373">
      <c r="D373" s="123"/>
      <c r="L373" s="125"/>
      <c r="N373" s="126"/>
      <c r="P373" s="127"/>
      <c r="Q373" s="128"/>
      <c r="R373" s="74"/>
      <c r="AF373" s="76"/>
    </row>
    <row r="374">
      <c r="D374" s="123"/>
      <c r="L374" s="125"/>
      <c r="N374" s="126"/>
      <c r="P374" s="127"/>
      <c r="Q374" s="128"/>
      <c r="R374" s="74"/>
      <c r="AF374" s="76"/>
    </row>
    <row r="375">
      <c r="D375" s="123"/>
      <c r="L375" s="125"/>
      <c r="N375" s="126"/>
      <c r="P375" s="127"/>
      <c r="Q375" s="128"/>
      <c r="R375" s="74"/>
      <c r="AF375" s="76"/>
    </row>
    <row r="376">
      <c r="D376" s="123"/>
      <c r="L376" s="125"/>
      <c r="N376" s="126"/>
      <c r="P376" s="127"/>
      <c r="Q376" s="128"/>
      <c r="R376" s="74"/>
      <c r="AF376" s="76"/>
    </row>
    <row r="377">
      <c r="D377" s="123"/>
      <c r="L377" s="125"/>
      <c r="N377" s="126"/>
      <c r="P377" s="127"/>
      <c r="Q377" s="128"/>
      <c r="R377" s="74"/>
      <c r="AF377" s="76"/>
    </row>
    <row r="378">
      <c r="D378" s="123"/>
      <c r="L378" s="125"/>
      <c r="N378" s="126"/>
      <c r="P378" s="127"/>
      <c r="Q378" s="128"/>
      <c r="R378" s="74"/>
      <c r="AF378" s="76"/>
    </row>
    <row r="379">
      <c r="D379" s="123"/>
      <c r="L379" s="125"/>
      <c r="N379" s="126"/>
      <c r="P379" s="127"/>
      <c r="Q379" s="128"/>
      <c r="R379" s="74"/>
      <c r="AF379" s="76"/>
    </row>
    <row r="380">
      <c r="D380" s="123"/>
      <c r="L380" s="125"/>
      <c r="N380" s="126"/>
      <c r="P380" s="127"/>
      <c r="Q380" s="128"/>
      <c r="R380" s="74"/>
      <c r="AF380" s="76"/>
    </row>
    <row r="381">
      <c r="D381" s="123"/>
      <c r="L381" s="125"/>
      <c r="N381" s="126"/>
      <c r="P381" s="127"/>
      <c r="Q381" s="128"/>
      <c r="R381" s="74"/>
      <c r="AF381" s="76"/>
    </row>
    <row r="382">
      <c r="D382" s="123"/>
      <c r="L382" s="125"/>
      <c r="N382" s="126"/>
      <c r="P382" s="127"/>
      <c r="Q382" s="128"/>
      <c r="R382" s="74"/>
      <c r="AF382" s="76"/>
    </row>
    <row r="383">
      <c r="D383" s="123"/>
      <c r="L383" s="125"/>
      <c r="N383" s="126"/>
      <c r="P383" s="127"/>
      <c r="Q383" s="128"/>
      <c r="R383" s="74"/>
      <c r="AF383" s="76"/>
    </row>
    <row r="384">
      <c r="D384" s="123"/>
      <c r="L384" s="125"/>
      <c r="N384" s="126"/>
      <c r="P384" s="127"/>
      <c r="Q384" s="128"/>
      <c r="R384" s="74"/>
      <c r="AF384" s="76"/>
    </row>
    <row r="385">
      <c r="D385" s="123"/>
      <c r="L385" s="125"/>
      <c r="N385" s="126"/>
      <c r="P385" s="127"/>
      <c r="Q385" s="128"/>
      <c r="R385" s="74"/>
      <c r="AF385" s="76"/>
    </row>
    <row r="386">
      <c r="D386" s="123"/>
      <c r="L386" s="125"/>
      <c r="N386" s="126"/>
      <c r="P386" s="127"/>
      <c r="Q386" s="128"/>
      <c r="R386" s="74"/>
      <c r="AF386" s="76"/>
    </row>
    <row r="387">
      <c r="D387" s="123"/>
      <c r="L387" s="125"/>
      <c r="N387" s="126"/>
      <c r="P387" s="127"/>
      <c r="Q387" s="128"/>
      <c r="R387" s="74"/>
      <c r="AF387" s="76"/>
    </row>
    <row r="388">
      <c r="D388" s="123"/>
      <c r="L388" s="125"/>
      <c r="N388" s="126"/>
      <c r="P388" s="127"/>
      <c r="Q388" s="128"/>
      <c r="R388" s="74"/>
      <c r="AF388" s="76"/>
    </row>
    <row r="389">
      <c r="D389" s="123"/>
      <c r="L389" s="125"/>
      <c r="N389" s="126"/>
      <c r="P389" s="127"/>
      <c r="Q389" s="128"/>
      <c r="R389" s="74"/>
      <c r="AF389" s="76"/>
    </row>
    <row r="390">
      <c r="D390" s="123"/>
      <c r="L390" s="125"/>
      <c r="N390" s="126"/>
      <c r="P390" s="127"/>
      <c r="Q390" s="128"/>
      <c r="R390" s="74"/>
      <c r="AF390" s="76"/>
    </row>
    <row r="391">
      <c r="D391" s="123"/>
      <c r="L391" s="125"/>
      <c r="N391" s="126"/>
      <c r="P391" s="127"/>
      <c r="Q391" s="128"/>
      <c r="R391" s="74"/>
      <c r="AF391" s="76"/>
    </row>
    <row r="392">
      <c r="D392" s="123"/>
      <c r="L392" s="125"/>
      <c r="N392" s="126"/>
      <c r="P392" s="127"/>
      <c r="Q392" s="128"/>
      <c r="R392" s="74"/>
      <c r="AF392" s="76"/>
    </row>
    <row r="393">
      <c r="D393" s="123"/>
      <c r="L393" s="125"/>
      <c r="N393" s="126"/>
      <c r="P393" s="127"/>
      <c r="Q393" s="128"/>
      <c r="R393" s="74"/>
      <c r="AF393" s="76"/>
    </row>
    <row r="394">
      <c r="D394" s="123"/>
      <c r="L394" s="125"/>
      <c r="N394" s="126"/>
      <c r="P394" s="127"/>
      <c r="Q394" s="128"/>
      <c r="R394" s="74"/>
      <c r="AF394" s="76"/>
    </row>
    <row r="395">
      <c r="D395" s="123"/>
      <c r="L395" s="125"/>
      <c r="N395" s="126"/>
      <c r="P395" s="127"/>
      <c r="Q395" s="128"/>
      <c r="R395" s="74"/>
      <c r="AF395" s="76"/>
    </row>
    <row r="396">
      <c r="D396" s="123"/>
      <c r="L396" s="125"/>
      <c r="N396" s="126"/>
      <c r="P396" s="127"/>
      <c r="Q396" s="128"/>
      <c r="R396" s="74"/>
      <c r="AF396" s="76"/>
    </row>
    <row r="397">
      <c r="D397" s="123"/>
      <c r="L397" s="125"/>
      <c r="N397" s="126"/>
      <c r="P397" s="127"/>
      <c r="Q397" s="128"/>
      <c r="R397" s="74"/>
      <c r="AF397" s="76"/>
    </row>
    <row r="398">
      <c r="D398" s="123"/>
      <c r="L398" s="125"/>
      <c r="N398" s="126"/>
      <c r="P398" s="127"/>
      <c r="Q398" s="128"/>
      <c r="R398" s="74"/>
      <c r="AF398" s="76"/>
    </row>
    <row r="399">
      <c r="D399" s="123"/>
      <c r="L399" s="125"/>
      <c r="N399" s="126"/>
      <c r="P399" s="127"/>
      <c r="Q399" s="128"/>
      <c r="R399" s="74"/>
      <c r="AF399" s="76"/>
    </row>
    <row r="400">
      <c r="D400" s="123"/>
      <c r="L400" s="125"/>
      <c r="N400" s="126"/>
      <c r="P400" s="127"/>
      <c r="Q400" s="128"/>
      <c r="R400" s="74"/>
      <c r="AF400" s="76"/>
    </row>
    <row r="401">
      <c r="D401" s="123"/>
      <c r="L401" s="125"/>
      <c r="N401" s="126"/>
      <c r="P401" s="127"/>
      <c r="Q401" s="128"/>
      <c r="R401" s="74"/>
      <c r="AF401" s="76"/>
    </row>
    <row r="402">
      <c r="D402" s="123"/>
      <c r="L402" s="125"/>
      <c r="N402" s="126"/>
      <c r="P402" s="127"/>
      <c r="Q402" s="128"/>
      <c r="R402" s="74"/>
      <c r="AF402" s="76"/>
    </row>
    <row r="403">
      <c r="D403" s="123"/>
      <c r="L403" s="125"/>
      <c r="N403" s="126"/>
      <c r="P403" s="127"/>
      <c r="Q403" s="128"/>
      <c r="R403" s="74"/>
      <c r="AF403" s="76"/>
    </row>
    <row r="404">
      <c r="D404" s="123"/>
      <c r="L404" s="125"/>
      <c r="N404" s="126"/>
      <c r="P404" s="127"/>
      <c r="Q404" s="128"/>
      <c r="R404" s="74"/>
      <c r="AF404" s="76"/>
    </row>
    <row r="405">
      <c r="D405" s="123"/>
      <c r="L405" s="125"/>
      <c r="N405" s="126"/>
      <c r="P405" s="127"/>
      <c r="Q405" s="128"/>
      <c r="R405" s="74"/>
      <c r="AF405" s="76"/>
    </row>
    <row r="406">
      <c r="D406" s="123"/>
      <c r="L406" s="125"/>
      <c r="N406" s="126"/>
      <c r="P406" s="127"/>
      <c r="Q406" s="128"/>
      <c r="R406" s="74"/>
      <c r="AF406" s="76"/>
    </row>
    <row r="407">
      <c r="D407" s="123"/>
      <c r="L407" s="125"/>
      <c r="N407" s="126"/>
      <c r="P407" s="127"/>
      <c r="Q407" s="128"/>
      <c r="R407" s="74"/>
      <c r="AF407" s="76"/>
    </row>
    <row r="408">
      <c r="D408" s="123"/>
      <c r="L408" s="125"/>
      <c r="N408" s="126"/>
      <c r="P408" s="127"/>
      <c r="Q408" s="128"/>
      <c r="R408" s="74"/>
      <c r="AF408" s="76"/>
    </row>
    <row r="409">
      <c r="D409" s="123"/>
      <c r="L409" s="125"/>
      <c r="N409" s="126"/>
      <c r="P409" s="127"/>
      <c r="Q409" s="128"/>
      <c r="R409" s="74"/>
      <c r="AF409" s="76"/>
    </row>
    <row r="410">
      <c r="D410" s="123"/>
      <c r="L410" s="125"/>
      <c r="N410" s="126"/>
      <c r="P410" s="127"/>
      <c r="Q410" s="128"/>
      <c r="R410" s="74"/>
      <c r="AF410" s="76"/>
    </row>
    <row r="411">
      <c r="D411" s="123"/>
      <c r="L411" s="125"/>
      <c r="N411" s="126"/>
      <c r="P411" s="127"/>
      <c r="Q411" s="128"/>
      <c r="R411" s="74"/>
      <c r="AF411" s="76"/>
    </row>
    <row r="412">
      <c r="D412" s="123"/>
      <c r="L412" s="125"/>
      <c r="N412" s="126"/>
      <c r="P412" s="127"/>
      <c r="Q412" s="128"/>
      <c r="R412" s="74"/>
      <c r="AF412" s="76"/>
    </row>
    <row r="413">
      <c r="D413" s="123"/>
      <c r="L413" s="125"/>
      <c r="N413" s="126"/>
      <c r="P413" s="127"/>
      <c r="Q413" s="128"/>
      <c r="R413" s="74"/>
      <c r="AF413" s="76"/>
    </row>
    <row r="414">
      <c r="D414" s="123"/>
      <c r="L414" s="125"/>
      <c r="N414" s="126"/>
      <c r="P414" s="127"/>
      <c r="Q414" s="128"/>
      <c r="R414" s="74"/>
      <c r="AF414" s="76"/>
    </row>
    <row r="415">
      <c r="D415" s="123"/>
      <c r="L415" s="125"/>
      <c r="N415" s="126"/>
      <c r="P415" s="127"/>
      <c r="Q415" s="128"/>
      <c r="R415" s="74"/>
      <c r="AF415" s="76"/>
    </row>
    <row r="416">
      <c r="D416" s="123"/>
      <c r="L416" s="125"/>
      <c r="N416" s="126"/>
      <c r="P416" s="127"/>
      <c r="Q416" s="128"/>
      <c r="R416" s="74"/>
      <c r="AF416" s="76"/>
    </row>
    <row r="417">
      <c r="D417" s="123"/>
      <c r="L417" s="125"/>
      <c r="N417" s="126"/>
      <c r="P417" s="127"/>
      <c r="Q417" s="128"/>
      <c r="R417" s="74"/>
      <c r="AF417" s="76"/>
    </row>
    <row r="418">
      <c r="D418" s="123"/>
      <c r="L418" s="125"/>
      <c r="N418" s="126"/>
      <c r="P418" s="127"/>
      <c r="Q418" s="128"/>
      <c r="R418" s="74"/>
      <c r="AF418" s="76"/>
    </row>
    <row r="419">
      <c r="D419" s="123"/>
      <c r="L419" s="125"/>
      <c r="N419" s="126"/>
      <c r="P419" s="127"/>
      <c r="Q419" s="128"/>
      <c r="R419" s="74"/>
      <c r="AF419" s="76"/>
    </row>
    <row r="420">
      <c r="D420" s="123"/>
      <c r="L420" s="125"/>
      <c r="N420" s="126"/>
      <c r="P420" s="127"/>
      <c r="Q420" s="128"/>
      <c r="R420" s="74"/>
      <c r="AF420" s="76"/>
    </row>
    <row r="421">
      <c r="D421" s="123"/>
      <c r="L421" s="125"/>
      <c r="N421" s="126"/>
      <c r="P421" s="127"/>
      <c r="Q421" s="128"/>
      <c r="R421" s="74"/>
      <c r="AF421" s="76"/>
    </row>
    <row r="422">
      <c r="D422" s="123"/>
      <c r="L422" s="125"/>
      <c r="N422" s="126"/>
      <c r="P422" s="127"/>
      <c r="Q422" s="128"/>
      <c r="R422" s="74"/>
      <c r="AF422" s="76"/>
    </row>
    <row r="423">
      <c r="D423" s="123"/>
      <c r="L423" s="125"/>
      <c r="N423" s="126"/>
      <c r="P423" s="127"/>
      <c r="Q423" s="128"/>
      <c r="R423" s="74"/>
      <c r="AF423" s="76"/>
    </row>
    <row r="424">
      <c r="D424" s="123"/>
      <c r="L424" s="125"/>
      <c r="N424" s="126"/>
      <c r="P424" s="127"/>
      <c r="Q424" s="128"/>
      <c r="R424" s="74"/>
      <c r="AF424" s="76"/>
    </row>
    <row r="425">
      <c r="D425" s="123"/>
      <c r="L425" s="125"/>
      <c r="N425" s="126"/>
      <c r="P425" s="127"/>
      <c r="Q425" s="128"/>
      <c r="R425" s="74"/>
      <c r="AF425" s="76"/>
    </row>
    <row r="426">
      <c r="D426" s="123"/>
      <c r="L426" s="125"/>
      <c r="N426" s="126"/>
      <c r="P426" s="127"/>
      <c r="Q426" s="128"/>
      <c r="R426" s="74"/>
      <c r="AF426" s="76"/>
    </row>
    <row r="427">
      <c r="D427" s="123"/>
      <c r="L427" s="125"/>
      <c r="N427" s="126"/>
      <c r="P427" s="127"/>
      <c r="Q427" s="128"/>
      <c r="R427" s="74"/>
      <c r="AF427" s="76"/>
    </row>
    <row r="428">
      <c r="D428" s="123"/>
      <c r="L428" s="125"/>
      <c r="N428" s="126"/>
      <c r="P428" s="127"/>
      <c r="Q428" s="128"/>
      <c r="R428" s="74"/>
      <c r="AF428" s="76"/>
    </row>
    <row r="429">
      <c r="D429" s="123"/>
      <c r="L429" s="125"/>
      <c r="N429" s="126"/>
      <c r="P429" s="127"/>
      <c r="Q429" s="128"/>
      <c r="R429" s="74"/>
      <c r="AF429" s="76"/>
    </row>
    <row r="430">
      <c r="D430" s="123"/>
      <c r="L430" s="125"/>
      <c r="N430" s="126"/>
      <c r="P430" s="127"/>
      <c r="Q430" s="128"/>
      <c r="R430" s="74"/>
      <c r="AF430" s="76"/>
    </row>
    <row r="431">
      <c r="D431" s="123"/>
      <c r="L431" s="125"/>
      <c r="N431" s="126"/>
      <c r="P431" s="127"/>
      <c r="Q431" s="128"/>
      <c r="R431" s="74"/>
      <c r="AF431" s="76"/>
    </row>
    <row r="432">
      <c r="D432" s="123"/>
      <c r="L432" s="125"/>
      <c r="N432" s="126"/>
      <c r="P432" s="127"/>
      <c r="Q432" s="128"/>
      <c r="R432" s="74"/>
      <c r="AF432" s="76"/>
    </row>
    <row r="433">
      <c r="D433" s="123"/>
      <c r="L433" s="125"/>
      <c r="N433" s="126"/>
      <c r="P433" s="127"/>
      <c r="Q433" s="128"/>
      <c r="R433" s="74"/>
      <c r="AF433" s="76"/>
    </row>
    <row r="434">
      <c r="D434" s="123"/>
      <c r="L434" s="125"/>
      <c r="N434" s="126"/>
      <c r="P434" s="127"/>
      <c r="Q434" s="128"/>
      <c r="R434" s="74"/>
      <c r="AF434" s="76"/>
    </row>
    <row r="435">
      <c r="D435" s="123"/>
      <c r="L435" s="125"/>
      <c r="N435" s="126"/>
      <c r="P435" s="127"/>
      <c r="Q435" s="128"/>
      <c r="R435" s="74"/>
      <c r="AF435" s="76"/>
    </row>
    <row r="436">
      <c r="D436" s="123"/>
      <c r="L436" s="125"/>
      <c r="N436" s="126"/>
      <c r="P436" s="127"/>
      <c r="Q436" s="128"/>
      <c r="R436" s="74"/>
      <c r="AF436" s="76"/>
    </row>
    <row r="437">
      <c r="D437" s="123"/>
      <c r="L437" s="125"/>
      <c r="N437" s="126"/>
      <c r="P437" s="127"/>
      <c r="Q437" s="128"/>
      <c r="R437" s="74"/>
      <c r="AF437" s="76"/>
    </row>
    <row r="438">
      <c r="D438" s="123"/>
      <c r="L438" s="125"/>
      <c r="N438" s="126"/>
      <c r="P438" s="127"/>
      <c r="Q438" s="128"/>
      <c r="R438" s="74"/>
      <c r="AF438" s="76"/>
    </row>
    <row r="439">
      <c r="D439" s="123"/>
      <c r="L439" s="125"/>
      <c r="N439" s="126"/>
      <c r="P439" s="127"/>
      <c r="Q439" s="128"/>
      <c r="R439" s="74"/>
      <c r="AF439" s="76"/>
    </row>
    <row r="440">
      <c r="D440" s="123"/>
      <c r="L440" s="125"/>
      <c r="N440" s="126"/>
      <c r="P440" s="127"/>
      <c r="Q440" s="128"/>
      <c r="R440" s="74"/>
      <c r="AF440" s="76"/>
    </row>
    <row r="441">
      <c r="D441" s="123"/>
      <c r="L441" s="125"/>
      <c r="N441" s="126"/>
      <c r="P441" s="127"/>
      <c r="Q441" s="128"/>
      <c r="R441" s="74"/>
      <c r="AF441" s="76"/>
    </row>
    <row r="442">
      <c r="D442" s="123"/>
      <c r="L442" s="125"/>
      <c r="N442" s="126"/>
      <c r="P442" s="127"/>
      <c r="Q442" s="128"/>
      <c r="R442" s="74"/>
      <c r="AF442" s="76"/>
    </row>
    <row r="443">
      <c r="D443" s="123"/>
      <c r="L443" s="125"/>
      <c r="N443" s="126"/>
      <c r="P443" s="127"/>
      <c r="Q443" s="128"/>
      <c r="R443" s="74"/>
      <c r="AF443" s="76"/>
    </row>
    <row r="444">
      <c r="D444" s="123"/>
      <c r="L444" s="125"/>
      <c r="N444" s="126"/>
      <c r="P444" s="127"/>
      <c r="Q444" s="128"/>
      <c r="R444" s="74"/>
      <c r="AF444" s="76"/>
    </row>
    <row r="445">
      <c r="D445" s="123"/>
      <c r="L445" s="125"/>
      <c r="N445" s="126"/>
      <c r="P445" s="127"/>
      <c r="Q445" s="128"/>
      <c r="R445" s="74"/>
      <c r="AF445" s="76"/>
    </row>
    <row r="446">
      <c r="D446" s="123"/>
      <c r="L446" s="125"/>
      <c r="N446" s="126"/>
      <c r="P446" s="127"/>
      <c r="Q446" s="128"/>
      <c r="R446" s="74"/>
      <c r="AF446" s="76"/>
    </row>
    <row r="447">
      <c r="D447" s="123"/>
      <c r="L447" s="125"/>
      <c r="N447" s="126"/>
      <c r="P447" s="127"/>
      <c r="Q447" s="128"/>
      <c r="R447" s="74"/>
      <c r="AF447" s="76"/>
    </row>
    <row r="448">
      <c r="D448" s="123"/>
      <c r="L448" s="125"/>
      <c r="N448" s="126"/>
      <c r="P448" s="127"/>
      <c r="Q448" s="128"/>
      <c r="R448" s="74"/>
      <c r="AF448" s="76"/>
    </row>
    <row r="449">
      <c r="D449" s="123"/>
      <c r="L449" s="125"/>
      <c r="N449" s="126"/>
      <c r="P449" s="127"/>
      <c r="Q449" s="128"/>
      <c r="R449" s="74"/>
      <c r="AF449" s="76"/>
    </row>
    <row r="450">
      <c r="D450" s="123"/>
      <c r="L450" s="125"/>
      <c r="N450" s="126"/>
      <c r="P450" s="127"/>
      <c r="Q450" s="128"/>
      <c r="R450" s="74"/>
      <c r="AF450" s="76"/>
    </row>
    <row r="451">
      <c r="D451" s="123"/>
      <c r="L451" s="125"/>
      <c r="N451" s="126"/>
      <c r="P451" s="127"/>
      <c r="Q451" s="128"/>
      <c r="R451" s="74"/>
      <c r="AF451" s="76"/>
    </row>
    <row r="452">
      <c r="D452" s="123"/>
      <c r="L452" s="125"/>
      <c r="N452" s="126"/>
      <c r="P452" s="127"/>
      <c r="Q452" s="128"/>
      <c r="R452" s="74"/>
      <c r="AF452" s="76"/>
    </row>
    <row r="453">
      <c r="D453" s="123"/>
      <c r="L453" s="125"/>
      <c r="N453" s="126"/>
      <c r="P453" s="127"/>
      <c r="Q453" s="128"/>
      <c r="R453" s="74"/>
      <c r="AF453" s="76"/>
    </row>
    <row r="454">
      <c r="D454" s="123"/>
      <c r="L454" s="125"/>
      <c r="N454" s="126"/>
      <c r="P454" s="127"/>
      <c r="Q454" s="128"/>
      <c r="R454" s="74"/>
      <c r="AF454" s="76"/>
    </row>
    <row r="455">
      <c r="D455" s="123"/>
      <c r="L455" s="125"/>
      <c r="N455" s="126"/>
      <c r="P455" s="127"/>
      <c r="Q455" s="128"/>
      <c r="R455" s="74"/>
      <c r="AF455" s="76"/>
    </row>
    <row r="456">
      <c r="D456" s="123"/>
      <c r="L456" s="125"/>
      <c r="N456" s="126"/>
      <c r="P456" s="127"/>
      <c r="Q456" s="128"/>
      <c r="R456" s="74"/>
      <c r="AF456" s="76"/>
    </row>
    <row r="457">
      <c r="D457" s="123"/>
      <c r="L457" s="125"/>
      <c r="N457" s="126"/>
      <c r="P457" s="127"/>
      <c r="Q457" s="128"/>
      <c r="R457" s="74"/>
      <c r="AF457" s="76"/>
    </row>
    <row r="458">
      <c r="D458" s="123"/>
      <c r="L458" s="125"/>
      <c r="N458" s="126"/>
      <c r="P458" s="127"/>
      <c r="Q458" s="128"/>
      <c r="R458" s="74"/>
      <c r="AF458" s="76"/>
    </row>
    <row r="459">
      <c r="D459" s="123"/>
      <c r="L459" s="125"/>
      <c r="N459" s="126"/>
      <c r="P459" s="127"/>
      <c r="Q459" s="128"/>
      <c r="R459" s="74"/>
      <c r="AF459" s="76"/>
    </row>
    <row r="460">
      <c r="D460" s="123"/>
      <c r="L460" s="125"/>
      <c r="N460" s="126"/>
      <c r="P460" s="127"/>
      <c r="Q460" s="128"/>
      <c r="R460" s="74"/>
      <c r="AF460" s="76"/>
    </row>
    <row r="461">
      <c r="D461" s="123"/>
      <c r="L461" s="125"/>
      <c r="N461" s="126"/>
      <c r="P461" s="127"/>
      <c r="Q461" s="128"/>
      <c r="R461" s="74"/>
      <c r="AF461" s="76"/>
    </row>
    <row r="462">
      <c r="D462" s="123"/>
      <c r="L462" s="125"/>
      <c r="N462" s="126"/>
      <c r="P462" s="127"/>
      <c r="Q462" s="128"/>
      <c r="R462" s="74"/>
      <c r="AF462" s="76"/>
    </row>
    <row r="463">
      <c r="D463" s="123"/>
      <c r="L463" s="125"/>
      <c r="N463" s="126"/>
      <c r="P463" s="127"/>
      <c r="Q463" s="128"/>
      <c r="R463" s="74"/>
      <c r="AF463" s="76"/>
    </row>
    <row r="464">
      <c r="D464" s="123"/>
      <c r="L464" s="125"/>
      <c r="N464" s="126"/>
      <c r="P464" s="127"/>
      <c r="Q464" s="128"/>
      <c r="R464" s="74"/>
      <c r="AF464" s="76"/>
    </row>
    <row r="465">
      <c r="D465" s="123"/>
      <c r="L465" s="125"/>
      <c r="N465" s="126"/>
      <c r="P465" s="127"/>
      <c r="Q465" s="128"/>
      <c r="R465" s="74"/>
      <c r="AF465" s="76"/>
    </row>
    <row r="466">
      <c r="D466" s="123"/>
      <c r="L466" s="125"/>
      <c r="N466" s="126"/>
      <c r="P466" s="127"/>
      <c r="Q466" s="128"/>
      <c r="R466" s="74"/>
      <c r="AF466" s="76"/>
    </row>
    <row r="467">
      <c r="D467" s="123"/>
      <c r="L467" s="125"/>
      <c r="N467" s="126"/>
      <c r="P467" s="127"/>
      <c r="Q467" s="128"/>
      <c r="R467" s="74"/>
      <c r="AF467" s="76"/>
    </row>
    <row r="468">
      <c r="D468" s="123"/>
      <c r="L468" s="125"/>
      <c r="N468" s="126"/>
      <c r="P468" s="127"/>
      <c r="Q468" s="128"/>
      <c r="R468" s="74"/>
      <c r="AF468" s="76"/>
    </row>
    <row r="469">
      <c r="D469" s="123"/>
      <c r="L469" s="125"/>
      <c r="N469" s="126"/>
      <c r="P469" s="127"/>
      <c r="Q469" s="128"/>
      <c r="R469" s="74"/>
      <c r="AF469" s="76"/>
    </row>
    <row r="470">
      <c r="D470" s="123"/>
      <c r="L470" s="125"/>
      <c r="N470" s="126"/>
      <c r="P470" s="127"/>
      <c r="Q470" s="128"/>
      <c r="R470" s="74"/>
      <c r="AF470" s="76"/>
    </row>
    <row r="471">
      <c r="D471" s="123"/>
      <c r="L471" s="125"/>
      <c r="N471" s="126"/>
      <c r="P471" s="127"/>
      <c r="Q471" s="128"/>
      <c r="R471" s="74"/>
      <c r="AF471" s="76"/>
    </row>
    <row r="472">
      <c r="D472" s="123"/>
      <c r="L472" s="125"/>
      <c r="N472" s="126"/>
      <c r="P472" s="127"/>
      <c r="Q472" s="128"/>
      <c r="R472" s="74"/>
      <c r="AF472" s="76"/>
    </row>
    <row r="473">
      <c r="D473" s="123"/>
      <c r="L473" s="125"/>
      <c r="N473" s="126"/>
      <c r="P473" s="127"/>
      <c r="Q473" s="128"/>
      <c r="R473" s="74"/>
      <c r="AF473" s="76"/>
    </row>
    <row r="474">
      <c r="D474" s="123"/>
      <c r="L474" s="125"/>
      <c r="N474" s="126"/>
      <c r="P474" s="127"/>
      <c r="Q474" s="128"/>
      <c r="R474" s="74"/>
      <c r="AF474" s="76"/>
    </row>
    <row r="475">
      <c r="D475" s="123"/>
      <c r="L475" s="125"/>
      <c r="N475" s="126"/>
      <c r="P475" s="127"/>
      <c r="Q475" s="128"/>
      <c r="R475" s="74"/>
      <c r="AF475" s="76"/>
    </row>
    <row r="476">
      <c r="D476" s="123"/>
      <c r="L476" s="125"/>
      <c r="N476" s="126"/>
      <c r="P476" s="127"/>
      <c r="Q476" s="128"/>
      <c r="R476" s="74"/>
      <c r="AF476" s="76"/>
    </row>
    <row r="477">
      <c r="D477" s="123"/>
      <c r="L477" s="125"/>
      <c r="N477" s="126"/>
      <c r="P477" s="127"/>
      <c r="Q477" s="128"/>
      <c r="R477" s="74"/>
      <c r="AF477" s="76"/>
    </row>
    <row r="478">
      <c r="D478" s="123"/>
      <c r="L478" s="125"/>
      <c r="N478" s="126"/>
      <c r="P478" s="127"/>
      <c r="Q478" s="128"/>
      <c r="R478" s="74"/>
      <c r="AF478" s="76"/>
    </row>
    <row r="479">
      <c r="D479" s="123"/>
      <c r="L479" s="125"/>
      <c r="N479" s="126"/>
      <c r="P479" s="127"/>
      <c r="Q479" s="128"/>
      <c r="R479" s="74"/>
      <c r="AF479" s="76"/>
    </row>
    <row r="480">
      <c r="D480" s="123"/>
      <c r="L480" s="125"/>
      <c r="N480" s="126"/>
      <c r="P480" s="127"/>
      <c r="Q480" s="128"/>
      <c r="R480" s="74"/>
      <c r="AF480" s="76"/>
    </row>
    <row r="481">
      <c r="D481" s="123"/>
      <c r="L481" s="125"/>
      <c r="N481" s="126"/>
      <c r="P481" s="127"/>
      <c r="Q481" s="128"/>
      <c r="R481" s="74"/>
      <c r="AF481" s="76"/>
    </row>
    <row r="482">
      <c r="D482" s="123"/>
      <c r="L482" s="125"/>
      <c r="N482" s="126"/>
      <c r="P482" s="127"/>
      <c r="Q482" s="128"/>
      <c r="R482" s="74"/>
      <c r="AF482" s="76"/>
    </row>
    <row r="483">
      <c r="D483" s="123"/>
      <c r="L483" s="125"/>
      <c r="N483" s="126"/>
      <c r="P483" s="127"/>
      <c r="Q483" s="128"/>
      <c r="R483" s="74"/>
      <c r="AF483" s="76"/>
    </row>
    <row r="484">
      <c r="D484" s="123"/>
      <c r="L484" s="125"/>
      <c r="N484" s="126"/>
      <c r="P484" s="127"/>
      <c r="Q484" s="128"/>
      <c r="R484" s="74"/>
      <c r="AF484" s="76"/>
    </row>
    <row r="485">
      <c r="D485" s="123"/>
      <c r="L485" s="125"/>
      <c r="N485" s="126"/>
      <c r="P485" s="127"/>
      <c r="Q485" s="128"/>
      <c r="R485" s="74"/>
      <c r="AF485" s="76"/>
    </row>
    <row r="486">
      <c r="D486" s="123"/>
      <c r="L486" s="125"/>
      <c r="N486" s="126"/>
      <c r="P486" s="127"/>
      <c r="Q486" s="128"/>
      <c r="R486" s="74"/>
      <c r="AF486" s="76"/>
    </row>
    <row r="487">
      <c r="D487" s="123"/>
      <c r="L487" s="125"/>
      <c r="N487" s="126"/>
      <c r="P487" s="127"/>
      <c r="Q487" s="128"/>
      <c r="R487" s="74"/>
      <c r="AF487" s="76"/>
    </row>
    <row r="488">
      <c r="D488" s="123"/>
      <c r="L488" s="125"/>
      <c r="N488" s="126"/>
      <c r="P488" s="127"/>
      <c r="Q488" s="128"/>
      <c r="R488" s="74"/>
      <c r="AF488" s="76"/>
    </row>
    <row r="489">
      <c r="D489" s="123"/>
      <c r="L489" s="125"/>
      <c r="N489" s="126"/>
      <c r="P489" s="127"/>
      <c r="Q489" s="128"/>
      <c r="R489" s="74"/>
      <c r="AF489" s="76"/>
    </row>
    <row r="490">
      <c r="D490" s="123"/>
      <c r="L490" s="125"/>
      <c r="N490" s="126"/>
      <c r="P490" s="127"/>
      <c r="Q490" s="128"/>
      <c r="R490" s="74"/>
      <c r="AF490" s="76"/>
    </row>
    <row r="491">
      <c r="D491" s="123"/>
      <c r="L491" s="125"/>
      <c r="N491" s="126"/>
      <c r="P491" s="127"/>
      <c r="Q491" s="128"/>
      <c r="R491" s="74"/>
      <c r="AF491" s="76"/>
    </row>
    <row r="492">
      <c r="D492" s="123"/>
      <c r="L492" s="125"/>
      <c r="N492" s="126"/>
      <c r="P492" s="127"/>
      <c r="Q492" s="128"/>
      <c r="R492" s="74"/>
      <c r="AF492" s="76"/>
    </row>
    <row r="493">
      <c r="D493" s="123"/>
      <c r="L493" s="125"/>
      <c r="N493" s="126"/>
      <c r="P493" s="127"/>
      <c r="Q493" s="128"/>
      <c r="R493" s="74"/>
      <c r="AF493" s="76"/>
    </row>
    <row r="494">
      <c r="D494" s="123"/>
      <c r="L494" s="125"/>
      <c r="N494" s="126"/>
      <c r="P494" s="127"/>
      <c r="Q494" s="128"/>
      <c r="R494" s="74"/>
      <c r="AF494" s="76"/>
    </row>
    <row r="495">
      <c r="D495" s="123"/>
      <c r="L495" s="125"/>
      <c r="N495" s="126"/>
      <c r="P495" s="127"/>
      <c r="Q495" s="128"/>
      <c r="R495" s="74"/>
      <c r="AF495" s="76"/>
    </row>
    <row r="496">
      <c r="D496" s="123"/>
      <c r="L496" s="125"/>
      <c r="N496" s="126"/>
      <c r="P496" s="127"/>
      <c r="Q496" s="128"/>
      <c r="R496" s="74"/>
      <c r="AF496" s="76"/>
    </row>
    <row r="497">
      <c r="D497" s="123"/>
      <c r="L497" s="125"/>
      <c r="N497" s="126"/>
      <c r="P497" s="127"/>
      <c r="Q497" s="128"/>
      <c r="R497" s="74"/>
      <c r="AF497" s="76"/>
    </row>
    <row r="498">
      <c r="D498" s="123"/>
      <c r="L498" s="125"/>
      <c r="N498" s="126"/>
      <c r="P498" s="127"/>
      <c r="Q498" s="128"/>
      <c r="R498" s="74"/>
      <c r="AF498" s="76"/>
    </row>
    <row r="499">
      <c r="D499" s="123"/>
      <c r="L499" s="125"/>
      <c r="N499" s="126"/>
      <c r="P499" s="127"/>
      <c r="Q499" s="128"/>
      <c r="R499" s="74"/>
      <c r="AF499" s="76"/>
    </row>
    <row r="500">
      <c r="D500" s="123"/>
      <c r="L500" s="125"/>
      <c r="N500" s="126"/>
      <c r="P500" s="127"/>
      <c r="Q500" s="128"/>
      <c r="R500" s="74"/>
      <c r="AF500" s="76"/>
    </row>
    <row r="501">
      <c r="D501" s="123"/>
      <c r="L501" s="125"/>
      <c r="N501" s="126"/>
      <c r="P501" s="127"/>
      <c r="Q501" s="128"/>
      <c r="R501" s="74"/>
      <c r="AF501" s="76"/>
    </row>
    <row r="502">
      <c r="D502" s="123"/>
      <c r="L502" s="125"/>
      <c r="N502" s="126"/>
      <c r="P502" s="127"/>
      <c r="Q502" s="128"/>
      <c r="R502" s="74"/>
      <c r="AF502" s="76"/>
    </row>
    <row r="503">
      <c r="D503" s="123"/>
      <c r="L503" s="125"/>
      <c r="N503" s="126"/>
      <c r="P503" s="127"/>
      <c r="Q503" s="128"/>
      <c r="R503" s="74"/>
      <c r="AF503" s="76"/>
    </row>
    <row r="504">
      <c r="D504" s="123"/>
      <c r="L504" s="125"/>
      <c r="N504" s="126"/>
      <c r="P504" s="127"/>
      <c r="Q504" s="128"/>
      <c r="R504" s="74"/>
      <c r="AF504" s="76"/>
    </row>
    <row r="505">
      <c r="D505" s="123"/>
      <c r="L505" s="125"/>
      <c r="N505" s="126"/>
      <c r="P505" s="127"/>
      <c r="Q505" s="128"/>
      <c r="R505" s="74"/>
      <c r="AF505" s="76"/>
    </row>
    <row r="506">
      <c r="D506" s="123"/>
      <c r="L506" s="125"/>
      <c r="N506" s="126"/>
      <c r="P506" s="127"/>
      <c r="Q506" s="128"/>
      <c r="R506" s="74"/>
      <c r="AF506" s="76"/>
    </row>
    <row r="507">
      <c r="D507" s="123"/>
      <c r="L507" s="125"/>
      <c r="N507" s="126"/>
      <c r="P507" s="127"/>
      <c r="Q507" s="128"/>
      <c r="R507" s="74"/>
      <c r="AF507" s="76"/>
    </row>
    <row r="508">
      <c r="D508" s="123"/>
      <c r="L508" s="125"/>
      <c r="N508" s="126"/>
      <c r="P508" s="127"/>
      <c r="Q508" s="128"/>
      <c r="R508" s="74"/>
      <c r="AF508" s="76"/>
    </row>
    <row r="509">
      <c r="D509" s="123"/>
      <c r="L509" s="125"/>
      <c r="N509" s="126"/>
      <c r="P509" s="127"/>
      <c r="Q509" s="128"/>
      <c r="R509" s="74"/>
      <c r="AF509" s="76"/>
    </row>
    <row r="510">
      <c r="D510" s="123"/>
      <c r="L510" s="125"/>
      <c r="N510" s="126"/>
      <c r="P510" s="127"/>
      <c r="Q510" s="128"/>
      <c r="R510" s="74"/>
      <c r="AF510" s="76"/>
    </row>
    <row r="511">
      <c r="D511" s="123"/>
      <c r="L511" s="125"/>
      <c r="N511" s="126"/>
      <c r="P511" s="127"/>
      <c r="Q511" s="128"/>
      <c r="R511" s="74"/>
      <c r="AF511" s="76"/>
    </row>
    <row r="512">
      <c r="D512" s="123"/>
      <c r="L512" s="125"/>
      <c r="N512" s="126"/>
      <c r="P512" s="127"/>
      <c r="Q512" s="128"/>
      <c r="R512" s="74"/>
      <c r="AF512" s="76"/>
    </row>
    <row r="513">
      <c r="D513" s="123"/>
      <c r="L513" s="125"/>
      <c r="N513" s="126"/>
      <c r="P513" s="127"/>
      <c r="Q513" s="128"/>
      <c r="R513" s="74"/>
      <c r="AF513" s="76"/>
    </row>
    <row r="514">
      <c r="D514" s="123"/>
      <c r="L514" s="125"/>
      <c r="N514" s="126"/>
      <c r="P514" s="127"/>
      <c r="Q514" s="128"/>
      <c r="R514" s="74"/>
      <c r="AF514" s="76"/>
    </row>
    <row r="515">
      <c r="D515" s="123"/>
      <c r="L515" s="125"/>
      <c r="N515" s="126"/>
      <c r="P515" s="127"/>
      <c r="Q515" s="128"/>
      <c r="R515" s="74"/>
      <c r="AF515" s="76"/>
    </row>
    <row r="516">
      <c r="D516" s="123"/>
      <c r="L516" s="125"/>
      <c r="N516" s="126"/>
      <c r="P516" s="127"/>
      <c r="Q516" s="128"/>
      <c r="R516" s="74"/>
      <c r="AF516" s="76"/>
    </row>
    <row r="517">
      <c r="D517" s="123"/>
      <c r="L517" s="125"/>
      <c r="N517" s="126"/>
      <c r="P517" s="127"/>
      <c r="Q517" s="128"/>
      <c r="R517" s="74"/>
      <c r="AF517" s="76"/>
    </row>
    <row r="518">
      <c r="D518" s="123"/>
      <c r="L518" s="125"/>
      <c r="N518" s="126"/>
      <c r="P518" s="127"/>
      <c r="Q518" s="128"/>
      <c r="R518" s="74"/>
      <c r="AF518" s="76"/>
    </row>
    <row r="519">
      <c r="D519" s="123"/>
      <c r="L519" s="125"/>
      <c r="N519" s="126"/>
      <c r="P519" s="127"/>
      <c r="Q519" s="128"/>
      <c r="R519" s="74"/>
      <c r="AF519" s="76"/>
    </row>
    <row r="520">
      <c r="D520" s="123"/>
      <c r="L520" s="125"/>
      <c r="N520" s="126"/>
      <c r="P520" s="127"/>
      <c r="Q520" s="128"/>
      <c r="R520" s="74"/>
      <c r="AF520" s="76"/>
    </row>
    <row r="521">
      <c r="D521" s="123"/>
      <c r="L521" s="125"/>
      <c r="N521" s="126"/>
      <c r="P521" s="127"/>
      <c r="Q521" s="128"/>
      <c r="R521" s="74"/>
      <c r="AF521" s="76"/>
    </row>
    <row r="522">
      <c r="D522" s="123"/>
      <c r="L522" s="125"/>
      <c r="N522" s="126"/>
      <c r="P522" s="127"/>
      <c r="Q522" s="128"/>
      <c r="R522" s="74"/>
      <c r="AF522" s="76"/>
    </row>
    <row r="523">
      <c r="D523" s="123"/>
      <c r="L523" s="125"/>
      <c r="N523" s="126"/>
      <c r="P523" s="127"/>
      <c r="Q523" s="128"/>
      <c r="R523" s="74"/>
      <c r="AF523" s="76"/>
    </row>
    <row r="524">
      <c r="D524" s="123"/>
      <c r="L524" s="125"/>
      <c r="N524" s="126"/>
      <c r="P524" s="127"/>
      <c r="Q524" s="128"/>
      <c r="R524" s="74"/>
      <c r="AF524" s="76"/>
    </row>
    <row r="525">
      <c r="D525" s="123"/>
      <c r="L525" s="125"/>
      <c r="N525" s="126"/>
      <c r="P525" s="127"/>
      <c r="Q525" s="128"/>
      <c r="R525" s="74"/>
      <c r="AF525" s="76"/>
    </row>
    <row r="526">
      <c r="D526" s="123"/>
      <c r="L526" s="125"/>
      <c r="N526" s="126"/>
      <c r="P526" s="127"/>
      <c r="Q526" s="128"/>
      <c r="R526" s="74"/>
      <c r="AF526" s="76"/>
    </row>
    <row r="527">
      <c r="D527" s="123"/>
      <c r="L527" s="125"/>
      <c r="N527" s="126"/>
      <c r="P527" s="127"/>
      <c r="Q527" s="128"/>
      <c r="R527" s="74"/>
      <c r="AF527" s="76"/>
    </row>
    <row r="528">
      <c r="D528" s="123"/>
      <c r="L528" s="125"/>
      <c r="N528" s="126"/>
      <c r="P528" s="127"/>
      <c r="Q528" s="128"/>
      <c r="R528" s="74"/>
      <c r="AF528" s="76"/>
    </row>
    <row r="529">
      <c r="D529" s="123"/>
      <c r="L529" s="125"/>
      <c r="N529" s="126"/>
      <c r="P529" s="127"/>
      <c r="Q529" s="128"/>
      <c r="R529" s="74"/>
      <c r="AF529" s="76"/>
    </row>
    <row r="530">
      <c r="D530" s="123"/>
      <c r="L530" s="125"/>
      <c r="N530" s="126"/>
      <c r="P530" s="127"/>
      <c r="Q530" s="128"/>
      <c r="R530" s="74"/>
      <c r="AF530" s="76"/>
    </row>
    <row r="531">
      <c r="D531" s="123"/>
      <c r="L531" s="125"/>
      <c r="N531" s="126"/>
      <c r="P531" s="127"/>
      <c r="Q531" s="128"/>
      <c r="R531" s="74"/>
      <c r="AF531" s="76"/>
    </row>
    <row r="532">
      <c r="D532" s="123"/>
      <c r="L532" s="125"/>
      <c r="N532" s="126"/>
      <c r="P532" s="127"/>
      <c r="Q532" s="128"/>
      <c r="R532" s="74"/>
      <c r="AF532" s="76"/>
    </row>
    <row r="533">
      <c r="D533" s="123"/>
      <c r="L533" s="125"/>
      <c r="N533" s="126"/>
      <c r="P533" s="127"/>
      <c r="Q533" s="128"/>
      <c r="R533" s="74"/>
      <c r="AF533" s="76"/>
    </row>
    <row r="534">
      <c r="D534" s="123"/>
      <c r="L534" s="125"/>
      <c r="N534" s="126"/>
      <c r="P534" s="127"/>
      <c r="Q534" s="128"/>
      <c r="R534" s="74"/>
      <c r="AF534" s="76"/>
    </row>
    <row r="535">
      <c r="D535" s="123"/>
      <c r="L535" s="125"/>
      <c r="N535" s="126"/>
      <c r="P535" s="127"/>
      <c r="Q535" s="128"/>
      <c r="R535" s="74"/>
      <c r="AF535" s="76"/>
    </row>
    <row r="536">
      <c r="D536" s="123"/>
      <c r="L536" s="125"/>
      <c r="N536" s="126"/>
      <c r="P536" s="127"/>
      <c r="Q536" s="128"/>
      <c r="R536" s="74"/>
      <c r="AF536" s="76"/>
    </row>
    <row r="537">
      <c r="D537" s="123"/>
      <c r="L537" s="125"/>
      <c r="N537" s="126"/>
      <c r="P537" s="127"/>
      <c r="Q537" s="128"/>
      <c r="R537" s="74"/>
      <c r="AF537" s="76"/>
    </row>
    <row r="538">
      <c r="D538" s="123"/>
      <c r="L538" s="125"/>
      <c r="N538" s="126"/>
      <c r="P538" s="127"/>
      <c r="Q538" s="128"/>
      <c r="R538" s="74"/>
      <c r="AF538" s="76"/>
    </row>
    <row r="539">
      <c r="D539" s="123"/>
      <c r="L539" s="125"/>
      <c r="N539" s="126"/>
      <c r="P539" s="127"/>
      <c r="Q539" s="128"/>
      <c r="R539" s="74"/>
      <c r="AF539" s="76"/>
    </row>
    <row r="540">
      <c r="D540" s="123"/>
      <c r="L540" s="125"/>
      <c r="N540" s="126"/>
      <c r="P540" s="127"/>
      <c r="Q540" s="128"/>
      <c r="R540" s="74"/>
      <c r="AF540" s="76"/>
    </row>
    <row r="541">
      <c r="D541" s="123"/>
      <c r="L541" s="125"/>
      <c r="N541" s="126"/>
      <c r="P541" s="127"/>
      <c r="Q541" s="128"/>
      <c r="R541" s="74"/>
      <c r="AF541" s="76"/>
    </row>
    <row r="542">
      <c r="D542" s="123"/>
      <c r="L542" s="125"/>
      <c r="N542" s="126"/>
      <c r="P542" s="127"/>
      <c r="Q542" s="128"/>
      <c r="R542" s="74"/>
      <c r="AF542" s="76"/>
    </row>
    <row r="543">
      <c r="D543" s="123"/>
      <c r="L543" s="125"/>
      <c r="N543" s="126"/>
      <c r="P543" s="127"/>
      <c r="Q543" s="128"/>
      <c r="R543" s="74"/>
      <c r="AF543" s="76"/>
    </row>
    <row r="544">
      <c r="D544" s="123"/>
      <c r="L544" s="125"/>
      <c r="N544" s="126"/>
      <c r="P544" s="127"/>
      <c r="Q544" s="128"/>
      <c r="R544" s="74"/>
      <c r="AF544" s="76"/>
    </row>
    <row r="545">
      <c r="D545" s="123"/>
      <c r="L545" s="125"/>
      <c r="N545" s="126"/>
      <c r="P545" s="127"/>
      <c r="Q545" s="128"/>
      <c r="R545" s="74"/>
      <c r="AF545" s="76"/>
    </row>
    <row r="546">
      <c r="D546" s="123"/>
      <c r="L546" s="125"/>
      <c r="N546" s="126"/>
      <c r="P546" s="127"/>
      <c r="Q546" s="128"/>
      <c r="R546" s="74"/>
      <c r="AF546" s="76"/>
    </row>
    <row r="547">
      <c r="D547" s="123"/>
      <c r="L547" s="125"/>
      <c r="N547" s="126"/>
      <c r="P547" s="127"/>
      <c r="Q547" s="128"/>
      <c r="R547" s="74"/>
      <c r="AF547" s="76"/>
    </row>
    <row r="548">
      <c r="D548" s="123"/>
      <c r="L548" s="125"/>
      <c r="N548" s="126"/>
      <c r="P548" s="127"/>
      <c r="Q548" s="128"/>
      <c r="R548" s="74"/>
      <c r="AF548" s="76"/>
    </row>
    <row r="549">
      <c r="D549" s="123"/>
      <c r="L549" s="125"/>
      <c r="N549" s="126"/>
      <c r="P549" s="127"/>
      <c r="Q549" s="128"/>
      <c r="R549" s="74"/>
      <c r="AF549" s="76"/>
    </row>
    <row r="550">
      <c r="D550" s="123"/>
      <c r="L550" s="125"/>
      <c r="N550" s="126"/>
      <c r="P550" s="127"/>
      <c r="Q550" s="128"/>
      <c r="R550" s="74"/>
      <c r="AF550" s="76"/>
    </row>
    <row r="551">
      <c r="D551" s="123"/>
      <c r="L551" s="125"/>
      <c r="N551" s="126"/>
      <c r="P551" s="127"/>
      <c r="Q551" s="128"/>
      <c r="R551" s="74"/>
      <c r="AF551" s="76"/>
    </row>
    <row r="552">
      <c r="D552" s="123"/>
      <c r="L552" s="125"/>
      <c r="N552" s="126"/>
      <c r="P552" s="127"/>
      <c r="Q552" s="128"/>
      <c r="R552" s="74"/>
      <c r="AF552" s="76"/>
    </row>
    <row r="553">
      <c r="D553" s="123"/>
      <c r="L553" s="125"/>
      <c r="N553" s="126"/>
      <c r="P553" s="127"/>
      <c r="Q553" s="128"/>
      <c r="R553" s="74"/>
      <c r="AF553" s="76"/>
    </row>
    <row r="554">
      <c r="D554" s="123"/>
      <c r="L554" s="125"/>
      <c r="N554" s="126"/>
      <c r="P554" s="127"/>
      <c r="Q554" s="128"/>
      <c r="R554" s="74"/>
      <c r="AF554" s="76"/>
    </row>
    <row r="555">
      <c r="D555" s="123"/>
      <c r="L555" s="125"/>
      <c r="N555" s="126"/>
      <c r="P555" s="127"/>
      <c r="Q555" s="128"/>
      <c r="R555" s="74"/>
      <c r="AF555" s="76"/>
    </row>
    <row r="556">
      <c r="D556" s="123"/>
      <c r="L556" s="125"/>
      <c r="N556" s="126"/>
      <c r="P556" s="127"/>
      <c r="Q556" s="128"/>
      <c r="R556" s="74"/>
      <c r="AF556" s="76"/>
    </row>
    <row r="557">
      <c r="D557" s="123"/>
      <c r="L557" s="125"/>
      <c r="N557" s="126"/>
      <c r="P557" s="127"/>
      <c r="Q557" s="128"/>
      <c r="R557" s="74"/>
      <c r="AF557" s="76"/>
    </row>
    <row r="558">
      <c r="D558" s="123"/>
      <c r="L558" s="125"/>
      <c r="N558" s="126"/>
      <c r="P558" s="127"/>
      <c r="Q558" s="128"/>
      <c r="R558" s="74"/>
      <c r="AF558" s="76"/>
    </row>
    <row r="559">
      <c r="D559" s="123"/>
      <c r="L559" s="125"/>
      <c r="N559" s="126"/>
      <c r="P559" s="127"/>
      <c r="Q559" s="128"/>
      <c r="R559" s="74"/>
      <c r="AF559" s="76"/>
    </row>
    <row r="560">
      <c r="D560" s="123"/>
      <c r="L560" s="125"/>
      <c r="N560" s="126"/>
      <c r="P560" s="127"/>
      <c r="Q560" s="128"/>
      <c r="R560" s="74"/>
      <c r="AF560" s="76"/>
    </row>
    <row r="561">
      <c r="D561" s="123"/>
      <c r="L561" s="125"/>
      <c r="N561" s="126"/>
      <c r="P561" s="127"/>
      <c r="Q561" s="128"/>
      <c r="R561" s="74"/>
      <c r="AF561" s="76"/>
    </row>
    <row r="562">
      <c r="D562" s="123"/>
      <c r="L562" s="125"/>
      <c r="N562" s="126"/>
      <c r="P562" s="127"/>
      <c r="Q562" s="128"/>
      <c r="R562" s="74"/>
      <c r="AF562" s="76"/>
    </row>
    <row r="563">
      <c r="D563" s="123"/>
      <c r="L563" s="125"/>
      <c r="N563" s="126"/>
      <c r="P563" s="127"/>
      <c r="Q563" s="128"/>
      <c r="R563" s="74"/>
      <c r="AF563" s="76"/>
    </row>
    <row r="564">
      <c r="D564" s="123"/>
      <c r="L564" s="125"/>
      <c r="N564" s="126"/>
      <c r="P564" s="127"/>
      <c r="Q564" s="128"/>
      <c r="R564" s="74"/>
      <c r="AF564" s="76"/>
    </row>
    <row r="565">
      <c r="D565" s="123"/>
      <c r="L565" s="125"/>
      <c r="N565" s="126"/>
      <c r="P565" s="127"/>
      <c r="Q565" s="128"/>
      <c r="R565" s="74"/>
      <c r="AF565" s="76"/>
    </row>
    <row r="566">
      <c r="D566" s="123"/>
      <c r="L566" s="125"/>
      <c r="N566" s="126"/>
      <c r="P566" s="127"/>
      <c r="Q566" s="128"/>
      <c r="R566" s="74"/>
      <c r="AF566" s="76"/>
    </row>
    <row r="567">
      <c r="D567" s="123"/>
      <c r="L567" s="125"/>
      <c r="N567" s="126"/>
      <c r="P567" s="127"/>
      <c r="Q567" s="128"/>
      <c r="R567" s="74"/>
      <c r="AF567" s="76"/>
    </row>
    <row r="568">
      <c r="D568" s="123"/>
      <c r="L568" s="125"/>
      <c r="N568" s="126"/>
      <c r="P568" s="127"/>
      <c r="Q568" s="128"/>
      <c r="R568" s="74"/>
      <c r="AF568" s="76"/>
    </row>
    <row r="569">
      <c r="D569" s="123"/>
      <c r="L569" s="125"/>
      <c r="N569" s="126"/>
      <c r="P569" s="127"/>
      <c r="Q569" s="128"/>
      <c r="R569" s="74"/>
      <c r="AF569" s="76"/>
    </row>
    <row r="570">
      <c r="D570" s="123"/>
      <c r="L570" s="125"/>
      <c r="N570" s="126"/>
      <c r="P570" s="127"/>
      <c r="Q570" s="128"/>
      <c r="R570" s="74"/>
      <c r="AF570" s="76"/>
    </row>
    <row r="571">
      <c r="D571" s="123"/>
      <c r="L571" s="125"/>
      <c r="N571" s="126"/>
      <c r="P571" s="127"/>
      <c r="Q571" s="128"/>
      <c r="R571" s="74"/>
      <c r="AF571" s="76"/>
    </row>
    <row r="572">
      <c r="D572" s="123"/>
      <c r="L572" s="125"/>
      <c r="N572" s="126"/>
      <c r="P572" s="127"/>
      <c r="Q572" s="128"/>
      <c r="R572" s="74"/>
      <c r="AF572" s="76"/>
    </row>
    <row r="573">
      <c r="D573" s="123"/>
      <c r="L573" s="125"/>
      <c r="N573" s="126"/>
      <c r="P573" s="127"/>
      <c r="Q573" s="128"/>
      <c r="R573" s="74"/>
      <c r="AF573" s="76"/>
    </row>
    <row r="574">
      <c r="D574" s="123"/>
      <c r="L574" s="125"/>
      <c r="N574" s="126"/>
      <c r="P574" s="127"/>
      <c r="Q574" s="128"/>
      <c r="R574" s="74"/>
      <c r="AF574" s="76"/>
    </row>
    <row r="575">
      <c r="D575" s="123"/>
      <c r="L575" s="125"/>
      <c r="N575" s="126"/>
      <c r="P575" s="127"/>
      <c r="Q575" s="128"/>
      <c r="R575" s="74"/>
      <c r="AF575" s="76"/>
    </row>
    <row r="576">
      <c r="D576" s="123"/>
      <c r="L576" s="125"/>
      <c r="N576" s="126"/>
      <c r="P576" s="127"/>
      <c r="Q576" s="128"/>
      <c r="R576" s="74"/>
      <c r="AF576" s="76"/>
    </row>
    <row r="577">
      <c r="D577" s="123"/>
      <c r="L577" s="125"/>
      <c r="N577" s="126"/>
      <c r="P577" s="127"/>
      <c r="Q577" s="128"/>
      <c r="R577" s="74"/>
      <c r="AF577" s="76"/>
    </row>
    <row r="578">
      <c r="D578" s="123"/>
      <c r="L578" s="125"/>
      <c r="N578" s="126"/>
      <c r="P578" s="127"/>
      <c r="Q578" s="128"/>
      <c r="R578" s="74"/>
      <c r="AF578" s="76"/>
    </row>
    <row r="579">
      <c r="D579" s="123"/>
      <c r="L579" s="125"/>
      <c r="N579" s="126"/>
      <c r="P579" s="127"/>
      <c r="Q579" s="128"/>
      <c r="R579" s="74"/>
      <c r="AF579" s="76"/>
    </row>
    <row r="580">
      <c r="D580" s="123"/>
      <c r="L580" s="125"/>
      <c r="N580" s="126"/>
      <c r="P580" s="127"/>
      <c r="Q580" s="128"/>
      <c r="R580" s="74"/>
      <c r="AF580" s="76"/>
    </row>
    <row r="581">
      <c r="D581" s="123"/>
      <c r="L581" s="125"/>
      <c r="N581" s="126"/>
      <c r="P581" s="127"/>
      <c r="Q581" s="128"/>
      <c r="R581" s="74"/>
      <c r="AF581" s="76"/>
    </row>
    <row r="582">
      <c r="D582" s="123"/>
      <c r="L582" s="125"/>
      <c r="N582" s="126"/>
      <c r="P582" s="127"/>
      <c r="Q582" s="128"/>
      <c r="R582" s="74"/>
      <c r="AF582" s="76"/>
    </row>
    <row r="583">
      <c r="D583" s="123"/>
      <c r="L583" s="125"/>
      <c r="N583" s="126"/>
      <c r="P583" s="127"/>
      <c r="Q583" s="128"/>
      <c r="R583" s="74"/>
      <c r="AF583" s="76"/>
    </row>
    <row r="584">
      <c r="D584" s="123"/>
      <c r="L584" s="125"/>
      <c r="N584" s="126"/>
      <c r="P584" s="127"/>
      <c r="Q584" s="128"/>
      <c r="R584" s="74"/>
      <c r="AF584" s="76"/>
    </row>
    <row r="585">
      <c r="D585" s="123"/>
      <c r="L585" s="125"/>
      <c r="N585" s="126"/>
      <c r="P585" s="127"/>
      <c r="Q585" s="128"/>
      <c r="R585" s="74"/>
      <c r="AF585" s="76"/>
    </row>
    <row r="586">
      <c r="D586" s="123"/>
      <c r="L586" s="125"/>
      <c r="N586" s="126"/>
      <c r="P586" s="127"/>
      <c r="Q586" s="128"/>
      <c r="R586" s="74"/>
      <c r="AF586" s="76"/>
    </row>
    <row r="587">
      <c r="D587" s="123"/>
      <c r="L587" s="125"/>
      <c r="N587" s="126"/>
      <c r="P587" s="127"/>
      <c r="Q587" s="128"/>
      <c r="R587" s="74"/>
      <c r="AF587" s="76"/>
    </row>
    <row r="588">
      <c r="D588" s="123"/>
      <c r="L588" s="125"/>
      <c r="N588" s="126"/>
      <c r="P588" s="127"/>
      <c r="Q588" s="128"/>
      <c r="R588" s="74"/>
      <c r="AF588" s="76"/>
    </row>
    <row r="589">
      <c r="D589" s="123"/>
      <c r="L589" s="125"/>
      <c r="N589" s="126"/>
      <c r="P589" s="127"/>
      <c r="Q589" s="128"/>
      <c r="R589" s="74"/>
      <c r="AF589" s="76"/>
    </row>
    <row r="590">
      <c r="D590" s="123"/>
      <c r="L590" s="125"/>
      <c r="N590" s="126"/>
      <c r="P590" s="127"/>
      <c r="Q590" s="128"/>
      <c r="R590" s="74"/>
      <c r="AF590" s="76"/>
    </row>
    <row r="591">
      <c r="D591" s="123"/>
      <c r="L591" s="125"/>
      <c r="N591" s="126"/>
      <c r="P591" s="127"/>
      <c r="Q591" s="128"/>
      <c r="R591" s="74"/>
      <c r="AF591" s="76"/>
    </row>
    <row r="592">
      <c r="D592" s="123"/>
      <c r="L592" s="125"/>
      <c r="N592" s="126"/>
      <c r="P592" s="127"/>
      <c r="Q592" s="128"/>
      <c r="R592" s="74"/>
      <c r="AF592" s="76"/>
    </row>
    <row r="593">
      <c r="D593" s="123"/>
      <c r="L593" s="125"/>
      <c r="N593" s="126"/>
      <c r="P593" s="127"/>
      <c r="Q593" s="128"/>
      <c r="R593" s="74"/>
      <c r="AF593" s="76"/>
    </row>
    <row r="594">
      <c r="D594" s="123"/>
      <c r="L594" s="125"/>
      <c r="N594" s="126"/>
      <c r="P594" s="127"/>
      <c r="Q594" s="128"/>
      <c r="R594" s="74"/>
      <c r="AF594" s="76"/>
    </row>
    <row r="595">
      <c r="D595" s="123"/>
      <c r="L595" s="125"/>
      <c r="N595" s="126"/>
      <c r="P595" s="127"/>
      <c r="Q595" s="128"/>
      <c r="R595" s="74"/>
      <c r="AF595" s="76"/>
    </row>
    <row r="596">
      <c r="D596" s="123"/>
      <c r="L596" s="125"/>
      <c r="N596" s="126"/>
      <c r="P596" s="127"/>
      <c r="Q596" s="128"/>
      <c r="R596" s="74"/>
      <c r="AF596" s="76"/>
    </row>
    <row r="597">
      <c r="D597" s="123"/>
      <c r="L597" s="125"/>
      <c r="N597" s="126"/>
      <c r="P597" s="127"/>
      <c r="Q597" s="128"/>
      <c r="R597" s="74"/>
      <c r="AF597" s="76"/>
    </row>
    <row r="598">
      <c r="D598" s="123"/>
      <c r="L598" s="125"/>
      <c r="N598" s="126"/>
      <c r="P598" s="127"/>
      <c r="Q598" s="128"/>
      <c r="R598" s="74"/>
      <c r="AF598" s="76"/>
    </row>
    <row r="599">
      <c r="D599" s="123"/>
      <c r="L599" s="125"/>
      <c r="N599" s="126"/>
      <c r="P599" s="127"/>
      <c r="Q599" s="128"/>
      <c r="R599" s="74"/>
      <c r="AF599" s="76"/>
    </row>
    <row r="600">
      <c r="D600" s="123"/>
      <c r="L600" s="125"/>
      <c r="N600" s="126"/>
      <c r="P600" s="127"/>
      <c r="Q600" s="128"/>
      <c r="R600" s="74"/>
      <c r="AF600" s="76"/>
    </row>
    <row r="601">
      <c r="D601" s="123"/>
      <c r="L601" s="125"/>
      <c r="N601" s="126"/>
      <c r="P601" s="127"/>
      <c r="Q601" s="128"/>
      <c r="R601" s="74"/>
      <c r="AF601" s="76"/>
    </row>
    <row r="602">
      <c r="D602" s="123"/>
      <c r="L602" s="125"/>
      <c r="N602" s="126"/>
      <c r="P602" s="127"/>
      <c r="Q602" s="128"/>
      <c r="R602" s="74"/>
      <c r="AF602" s="76"/>
    </row>
    <row r="603">
      <c r="D603" s="123"/>
      <c r="L603" s="125"/>
      <c r="N603" s="126"/>
      <c r="P603" s="127"/>
      <c r="Q603" s="128"/>
      <c r="R603" s="74"/>
      <c r="AF603" s="76"/>
    </row>
    <row r="604">
      <c r="D604" s="123"/>
      <c r="L604" s="125"/>
      <c r="N604" s="126"/>
      <c r="P604" s="127"/>
      <c r="Q604" s="128"/>
      <c r="R604" s="74"/>
      <c r="AF604" s="76"/>
    </row>
    <row r="605">
      <c r="D605" s="123"/>
      <c r="L605" s="125"/>
      <c r="N605" s="126"/>
      <c r="P605" s="127"/>
      <c r="Q605" s="128"/>
      <c r="R605" s="74"/>
      <c r="AF605" s="76"/>
    </row>
    <row r="606">
      <c r="D606" s="123"/>
      <c r="L606" s="125"/>
      <c r="N606" s="126"/>
      <c r="P606" s="127"/>
      <c r="Q606" s="128"/>
      <c r="R606" s="74"/>
      <c r="AF606" s="76"/>
    </row>
    <row r="607">
      <c r="D607" s="123"/>
      <c r="L607" s="125"/>
      <c r="N607" s="126"/>
      <c r="P607" s="127"/>
      <c r="Q607" s="128"/>
      <c r="R607" s="74"/>
      <c r="AF607" s="76"/>
    </row>
    <row r="608">
      <c r="D608" s="123"/>
      <c r="L608" s="125"/>
      <c r="N608" s="126"/>
      <c r="P608" s="127"/>
      <c r="Q608" s="128"/>
      <c r="R608" s="74"/>
      <c r="AF608" s="76"/>
    </row>
    <row r="609">
      <c r="D609" s="123"/>
      <c r="L609" s="125"/>
      <c r="N609" s="126"/>
      <c r="P609" s="127"/>
      <c r="Q609" s="128"/>
      <c r="R609" s="74"/>
      <c r="AF609" s="76"/>
    </row>
    <row r="610">
      <c r="D610" s="123"/>
      <c r="L610" s="125"/>
      <c r="N610" s="126"/>
      <c r="P610" s="127"/>
      <c r="Q610" s="128"/>
      <c r="R610" s="74"/>
      <c r="AF610" s="76"/>
    </row>
    <row r="611">
      <c r="D611" s="123"/>
      <c r="L611" s="125"/>
      <c r="N611" s="126"/>
      <c r="P611" s="127"/>
      <c r="Q611" s="128"/>
      <c r="R611" s="74"/>
      <c r="AF611" s="76"/>
    </row>
    <row r="612">
      <c r="D612" s="123"/>
      <c r="L612" s="125"/>
      <c r="N612" s="126"/>
      <c r="P612" s="127"/>
      <c r="Q612" s="128"/>
      <c r="R612" s="74"/>
      <c r="AF612" s="76"/>
    </row>
    <row r="613">
      <c r="D613" s="123"/>
      <c r="L613" s="125"/>
      <c r="N613" s="126"/>
      <c r="P613" s="127"/>
      <c r="Q613" s="128"/>
      <c r="R613" s="74"/>
      <c r="AF613" s="76"/>
    </row>
    <row r="614">
      <c r="D614" s="123"/>
      <c r="L614" s="125"/>
      <c r="N614" s="126"/>
      <c r="P614" s="127"/>
      <c r="Q614" s="128"/>
      <c r="R614" s="74"/>
      <c r="AF614" s="76"/>
    </row>
    <row r="615">
      <c r="D615" s="123"/>
      <c r="L615" s="125"/>
      <c r="N615" s="126"/>
      <c r="P615" s="127"/>
      <c r="Q615" s="128"/>
      <c r="R615" s="74"/>
      <c r="AF615" s="76"/>
    </row>
    <row r="616">
      <c r="D616" s="123"/>
      <c r="L616" s="125"/>
      <c r="N616" s="126"/>
      <c r="P616" s="127"/>
      <c r="Q616" s="128"/>
      <c r="R616" s="74"/>
      <c r="AF616" s="76"/>
    </row>
    <row r="617">
      <c r="D617" s="123"/>
      <c r="L617" s="125"/>
      <c r="N617" s="126"/>
      <c r="P617" s="127"/>
      <c r="Q617" s="128"/>
      <c r="R617" s="74"/>
      <c r="AF617" s="76"/>
    </row>
    <row r="618">
      <c r="D618" s="123"/>
      <c r="L618" s="125"/>
      <c r="N618" s="126"/>
      <c r="P618" s="127"/>
      <c r="Q618" s="128"/>
      <c r="R618" s="74"/>
      <c r="AF618" s="76"/>
    </row>
    <row r="619">
      <c r="D619" s="123"/>
      <c r="L619" s="125"/>
      <c r="N619" s="126"/>
      <c r="P619" s="127"/>
      <c r="Q619" s="128"/>
      <c r="R619" s="74"/>
      <c r="AF619" s="76"/>
    </row>
    <row r="620">
      <c r="D620" s="123"/>
      <c r="L620" s="125"/>
      <c r="N620" s="126"/>
      <c r="P620" s="127"/>
      <c r="Q620" s="128"/>
      <c r="R620" s="74"/>
      <c r="AF620" s="76"/>
    </row>
    <row r="621">
      <c r="D621" s="123"/>
      <c r="L621" s="125"/>
      <c r="N621" s="126"/>
      <c r="P621" s="127"/>
      <c r="Q621" s="128"/>
      <c r="R621" s="74"/>
      <c r="AF621" s="76"/>
    </row>
    <row r="622">
      <c r="D622" s="123"/>
      <c r="L622" s="125"/>
      <c r="N622" s="126"/>
      <c r="P622" s="127"/>
      <c r="Q622" s="128"/>
      <c r="R622" s="74"/>
      <c r="AF622" s="76"/>
    </row>
    <row r="623">
      <c r="D623" s="123"/>
      <c r="L623" s="125"/>
      <c r="N623" s="126"/>
      <c r="P623" s="127"/>
      <c r="Q623" s="128"/>
      <c r="R623" s="74"/>
      <c r="AF623" s="76"/>
    </row>
    <row r="624">
      <c r="D624" s="123"/>
      <c r="L624" s="125"/>
      <c r="N624" s="126"/>
      <c r="P624" s="127"/>
      <c r="Q624" s="128"/>
      <c r="R624" s="74"/>
      <c r="AF624" s="76"/>
    </row>
    <row r="625">
      <c r="D625" s="123"/>
      <c r="L625" s="125"/>
      <c r="N625" s="126"/>
      <c r="P625" s="127"/>
      <c r="Q625" s="128"/>
      <c r="R625" s="74"/>
      <c r="AF625" s="76"/>
    </row>
    <row r="626">
      <c r="D626" s="123"/>
      <c r="L626" s="125"/>
      <c r="N626" s="126"/>
      <c r="P626" s="127"/>
      <c r="Q626" s="128"/>
      <c r="R626" s="74"/>
      <c r="AF626" s="76"/>
    </row>
    <row r="627">
      <c r="D627" s="123"/>
      <c r="L627" s="125"/>
      <c r="N627" s="126"/>
      <c r="P627" s="127"/>
      <c r="Q627" s="128"/>
      <c r="R627" s="74"/>
      <c r="AF627" s="76"/>
    </row>
    <row r="628">
      <c r="D628" s="123"/>
      <c r="L628" s="125"/>
      <c r="N628" s="126"/>
      <c r="P628" s="127"/>
      <c r="Q628" s="128"/>
      <c r="R628" s="74"/>
      <c r="AF628" s="76"/>
    </row>
    <row r="629">
      <c r="D629" s="123"/>
      <c r="L629" s="125"/>
      <c r="N629" s="126"/>
      <c r="P629" s="127"/>
      <c r="Q629" s="128"/>
      <c r="R629" s="74"/>
      <c r="AF629" s="76"/>
    </row>
    <row r="630">
      <c r="D630" s="123"/>
      <c r="L630" s="125"/>
      <c r="N630" s="126"/>
      <c r="P630" s="127"/>
      <c r="Q630" s="128"/>
      <c r="R630" s="74"/>
      <c r="AF630" s="76"/>
    </row>
    <row r="631">
      <c r="D631" s="123"/>
      <c r="L631" s="125"/>
      <c r="N631" s="126"/>
      <c r="P631" s="127"/>
      <c r="Q631" s="128"/>
      <c r="R631" s="74"/>
      <c r="AF631" s="76"/>
    </row>
    <row r="632">
      <c r="D632" s="123"/>
      <c r="L632" s="125"/>
      <c r="N632" s="126"/>
      <c r="P632" s="127"/>
      <c r="Q632" s="128"/>
      <c r="R632" s="74"/>
      <c r="AF632" s="76"/>
    </row>
    <row r="633">
      <c r="D633" s="123"/>
      <c r="L633" s="125"/>
      <c r="N633" s="126"/>
      <c r="P633" s="127"/>
      <c r="Q633" s="128"/>
      <c r="R633" s="74"/>
      <c r="AF633" s="76"/>
    </row>
    <row r="634">
      <c r="D634" s="123"/>
      <c r="L634" s="125"/>
      <c r="N634" s="126"/>
      <c r="P634" s="127"/>
      <c r="Q634" s="128"/>
      <c r="R634" s="74"/>
      <c r="AF634" s="76"/>
    </row>
    <row r="635">
      <c r="D635" s="123"/>
      <c r="L635" s="125"/>
      <c r="N635" s="126"/>
      <c r="P635" s="127"/>
      <c r="Q635" s="128"/>
      <c r="R635" s="74"/>
      <c r="AF635" s="76"/>
    </row>
    <row r="636">
      <c r="D636" s="123"/>
      <c r="L636" s="125"/>
      <c r="N636" s="126"/>
      <c r="P636" s="127"/>
      <c r="Q636" s="128"/>
      <c r="R636" s="74"/>
      <c r="AF636" s="76"/>
    </row>
    <row r="637">
      <c r="D637" s="123"/>
      <c r="L637" s="125"/>
      <c r="N637" s="126"/>
      <c r="P637" s="127"/>
      <c r="Q637" s="128"/>
      <c r="R637" s="74"/>
      <c r="AF637" s="76"/>
    </row>
    <row r="638">
      <c r="D638" s="123"/>
      <c r="L638" s="125"/>
      <c r="N638" s="126"/>
      <c r="P638" s="127"/>
      <c r="Q638" s="128"/>
      <c r="R638" s="74"/>
      <c r="AF638" s="76"/>
    </row>
    <row r="639">
      <c r="D639" s="123"/>
      <c r="L639" s="125"/>
      <c r="N639" s="126"/>
      <c r="P639" s="127"/>
      <c r="Q639" s="128"/>
      <c r="R639" s="74"/>
      <c r="AF639" s="76"/>
    </row>
    <row r="640">
      <c r="D640" s="123"/>
      <c r="L640" s="125"/>
      <c r="N640" s="126"/>
      <c r="P640" s="127"/>
      <c r="Q640" s="128"/>
      <c r="R640" s="74"/>
      <c r="AF640" s="76"/>
    </row>
    <row r="641">
      <c r="D641" s="123"/>
      <c r="L641" s="125"/>
      <c r="N641" s="126"/>
      <c r="P641" s="127"/>
      <c r="Q641" s="128"/>
      <c r="R641" s="74"/>
      <c r="AF641" s="76"/>
    </row>
    <row r="642">
      <c r="D642" s="123"/>
      <c r="L642" s="125"/>
      <c r="N642" s="126"/>
      <c r="P642" s="127"/>
      <c r="Q642" s="128"/>
      <c r="R642" s="74"/>
      <c r="AF642" s="76"/>
    </row>
    <row r="643">
      <c r="D643" s="123"/>
      <c r="L643" s="125"/>
      <c r="N643" s="126"/>
      <c r="P643" s="127"/>
      <c r="Q643" s="128"/>
      <c r="R643" s="74"/>
      <c r="AF643" s="76"/>
    </row>
    <row r="644">
      <c r="D644" s="123"/>
      <c r="L644" s="125"/>
      <c r="N644" s="126"/>
      <c r="P644" s="127"/>
      <c r="Q644" s="128"/>
      <c r="R644" s="74"/>
      <c r="AF644" s="76"/>
    </row>
    <row r="645">
      <c r="D645" s="123"/>
      <c r="L645" s="125"/>
      <c r="N645" s="126"/>
      <c r="P645" s="127"/>
      <c r="Q645" s="128"/>
      <c r="R645" s="74"/>
      <c r="AF645" s="76"/>
    </row>
    <row r="646">
      <c r="D646" s="123"/>
      <c r="L646" s="125"/>
      <c r="N646" s="126"/>
      <c r="P646" s="127"/>
      <c r="Q646" s="128"/>
      <c r="R646" s="74"/>
      <c r="AF646" s="76"/>
    </row>
    <row r="647">
      <c r="D647" s="123"/>
      <c r="L647" s="125"/>
      <c r="N647" s="126"/>
      <c r="P647" s="127"/>
      <c r="Q647" s="128"/>
      <c r="R647" s="74"/>
      <c r="AF647" s="76"/>
    </row>
    <row r="648">
      <c r="D648" s="123"/>
      <c r="L648" s="125"/>
      <c r="N648" s="126"/>
      <c r="P648" s="127"/>
      <c r="Q648" s="128"/>
      <c r="R648" s="74"/>
      <c r="AF648" s="76"/>
    </row>
    <row r="649">
      <c r="D649" s="123"/>
      <c r="L649" s="125"/>
      <c r="N649" s="126"/>
      <c r="P649" s="127"/>
      <c r="Q649" s="128"/>
      <c r="R649" s="74"/>
      <c r="AF649" s="76"/>
    </row>
    <row r="650">
      <c r="D650" s="123"/>
      <c r="L650" s="125"/>
      <c r="N650" s="126"/>
      <c r="P650" s="127"/>
      <c r="Q650" s="128"/>
      <c r="R650" s="74"/>
      <c r="AF650" s="76"/>
    </row>
    <row r="651">
      <c r="D651" s="123"/>
      <c r="L651" s="125"/>
      <c r="N651" s="126"/>
      <c r="P651" s="127"/>
      <c r="Q651" s="128"/>
      <c r="R651" s="74"/>
      <c r="AF651" s="76"/>
    </row>
    <row r="652">
      <c r="D652" s="123"/>
      <c r="L652" s="125"/>
      <c r="N652" s="126"/>
      <c r="P652" s="127"/>
      <c r="Q652" s="128"/>
      <c r="R652" s="74"/>
      <c r="AF652" s="76"/>
    </row>
    <row r="653">
      <c r="D653" s="123"/>
      <c r="L653" s="125"/>
      <c r="N653" s="126"/>
      <c r="P653" s="127"/>
      <c r="Q653" s="128"/>
      <c r="R653" s="74"/>
      <c r="AF653" s="76"/>
    </row>
    <row r="654">
      <c r="D654" s="123"/>
      <c r="L654" s="125"/>
      <c r="N654" s="126"/>
      <c r="P654" s="127"/>
      <c r="Q654" s="128"/>
      <c r="R654" s="74"/>
      <c r="AF654" s="76"/>
    </row>
    <row r="655">
      <c r="D655" s="123"/>
      <c r="L655" s="125"/>
      <c r="N655" s="126"/>
      <c r="P655" s="127"/>
      <c r="Q655" s="128"/>
      <c r="R655" s="74"/>
      <c r="AF655" s="76"/>
    </row>
    <row r="656">
      <c r="D656" s="123"/>
      <c r="L656" s="125"/>
      <c r="N656" s="126"/>
      <c r="P656" s="127"/>
      <c r="Q656" s="128"/>
      <c r="R656" s="74"/>
      <c r="AF656" s="76"/>
    </row>
    <row r="657">
      <c r="D657" s="123"/>
      <c r="L657" s="125"/>
      <c r="N657" s="126"/>
      <c r="P657" s="127"/>
      <c r="Q657" s="128"/>
      <c r="R657" s="74"/>
      <c r="AF657" s="76"/>
    </row>
    <row r="658">
      <c r="D658" s="123"/>
      <c r="L658" s="125"/>
      <c r="N658" s="126"/>
      <c r="P658" s="127"/>
      <c r="Q658" s="128"/>
      <c r="R658" s="74"/>
      <c r="AF658" s="76"/>
    </row>
    <row r="659">
      <c r="D659" s="123"/>
      <c r="L659" s="125"/>
      <c r="N659" s="126"/>
      <c r="P659" s="127"/>
      <c r="Q659" s="128"/>
      <c r="R659" s="74"/>
      <c r="AF659" s="76"/>
    </row>
    <row r="660">
      <c r="D660" s="123"/>
      <c r="L660" s="125"/>
      <c r="N660" s="126"/>
      <c r="P660" s="127"/>
      <c r="Q660" s="128"/>
      <c r="R660" s="74"/>
      <c r="AF660" s="76"/>
    </row>
    <row r="661">
      <c r="D661" s="123"/>
      <c r="L661" s="125"/>
      <c r="N661" s="126"/>
      <c r="P661" s="127"/>
      <c r="Q661" s="128"/>
      <c r="R661" s="74"/>
      <c r="AF661" s="76"/>
    </row>
    <row r="662">
      <c r="D662" s="123"/>
      <c r="L662" s="125"/>
      <c r="N662" s="126"/>
      <c r="P662" s="127"/>
      <c r="Q662" s="128"/>
      <c r="R662" s="74"/>
      <c r="AF662" s="76"/>
    </row>
    <row r="663">
      <c r="D663" s="123"/>
      <c r="L663" s="125"/>
      <c r="N663" s="126"/>
      <c r="P663" s="127"/>
      <c r="Q663" s="128"/>
      <c r="R663" s="74"/>
      <c r="AF663" s="76"/>
    </row>
    <row r="664">
      <c r="D664" s="123"/>
      <c r="L664" s="125"/>
      <c r="N664" s="126"/>
      <c r="P664" s="127"/>
      <c r="Q664" s="128"/>
      <c r="R664" s="74"/>
      <c r="AF664" s="76"/>
    </row>
    <row r="665">
      <c r="D665" s="123"/>
      <c r="L665" s="125"/>
      <c r="N665" s="126"/>
      <c r="P665" s="127"/>
      <c r="Q665" s="128"/>
      <c r="R665" s="74"/>
      <c r="AF665" s="76"/>
    </row>
    <row r="666">
      <c r="D666" s="123"/>
      <c r="L666" s="125"/>
      <c r="N666" s="126"/>
      <c r="P666" s="127"/>
      <c r="Q666" s="128"/>
      <c r="R666" s="74"/>
      <c r="AF666" s="76"/>
    </row>
    <row r="667">
      <c r="D667" s="123"/>
      <c r="L667" s="125"/>
      <c r="N667" s="126"/>
      <c r="P667" s="127"/>
      <c r="Q667" s="128"/>
      <c r="R667" s="74"/>
      <c r="AF667" s="76"/>
    </row>
    <row r="668">
      <c r="D668" s="123"/>
      <c r="L668" s="125"/>
      <c r="N668" s="126"/>
      <c r="P668" s="127"/>
      <c r="Q668" s="128"/>
      <c r="R668" s="74"/>
      <c r="AF668" s="76"/>
    </row>
    <row r="669">
      <c r="D669" s="123"/>
      <c r="L669" s="125"/>
      <c r="N669" s="126"/>
      <c r="P669" s="127"/>
      <c r="Q669" s="128"/>
      <c r="R669" s="74"/>
      <c r="AF669" s="76"/>
    </row>
    <row r="670">
      <c r="D670" s="123"/>
      <c r="L670" s="125"/>
      <c r="N670" s="126"/>
      <c r="P670" s="127"/>
      <c r="Q670" s="128"/>
      <c r="R670" s="74"/>
      <c r="AF670" s="76"/>
    </row>
    <row r="671">
      <c r="D671" s="123"/>
      <c r="L671" s="125"/>
      <c r="N671" s="126"/>
      <c r="P671" s="127"/>
      <c r="Q671" s="128"/>
      <c r="R671" s="74"/>
      <c r="AF671" s="76"/>
    </row>
    <row r="672">
      <c r="D672" s="123"/>
      <c r="L672" s="125"/>
      <c r="N672" s="126"/>
      <c r="P672" s="127"/>
      <c r="Q672" s="128"/>
      <c r="R672" s="74"/>
      <c r="AF672" s="76"/>
    </row>
    <row r="673">
      <c r="D673" s="123"/>
      <c r="L673" s="125"/>
      <c r="N673" s="126"/>
      <c r="P673" s="127"/>
      <c r="Q673" s="128"/>
      <c r="R673" s="74"/>
      <c r="AF673" s="76"/>
    </row>
    <row r="674">
      <c r="D674" s="123"/>
      <c r="L674" s="125"/>
      <c r="N674" s="126"/>
      <c r="P674" s="127"/>
      <c r="Q674" s="128"/>
      <c r="R674" s="74"/>
      <c r="AF674" s="76"/>
    </row>
    <row r="675">
      <c r="D675" s="123"/>
      <c r="L675" s="125"/>
      <c r="N675" s="126"/>
      <c r="P675" s="127"/>
      <c r="Q675" s="128"/>
      <c r="R675" s="74"/>
      <c r="AF675" s="76"/>
    </row>
    <row r="676">
      <c r="D676" s="123"/>
      <c r="L676" s="125"/>
      <c r="N676" s="126"/>
      <c r="P676" s="127"/>
      <c r="Q676" s="128"/>
      <c r="R676" s="74"/>
      <c r="AF676" s="76"/>
    </row>
    <row r="677">
      <c r="D677" s="123"/>
      <c r="L677" s="125"/>
      <c r="N677" s="126"/>
      <c r="P677" s="127"/>
      <c r="Q677" s="128"/>
      <c r="R677" s="74"/>
      <c r="AF677" s="76"/>
    </row>
    <row r="678">
      <c r="D678" s="123"/>
      <c r="L678" s="125"/>
      <c r="N678" s="126"/>
      <c r="P678" s="127"/>
      <c r="Q678" s="128"/>
      <c r="R678" s="74"/>
      <c r="AF678" s="76"/>
    </row>
    <row r="679">
      <c r="D679" s="123"/>
      <c r="L679" s="125"/>
      <c r="N679" s="126"/>
      <c r="P679" s="127"/>
      <c r="Q679" s="128"/>
      <c r="R679" s="74"/>
      <c r="AF679" s="76"/>
    </row>
    <row r="680">
      <c r="D680" s="123"/>
      <c r="L680" s="125"/>
      <c r="N680" s="126"/>
      <c r="P680" s="127"/>
      <c r="Q680" s="128"/>
      <c r="R680" s="74"/>
      <c r="AF680" s="76"/>
    </row>
    <row r="681">
      <c r="D681" s="123"/>
      <c r="L681" s="125"/>
      <c r="N681" s="126"/>
      <c r="P681" s="127"/>
      <c r="Q681" s="128"/>
      <c r="R681" s="74"/>
      <c r="AF681" s="76"/>
    </row>
    <row r="682">
      <c r="D682" s="123"/>
      <c r="L682" s="125"/>
      <c r="N682" s="126"/>
      <c r="P682" s="127"/>
      <c r="Q682" s="128"/>
      <c r="R682" s="74"/>
      <c r="AF682" s="76"/>
    </row>
    <row r="683">
      <c r="D683" s="123"/>
      <c r="L683" s="125"/>
      <c r="N683" s="126"/>
      <c r="P683" s="127"/>
      <c r="Q683" s="128"/>
      <c r="R683" s="74"/>
      <c r="AF683" s="76"/>
    </row>
    <row r="684">
      <c r="D684" s="123"/>
      <c r="L684" s="125"/>
      <c r="N684" s="126"/>
      <c r="P684" s="127"/>
      <c r="Q684" s="128"/>
      <c r="R684" s="74"/>
      <c r="AF684" s="76"/>
    </row>
    <row r="685">
      <c r="D685" s="123"/>
      <c r="L685" s="125"/>
      <c r="N685" s="126"/>
      <c r="P685" s="127"/>
      <c r="Q685" s="128"/>
      <c r="R685" s="74"/>
      <c r="AF685" s="76"/>
    </row>
    <row r="686">
      <c r="D686" s="123"/>
      <c r="L686" s="125"/>
      <c r="N686" s="126"/>
      <c r="P686" s="127"/>
      <c r="Q686" s="128"/>
      <c r="R686" s="74"/>
      <c r="AF686" s="76"/>
    </row>
    <row r="687">
      <c r="D687" s="123"/>
      <c r="L687" s="125"/>
      <c r="N687" s="126"/>
      <c r="P687" s="127"/>
      <c r="Q687" s="128"/>
      <c r="R687" s="74"/>
      <c r="AF687" s="76"/>
    </row>
    <row r="688">
      <c r="D688" s="123"/>
      <c r="L688" s="125"/>
      <c r="N688" s="126"/>
      <c r="P688" s="127"/>
      <c r="Q688" s="128"/>
      <c r="R688" s="74"/>
      <c r="AF688" s="76"/>
    </row>
    <row r="689">
      <c r="D689" s="123"/>
      <c r="L689" s="125"/>
      <c r="N689" s="126"/>
      <c r="P689" s="127"/>
      <c r="Q689" s="128"/>
      <c r="R689" s="74"/>
      <c r="AF689" s="76"/>
    </row>
    <row r="690">
      <c r="D690" s="123"/>
      <c r="L690" s="125"/>
      <c r="N690" s="126"/>
      <c r="P690" s="127"/>
      <c r="Q690" s="128"/>
      <c r="R690" s="74"/>
      <c r="AF690" s="76"/>
    </row>
    <row r="691">
      <c r="D691" s="123"/>
      <c r="L691" s="125"/>
      <c r="N691" s="126"/>
      <c r="P691" s="127"/>
      <c r="Q691" s="128"/>
      <c r="R691" s="74"/>
      <c r="AF691" s="76"/>
    </row>
    <row r="692">
      <c r="D692" s="123"/>
      <c r="L692" s="125"/>
      <c r="N692" s="126"/>
      <c r="P692" s="127"/>
      <c r="Q692" s="128"/>
      <c r="R692" s="74"/>
      <c r="AF692" s="76"/>
    </row>
    <row r="693">
      <c r="D693" s="123"/>
      <c r="L693" s="125"/>
      <c r="N693" s="126"/>
      <c r="P693" s="127"/>
      <c r="Q693" s="128"/>
      <c r="R693" s="74"/>
      <c r="AF693" s="76"/>
    </row>
    <row r="694">
      <c r="D694" s="123"/>
      <c r="L694" s="125"/>
      <c r="N694" s="126"/>
      <c r="P694" s="127"/>
      <c r="Q694" s="128"/>
      <c r="R694" s="74"/>
      <c r="AF694" s="76"/>
    </row>
    <row r="695">
      <c r="D695" s="123"/>
      <c r="L695" s="125"/>
      <c r="N695" s="126"/>
      <c r="P695" s="127"/>
      <c r="Q695" s="128"/>
      <c r="R695" s="74"/>
      <c r="AF695" s="76"/>
    </row>
    <row r="696">
      <c r="D696" s="123"/>
      <c r="L696" s="125"/>
      <c r="N696" s="126"/>
      <c r="P696" s="127"/>
      <c r="Q696" s="128"/>
      <c r="R696" s="74"/>
      <c r="AF696" s="76"/>
    </row>
    <row r="697">
      <c r="D697" s="123"/>
      <c r="L697" s="125"/>
      <c r="N697" s="126"/>
      <c r="P697" s="127"/>
      <c r="Q697" s="128"/>
      <c r="R697" s="74"/>
      <c r="AF697" s="76"/>
    </row>
    <row r="698">
      <c r="D698" s="123"/>
      <c r="L698" s="125"/>
      <c r="N698" s="126"/>
      <c r="P698" s="127"/>
      <c r="Q698" s="128"/>
      <c r="R698" s="74"/>
      <c r="AF698" s="76"/>
    </row>
    <row r="699">
      <c r="D699" s="123"/>
      <c r="L699" s="125"/>
      <c r="N699" s="126"/>
      <c r="P699" s="127"/>
      <c r="Q699" s="128"/>
      <c r="R699" s="74"/>
      <c r="AF699" s="76"/>
    </row>
    <row r="700">
      <c r="D700" s="123"/>
      <c r="L700" s="125"/>
      <c r="N700" s="126"/>
      <c r="P700" s="127"/>
      <c r="Q700" s="128"/>
      <c r="R700" s="74"/>
      <c r="AF700" s="76"/>
    </row>
    <row r="701">
      <c r="D701" s="123"/>
      <c r="L701" s="125"/>
      <c r="N701" s="126"/>
      <c r="P701" s="127"/>
      <c r="Q701" s="128"/>
      <c r="R701" s="74"/>
      <c r="AF701" s="76"/>
    </row>
    <row r="702">
      <c r="D702" s="123"/>
      <c r="L702" s="125"/>
      <c r="N702" s="126"/>
      <c r="P702" s="127"/>
      <c r="Q702" s="128"/>
      <c r="R702" s="74"/>
      <c r="AF702" s="76"/>
    </row>
    <row r="703">
      <c r="D703" s="123"/>
      <c r="L703" s="125"/>
      <c r="N703" s="126"/>
      <c r="P703" s="127"/>
      <c r="Q703" s="128"/>
      <c r="R703" s="74"/>
      <c r="AF703" s="76"/>
    </row>
    <row r="704">
      <c r="D704" s="123"/>
      <c r="L704" s="125"/>
      <c r="N704" s="126"/>
      <c r="P704" s="127"/>
      <c r="Q704" s="128"/>
      <c r="R704" s="74"/>
      <c r="AF704" s="76"/>
    </row>
    <row r="705">
      <c r="D705" s="123"/>
      <c r="L705" s="125"/>
      <c r="N705" s="126"/>
      <c r="P705" s="127"/>
      <c r="Q705" s="128"/>
      <c r="R705" s="74"/>
      <c r="AF705" s="76"/>
    </row>
    <row r="706">
      <c r="D706" s="123"/>
      <c r="L706" s="125"/>
      <c r="N706" s="126"/>
      <c r="P706" s="127"/>
      <c r="Q706" s="128"/>
      <c r="R706" s="74"/>
      <c r="AF706" s="76"/>
    </row>
    <row r="707">
      <c r="D707" s="123"/>
      <c r="L707" s="125"/>
      <c r="N707" s="126"/>
      <c r="P707" s="127"/>
      <c r="Q707" s="128"/>
      <c r="R707" s="74"/>
      <c r="AF707" s="76"/>
    </row>
    <row r="708">
      <c r="D708" s="123"/>
      <c r="L708" s="125"/>
      <c r="N708" s="126"/>
      <c r="P708" s="127"/>
      <c r="Q708" s="128"/>
      <c r="R708" s="74"/>
      <c r="AF708" s="76"/>
    </row>
    <row r="709">
      <c r="D709" s="123"/>
      <c r="L709" s="125"/>
      <c r="N709" s="126"/>
      <c r="P709" s="127"/>
      <c r="Q709" s="128"/>
      <c r="R709" s="74"/>
      <c r="AF709" s="76"/>
    </row>
    <row r="710">
      <c r="D710" s="123"/>
      <c r="L710" s="125"/>
      <c r="N710" s="126"/>
      <c r="P710" s="127"/>
      <c r="Q710" s="128"/>
      <c r="R710" s="74"/>
      <c r="AF710" s="76"/>
    </row>
    <row r="711">
      <c r="D711" s="123"/>
      <c r="L711" s="125"/>
      <c r="N711" s="126"/>
      <c r="P711" s="127"/>
      <c r="Q711" s="128"/>
      <c r="R711" s="74"/>
      <c r="AF711" s="76"/>
    </row>
    <row r="712">
      <c r="D712" s="123"/>
      <c r="L712" s="125"/>
      <c r="N712" s="126"/>
      <c r="P712" s="127"/>
      <c r="Q712" s="128"/>
      <c r="R712" s="74"/>
      <c r="AF712" s="76"/>
    </row>
    <row r="713">
      <c r="D713" s="123"/>
      <c r="L713" s="125"/>
      <c r="N713" s="126"/>
      <c r="P713" s="127"/>
      <c r="Q713" s="128"/>
      <c r="R713" s="74"/>
      <c r="AF713" s="76"/>
    </row>
    <row r="714">
      <c r="D714" s="123"/>
      <c r="L714" s="125"/>
      <c r="N714" s="126"/>
      <c r="P714" s="127"/>
      <c r="Q714" s="128"/>
      <c r="R714" s="74"/>
      <c r="AF714" s="76"/>
    </row>
    <row r="715">
      <c r="D715" s="123"/>
      <c r="L715" s="125"/>
      <c r="N715" s="126"/>
      <c r="P715" s="127"/>
      <c r="Q715" s="128"/>
      <c r="R715" s="74"/>
      <c r="AF715" s="76"/>
    </row>
    <row r="716">
      <c r="D716" s="123"/>
      <c r="L716" s="125"/>
      <c r="N716" s="126"/>
      <c r="P716" s="127"/>
      <c r="Q716" s="128"/>
      <c r="R716" s="74"/>
      <c r="AF716" s="76"/>
    </row>
    <row r="717">
      <c r="D717" s="123"/>
      <c r="L717" s="125"/>
      <c r="N717" s="126"/>
      <c r="P717" s="127"/>
      <c r="Q717" s="128"/>
      <c r="R717" s="74"/>
      <c r="AF717" s="76"/>
    </row>
    <row r="718">
      <c r="D718" s="123"/>
      <c r="L718" s="125"/>
      <c r="N718" s="126"/>
      <c r="P718" s="127"/>
      <c r="Q718" s="128"/>
      <c r="R718" s="74"/>
      <c r="AF718" s="76"/>
    </row>
    <row r="719">
      <c r="D719" s="123"/>
      <c r="L719" s="125"/>
      <c r="N719" s="126"/>
      <c r="P719" s="127"/>
      <c r="Q719" s="128"/>
      <c r="R719" s="74"/>
      <c r="AF719" s="76"/>
    </row>
    <row r="720">
      <c r="D720" s="123"/>
      <c r="L720" s="125"/>
      <c r="N720" s="126"/>
      <c r="P720" s="127"/>
      <c r="Q720" s="128"/>
      <c r="R720" s="74"/>
      <c r="AF720" s="76"/>
    </row>
    <row r="721">
      <c r="D721" s="123"/>
      <c r="L721" s="125"/>
      <c r="N721" s="126"/>
      <c r="P721" s="127"/>
      <c r="Q721" s="128"/>
      <c r="R721" s="74"/>
      <c r="AF721" s="76"/>
    </row>
    <row r="722">
      <c r="D722" s="123"/>
      <c r="L722" s="125"/>
      <c r="N722" s="126"/>
      <c r="P722" s="127"/>
      <c r="Q722" s="128"/>
      <c r="R722" s="74"/>
      <c r="AF722" s="76"/>
    </row>
    <row r="723">
      <c r="D723" s="123"/>
      <c r="L723" s="125"/>
      <c r="N723" s="126"/>
      <c r="P723" s="127"/>
      <c r="Q723" s="128"/>
      <c r="R723" s="74"/>
      <c r="AF723" s="76"/>
    </row>
    <row r="724">
      <c r="D724" s="123"/>
      <c r="L724" s="125"/>
      <c r="N724" s="126"/>
      <c r="P724" s="127"/>
      <c r="Q724" s="128"/>
      <c r="R724" s="74"/>
      <c r="AF724" s="76"/>
    </row>
    <row r="725">
      <c r="D725" s="123"/>
      <c r="L725" s="125"/>
      <c r="N725" s="126"/>
      <c r="P725" s="127"/>
      <c r="Q725" s="128"/>
      <c r="R725" s="74"/>
      <c r="AF725" s="76"/>
    </row>
    <row r="726">
      <c r="D726" s="123"/>
      <c r="L726" s="125"/>
      <c r="N726" s="126"/>
      <c r="P726" s="127"/>
      <c r="Q726" s="128"/>
      <c r="R726" s="74"/>
      <c r="AF726" s="76"/>
    </row>
    <row r="727">
      <c r="D727" s="123"/>
      <c r="L727" s="125"/>
      <c r="N727" s="126"/>
      <c r="P727" s="127"/>
      <c r="Q727" s="128"/>
      <c r="R727" s="74"/>
      <c r="AF727" s="76"/>
    </row>
    <row r="728">
      <c r="D728" s="123"/>
      <c r="L728" s="125"/>
      <c r="N728" s="126"/>
      <c r="P728" s="127"/>
      <c r="Q728" s="128"/>
      <c r="R728" s="74"/>
      <c r="AF728" s="76"/>
    </row>
    <row r="729">
      <c r="D729" s="123"/>
      <c r="L729" s="125"/>
      <c r="N729" s="126"/>
      <c r="P729" s="127"/>
      <c r="Q729" s="128"/>
      <c r="R729" s="74"/>
      <c r="AF729" s="76"/>
    </row>
    <row r="730">
      <c r="D730" s="123"/>
      <c r="L730" s="125"/>
      <c r="N730" s="126"/>
      <c r="P730" s="127"/>
      <c r="Q730" s="128"/>
      <c r="R730" s="74"/>
      <c r="AF730" s="76"/>
    </row>
    <row r="731">
      <c r="D731" s="123"/>
      <c r="L731" s="125"/>
      <c r="N731" s="126"/>
      <c r="P731" s="127"/>
      <c r="Q731" s="128"/>
      <c r="R731" s="74"/>
      <c r="AF731" s="76"/>
    </row>
    <row r="732">
      <c r="D732" s="123"/>
      <c r="L732" s="125"/>
      <c r="N732" s="126"/>
      <c r="P732" s="127"/>
      <c r="Q732" s="128"/>
      <c r="R732" s="74"/>
      <c r="AF732" s="76"/>
    </row>
    <row r="733">
      <c r="D733" s="123"/>
      <c r="L733" s="125"/>
      <c r="N733" s="126"/>
      <c r="P733" s="127"/>
      <c r="Q733" s="128"/>
      <c r="R733" s="74"/>
      <c r="AF733" s="76"/>
    </row>
    <row r="734">
      <c r="D734" s="123"/>
      <c r="L734" s="125"/>
      <c r="N734" s="126"/>
      <c r="P734" s="127"/>
      <c r="Q734" s="128"/>
      <c r="R734" s="74"/>
      <c r="AF734" s="76"/>
    </row>
    <row r="735">
      <c r="D735" s="123"/>
      <c r="L735" s="125"/>
      <c r="N735" s="126"/>
      <c r="P735" s="127"/>
      <c r="Q735" s="128"/>
      <c r="R735" s="74"/>
      <c r="AF735" s="76"/>
    </row>
    <row r="736">
      <c r="D736" s="123"/>
      <c r="L736" s="125"/>
      <c r="N736" s="126"/>
      <c r="P736" s="127"/>
      <c r="Q736" s="128"/>
      <c r="R736" s="74"/>
      <c r="AF736" s="76"/>
    </row>
    <row r="737">
      <c r="D737" s="123"/>
      <c r="L737" s="125"/>
      <c r="N737" s="126"/>
      <c r="P737" s="127"/>
      <c r="Q737" s="128"/>
      <c r="R737" s="74"/>
      <c r="AF737" s="76"/>
    </row>
    <row r="738">
      <c r="D738" s="123"/>
      <c r="L738" s="125"/>
      <c r="N738" s="126"/>
      <c r="P738" s="127"/>
      <c r="Q738" s="128"/>
      <c r="R738" s="74"/>
      <c r="AF738" s="76"/>
    </row>
    <row r="739">
      <c r="D739" s="123"/>
      <c r="L739" s="125"/>
      <c r="N739" s="126"/>
      <c r="P739" s="127"/>
      <c r="Q739" s="128"/>
      <c r="R739" s="74"/>
      <c r="AF739" s="76"/>
    </row>
    <row r="740">
      <c r="D740" s="123"/>
      <c r="L740" s="125"/>
      <c r="N740" s="126"/>
      <c r="P740" s="127"/>
      <c r="Q740" s="128"/>
      <c r="R740" s="74"/>
      <c r="AF740" s="76"/>
    </row>
    <row r="741">
      <c r="D741" s="123"/>
      <c r="L741" s="125"/>
      <c r="N741" s="126"/>
      <c r="P741" s="127"/>
      <c r="Q741" s="128"/>
      <c r="R741" s="74"/>
      <c r="AF741" s="76"/>
    </row>
    <row r="742">
      <c r="D742" s="123"/>
      <c r="L742" s="125"/>
      <c r="N742" s="126"/>
      <c r="P742" s="127"/>
      <c r="Q742" s="128"/>
      <c r="R742" s="74"/>
      <c r="AF742" s="76"/>
    </row>
    <row r="743">
      <c r="D743" s="123"/>
      <c r="L743" s="125"/>
      <c r="N743" s="126"/>
      <c r="P743" s="127"/>
      <c r="Q743" s="128"/>
      <c r="R743" s="74"/>
      <c r="AF743" s="76"/>
    </row>
    <row r="744">
      <c r="D744" s="123"/>
      <c r="L744" s="125"/>
      <c r="N744" s="126"/>
      <c r="P744" s="127"/>
      <c r="Q744" s="128"/>
      <c r="R744" s="74"/>
      <c r="AF744" s="76"/>
    </row>
    <row r="745">
      <c r="D745" s="123"/>
      <c r="L745" s="125"/>
      <c r="N745" s="126"/>
      <c r="P745" s="127"/>
      <c r="Q745" s="128"/>
      <c r="R745" s="74"/>
      <c r="AF745" s="76"/>
    </row>
    <row r="746">
      <c r="D746" s="123"/>
      <c r="L746" s="125"/>
      <c r="N746" s="126"/>
      <c r="P746" s="127"/>
      <c r="Q746" s="128"/>
      <c r="R746" s="74"/>
      <c r="AF746" s="76"/>
    </row>
    <row r="747">
      <c r="D747" s="123"/>
      <c r="L747" s="125"/>
      <c r="N747" s="126"/>
      <c r="P747" s="127"/>
      <c r="Q747" s="128"/>
      <c r="R747" s="74"/>
      <c r="AF747" s="76"/>
    </row>
    <row r="748">
      <c r="D748" s="123"/>
      <c r="L748" s="125"/>
      <c r="N748" s="126"/>
      <c r="P748" s="127"/>
      <c r="Q748" s="128"/>
      <c r="R748" s="74"/>
      <c r="AF748" s="76"/>
    </row>
    <row r="749">
      <c r="D749" s="123"/>
      <c r="L749" s="125"/>
      <c r="N749" s="126"/>
      <c r="P749" s="127"/>
      <c r="Q749" s="128"/>
      <c r="R749" s="74"/>
      <c r="AF749" s="76"/>
    </row>
    <row r="750">
      <c r="D750" s="123"/>
      <c r="L750" s="125"/>
      <c r="N750" s="126"/>
      <c r="P750" s="127"/>
      <c r="Q750" s="128"/>
      <c r="R750" s="74"/>
      <c r="AF750" s="76"/>
    </row>
    <row r="751">
      <c r="D751" s="123"/>
      <c r="L751" s="125"/>
      <c r="N751" s="126"/>
      <c r="P751" s="127"/>
      <c r="Q751" s="128"/>
      <c r="R751" s="74"/>
      <c r="AF751" s="76"/>
    </row>
    <row r="752">
      <c r="D752" s="123"/>
      <c r="L752" s="125"/>
      <c r="N752" s="126"/>
      <c r="P752" s="127"/>
      <c r="Q752" s="128"/>
      <c r="R752" s="74"/>
      <c r="AF752" s="76"/>
    </row>
    <row r="753">
      <c r="D753" s="123"/>
      <c r="L753" s="125"/>
      <c r="N753" s="126"/>
      <c r="P753" s="127"/>
      <c r="Q753" s="128"/>
      <c r="R753" s="74"/>
      <c r="AF753" s="76"/>
    </row>
    <row r="754">
      <c r="D754" s="123"/>
      <c r="L754" s="125"/>
      <c r="N754" s="126"/>
      <c r="P754" s="127"/>
      <c r="Q754" s="128"/>
      <c r="R754" s="74"/>
      <c r="AF754" s="76"/>
    </row>
    <row r="755">
      <c r="D755" s="123"/>
      <c r="L755" s="125"/>
      <c r="N755" s="126"/>
      <c r="P755" s="127"/>
      <c r="Q755" s="128"/>
      <c r="R755" s="74"/>
      <c r="AF755" s="76"/>
    </row>
    <row r="756">
      <c r="D756" s="123"/>
      <c r="L756" s="125"/>
      <c r="N756" s="126"/>
      <c r="P756" s="127"/>
      <c r="Q756" s="128"/>
      <c r="R756" s="74"/>
      <c r="AF756" s="76"/>
    </row>
    <row r="757">
      <c r="D757" s="123"/>
      <c r="L757" s="125"/>
      <c r="N757" s="126"/>
      <c r="P757" s="127"/>
      <c r="Q757" s="128"/>
      <c r="R757" s="74"/>
      <c r="AF757" s="76"/>
    </row>
    <row r="758">
      <c r="D758" s="123"/>
      <c r="L758" s="125"/>
      <c r="N758" s="126"/>
      <c r="P758" s="127"/>
      <c r="Q758" s="128"/>
      <c r="R758" s="74"/>
      <c r="AF758" s="76"/>
    </row>
    <row r="759">
      <c r="D759" s="123"/>
      <c r="L759" s="125"/>
      <c r="N759" s="126"/>
      <c r="P759" s="127"/>
      <c r="Q759" s="128"/>
      <c r="R759" s="74"/>
      <c r="AF759" s="76"/>
    </row>
    <row r="760">
      <c r="D760" s="123"/>
      <c r="L760" s="125"/>
      <c r="N760" s="126"/>
      <c r="P760" s="127"/>
      <c r="Q760" s="128"/>
      <c r="R760" s="74"/>
      <c r="AF760" s="76"/>
    </row>
    <row r="761">
      <c r="D761" s="123"/>
      <c r="L761" s="125"/>
      <c r="N761" s="126"/>
      <c r="P761" s="127"/>
      <c r="Q761" s="128"/>
      <c r="R761" s="74"/>
      <c r="AF761" s="76"/>
    </row>
    <row r="762">
      <c r="D762" s="123"/>
      <c r="L762" s="125"/>
      <c r="N762" s="126"/>
      <c r="P762" s="127"/>
      <c r="Q762" s="128"/>
      <c r="R762" s="74"/>
      <c r="AF762" s="76"/>
    </row>
    <row r="763">
      <c r="D763" s="123"/>
      <c r="L763" s="125"/>
      <c r="N763" s="126"/>
      <c r="P763" s="127"/>
      <c r="Q763" s="128"/>
      <c r="R763" s="74"/>
      <c r="AF763" s="76"/>
    </row>
    <row r="764">
      <c r="D764" s="123"/>
      <c r="L764" s="125"/>
      <c r="N764" s="126"/>
      <c r="P764" s="127"/>
      <c r="Q764" s="128"/>
      <c r="R764" s="74"/>
      <c r="AF764" s="76"/>
    </row>
    <row r="765">
      <c r="D765" s="123"/>
      <c r="L765" s="125"/>
      <c r="N765" s="126"/>
      <c r="P765" s="127"/>
      <c r="Q765" s="128"/>
      <c r="R765" s="74"/>
      <c r="AF765" s="76"/>
    </row>
    <row r="766">
      <c r="D766" s="123"/>
      <c r="L766" s="125"/>
      <c r="N766" s="126"/>
      <c r="P766" s="127"/>
      <c r="Q766" s="128"/>
      <c r="R766" s="74"/>
      <c r="AF766" s="76"/>
    </row>
    <row r="767">
      <c r="D767" s="123"/>
      <c r="L767" s="125"/>
      <c r="N767" s="126"/>
      <c r="P767" s="127"/>
      <c r="Q767" s="128"/>
      <c r="R767" s="74"/>
      <c r="AF767" s="76"/>
    </row>
    <row r="768">
      <c r="D768" s="123"/>
      <c r="L768" s="125"/>
      <c r="N768" s="126"/>
      <c r="P768" s="127"/>
      <c r="Q768" s="128"/>
      <c r="R768" s="74"/>
      <c r="AF768" s="76"/>
    </row>
    <row r="769">
      <c r="D769" s="123"/>
      <c r="L769" s="125"/>
      <c r="N769" s="126"/>
      <c r="P769" s="127"/>
      <c r="Q769" s="128"/>
      <c r="R769" s="74"/>
      <c r="AF769" s="76"/>
    </row>
    <row r="770">
      <c r="D770" s="123"/>
      <c r="L770" s="125"/>
      <c r="N770" s="126"/>
      <c r="P770" s="127"/>
      <c r="Q770" s="128"/>
      <c r="R770" s="74"/>
      <c r="AF770" s="76"/>
    </row>
    <row r="771">
      <c r="D771" s="123"/>
      <c r="L771" s="125"/>
      <c r="N771" s="126"/>
      <c r="P771" s="127"/>
      <c r="Q771" s="128"/>
      <c r="R771" s="74"/>
      <c r="AF771" s="76"/>
    </row>
    <row r="772">
      <c r="D772" s="123"/>
      <c r="L772" s="125"/>
      <c r="N772" s="126"/>
      <c r="P772" s="127"/>
      <c r="Q772" s="128"/>
      <c r="R772" s="74"/>
      <c r="AF772" s="76"/>
    </row>
    <row r="773">
      <c r="D773" s="123"/>
      <c r="L773" s="125"/>
      <c r="N773" s="126"/>
      <c r="P773" s="127"/>
      <c r="Q773" s="128"/>
      <c r="R773" s="74"/>
      <c r="AF773" s="76"/>
    </row>
    <row r="774">
      <c r="D774" s="123"/>
      <c r="L774" s="125"/>
      <c r="N774" s="126"/>
      <c r="P774" s="127"/>
      <c r="Q774" s="128"/>
      <c r="R774" s="74"/>
      <c r="AF774" s="76"/>
    </row>
    <row r="775">
      <c r="D775" s="123"/>
      <c r="L775" s="125"/>
      <c r="N775" s="126"/>
      <c r="P775" s="127"/>
      <c r="Q775" s="128"/>
      <c r="R775" s="74"/>
      <c r="AF775" s="76"/>
    </row>
    <row r="776">
      <c r="D776" s="123"/>
      <c r="L776" s="125"/>
      <c r="N776" s="126"/>
      <c r="P776" s="127"/>
      <c r="Q776" s="128"/>
      <c r="R776" s="74"/>
      <c r="AF776" s="76"/>
    </row>
    <row r="777">
      <c r="D777" s="123"/>
      <c r="L777" s="125"/>
      <c r="N777" s="126"/>
      <c r="P777" s="127"/>
      <c r="Q777" s="128"/>
      <c r="R777" s="74"/>
      <c r="AF777" s="76"/>
    </row>
    <row r="778">
      <c r="D778" s="123"/>
      <c r="L778" s="125"/>
      <c r="N778" s="126"/>
      <c r="P778" s="127"/>
      <c r="Q778" s="128"/>
      <c r="R778" s="74"/>
      <c r="AF778" s="76"/>
    </row>
    <row r="779">
      <c r="D779" s="123"/>
      <c r="L779" s="125"/>
      <c r="N779" s="126"/>
      <c r="P779" s="127"/>
      <c r="Q779" s="128"/>
      <c r="R779" s="74"/>
      <c r="AF779" s="76"/>
    </row>
    <row r="780">
      <c r="D780" s="123"/>
      <c r="L780" s="125"/>
      <c r="N780" s="126"/>
      <c r="P780" s="127"/>
      <c r="Q780" s="128"/>
      <c r="R780" s="74"/>
      <c r="AF780" s="76"/>
    </row>
    <row r="781">
      <c r="D781" s="123"/>
      <c r="L781" s="125"/>
      <c r="N781" s="126"/>
      <c r="P781" s="127"/>
      <c r="Q781" s="128"/>
      <c r="R781" s="74"/>
      <c r="AF781" s="76"/>
    </row>
    <row r="782">
      <c r="D782" s="123"/>
      <c r="L782" s="125"/>
      <c r="N782" s="126"/>
      <c r="P782" s="127"/>
      <c r="Q782" s="128"/>
      <c r="R782" s="74"/>
      <c r="AF782" s="76"/>
    </row>
    <row r="783">
      <c r="D783" s="123"/>
      <c r="L783" s="125"/>
      <c r="N783" s="126"/>
      <c r="P783" s="127"/>
      <c r="Q783" s="128"/>
      <c r="R783" s="74"/>
      <c r="AF783" s="76"/>
    </row>
    <row r="784">
      <c r="D784" s="123"/>
      <c r="L784" s="125"/>
      <c r="N784" s="126"/>
      <c r="P784" s="127"/>
      <c r="Q784" s="128"/>
      <c r="R784" s="74"/>
      <c r="AF784" s="76"/>
    </row>
    <row r="785">
      <c r="D785" s="123"/>
      <c r="L785" s="125"/>
      <c r="N785" s="126"/>
      <c r="P785" s="127"/>
      <c r="Q785" s="128"/>
      <c r="R785" s="74"/>
      <c r="AF785" s="76"/>
    </row>
    <row r="786">
      <c r="D786" s="123"/>
      <c r="L786" s="125"/>
      <c r="N786" s="126"/>
      <c r="P786" s="127"/>
      <c r="Q786" s="128"/>
      <c r="R786" s="74"/>
      <c r="AF786" s="76"/>
    </row>
    <row r="787">
      <c r="D787" s="123"/>
      <c r="L787" s="125"/>
      <c r="N787" s="126"/>
      <c r="P787" s="127"/>
      <c r="Q787" s="128"/>
      <c r="R787" s="74"/>
      <c r="AF787" s="76"/>
    </row>
    <row r="788">
      <c r="D788" s="123"/>
      <c r="L788" s="125"/>
      <c r="N788" s="126"/>
      <c r="P788" s="127"/>
      <c r="Q788" s="128"/>
      <c r="R788" s="74"/>
      <c r="AF788" s="76"/>
    </row>
    <row r="789">
      <c r="D789" s="123"/>
      <c r="L789" s="125"/>
      <c r="N789" s="126"/>
      <c r="P789" s="127"/>
      <c r="Q789" s="128"/>
      <c r="R789" s="74"/>
      <c r="AF789" s="76"/>
    </row>
    <row r="790">
      <c r="D790" s="123"/>
      <c r="L790" s="125"/>
      <c r="N790" s="126"/>
      <c r="P790" s="127"/>
      <c r="Q790" s="128"/>
      <c r="R790" s="74"/>
      <c r="AF790" s="76"/>
    </row>
    <row r="791">
      <c r="D791" s="123"/>
      <c r="L791" s="125"/>
      <c r="N791" s="126"/>
      <c r="P791" s="127"/>
      <c r="Q791" s="128"/>
      <c r="R791" s="74"/>
      <c r="AF791" s="76"/>
    </row>
    <row r="792">
      <c r="D792" s="123"/>
      <c r="L792" s="125"/>
      <c r="N792" s="126"/>
      <c r="P792" s="127"/>
      <c r="Q792" s="128"/>
      <c r="R792" s="74"/>
      <c r="AF792" s="76"/>
    </row>
    <row r="793">
      <c r="D793" s="123"/>
      <c r="L793" s="125"/>
      <c r="N793" s="126"/>
      <c r="P793" s="127"/>
      <c r="Q793" s="128"/>
      <c r="R793" s="74"/>
      <c r="AF793" s="76"/>
    </row>
    <row r="794">
      <c r="D794" s="123"/>
      <c r="L794" s="125"/>
      <c r="N794" s="126"/>
      <c r="P794" s="127"/>
      <c r="Q794" s="128"/>
      <c r="R794" s="74"/>
      <c r="AF794" s="76"/>
    </row>
    <row r="795">
      <c r="D795" s="123"/>
      <c r="L795" s="125"/>
      <c r="N795" s="126"/>
      <c r="P795" s="127"/>
      <c r="Q795" s="128"/>
      <c r="R795" s="74"/>
      <c r="AF795" s="76"/>
    </row>
    <row r="796">
      <c r="D796" s="123"/>
      <c r="L796" s="125"/>
      <c r="N796" s="126"/>
      <c r="P796" s="127"/>
      <c r="Q796" s="128"/>
      <c r="R796" s="74"/>
      <c r="AF796" s="76"/>
    </row>
    <row r="797">
      <c r="D797" s="123"/>
      <c r="L797" s="125"/>
      <c r="N797" s="126"/>
      <c r="P797" s="127"/>
      <c r="Q797" s="128"/>
      <c r="R797" s="74"/>
      <c r="AF797" s="76"/>
    </row>
    <row r="798">
      <c r="D798" s="123"/>
      <c r="L798" s="125"/>
      <c r="N798" s="126"/>
      <c r="P798" s="127"/>
      <c r="Q798" s="128"/>
      <c r="R798" s="74"/>
      <c r="AF798" s="76"/>
    </row>
    <row r="799">
      <c r="D799" s="123"/>
      <c r="L799" s="125"/>
      <c r="N799" s="126"/>
      <c r="P799" s="127"/>
      <c r="Q799" s="128"/>
      <c r="R799" s="74"/>
      <c r="AF799" s="76"/>
    </row>
    <row r="800">
      <c r="D800" s="123"/>
      <c r="L800" s="125"/>
      <c r="N800" s="126"/>
      <c r="P800" s="127"/>
      <c r="Q800" s="128"/>
      <c r="R800" s="74"/>
      <c r="AF800" s="76"/>
    </row>
    <row r="801">
      <c r="D801" s="123"/>
      <c r="L801" s="125"/>
      <c r="N801" s="126"/>
      <c r="P801" s="127"/>
      <c r="Q801" s="128"/>
      <c r="R801" s="74"/>
      <c r="AF801" s="76"/>
    </row>
    <row r="802">
      <c r="D802" s="123"/>
      <c r="L802" s="125"/>
      <c r="N802" s="126"/>
      <c r="P802" s="127"/>
      <c r="Q802" s="128"/>
      <c r="R802" s="74"/>
      <c r="AF802" s="76"/>
    </row>
    <row r="803">
      <c r="D803" s="123"/>
      <c r="L803" s="125"/>
      <c r="N803" s="126"/>
      <c r="P803" s="127"/>
      <c r="Q803" s="128"/>
      <c r="R803" s="74"/>
      <c r="AF803" s="76"/>
    </row>
    <row r="804">
      <c r="D804" s="123"/>
      <c r="L804" s="125"/>
      <c r="N804" s="126"/>
      <c r="P804" s="127"/>
      <c r="Q804" s="128"/>
      <c r="R804" s="74"/>
      <c r="AF804" s="76"/>
    </row>
    <row r="805">
      <c r="D805" s="123"/>
      <c r="L805" s="125"/>
      <c r="N805" s="126"/>
      <c r="P805" s="127"/>
      <c r="Q805" s="128"/>
      <c r="R805" s="74"/>
      <c r="AF805" s="76"/>
    </row>
    <row r="806">
      <c r="D806" s="123"/>
      <c r="L806" s="125"/>
      <c r="N806" s="126"/>
      <c r="P806" s="127"/>
      <c r="Q806" s="128"/>
      <c r="R806" s="74"/>
      <c r="AF806" s="76"/>
    </row>
    <row r="807">
      <c r="D807" s="123"/>
      <c r="L807" s="125"/>
      <c r="N807" s="126"/>
      <c r="P807" s="127"/>
      <c r="Q807" s="128"/>
      <c r="R807" s="74"/>
      <c r="AF807" s="76"/>
    </row>
    <row r="808">
      <c r="D808" s="123"/>
      <c r="L808" s="125"/>
      <c r="N808" s="126"/>
      <c r="P808" s="127"/>
      <c r="Q808" s="128"/>
      <c r="R808" s="74"/>
      <c r="AF808" s="76"/>
    </row>
    <row r="809">
      <c r="D809" s="123"/>
      <c r="L809" s="125"/>
      <c r="N809" s="126"/>
      <c r="P809" s="127"/>
      <c r="Q809" s="128"/>
      <c r="R809" s="74"/>
      <c r="AF809" s="76"/>
    </row>
    <row r="810">
      <c r="D810" s="123"/>
      <c r="L810" s="125"/>
      <c r="N810" s="126"/>
      <c r="P810" s="127"/>
      <c r="Q810" s="128"/>
      <c r="R810" s="74"/>
      <c r="AF810" s="76"/>
    </row>
    <row r="811">
      <c r="D811" s="123"/>
      <c r="L811" s="125"/>
      <c r="N811" s="126"/>
      <c r="P811" s="127"/>
      <c r="Q811" s="128"/>
      <c r="R811" s="74"/>
      <c r="AF811" s="76"/>
    </row>
    <row r="812">
      <c r="D812" s="123"/>
      <c r="L812" s="125"/>
      <c r="N812" s="126"/>
      <c r="P812" s="127"/>
      <c r="Q812" s="128"/>
      <c r="R812" s="74"/>
      <c r="AF812" s="76"/>
    </row>
    <row r="813">
      <c r="D813" s="123"/>
      <c r="L813" s="125"/>
      <c r="N813" s="126"/>
      <c r="P813" s="127"/>
      <c r="Q813" s="128"/>
      <c r="R813" s="74"/>
      <c r="AF813" s="76"/>
    </row>
    <row r="814">
      <c r="D814" s="123"/>
      <c r="L814" s="125"/>
      <c r="N814" s="126"/>
      <c r="P814" s="127"/>
      <c r="Q814" s="128"/>
      <c r="R814" s="74"/>
      <c r="AF814" s="76"/>
    </row>
    <row r="815">
      <c r="D815" s="123"/>
      <c r="L815" s="125"/>
      <c r="N815" s="126"/>
      <c r="P815" s="127"/>
      <c r="Q815" s="128"/>
      <c r="R815" s="74"/>
      <c r="AF815" s="76"/>
    </row>
    <row r="816">
      <c r="D816" s="123"/>
      <c r="L816" s="125"/>
      <c r="N816" s="126"/>
      <c r="P816" s="127"/>
      <c r="Q816" s="128"/>
      <c r="R816" s="74"/>
      <c r="AF816" s="76"/>
    </row>
    <row r="817">
      <c r="D817" s="123"/>
      <c r="L817" s="125"/>
      <c r="N817" s="126"/>
      <c r="P817" s="127"/>
      <c r="Q817" s="128"/>
      <c r="R817" s="74"/>
      <c r="AF817" s="76"/>
    </row>
    <row r="818">
      <c r="D818" s="123"/>
      <c r="L818" s="125"/>
      <c r="N818" s="126"/>
      <c r="P818" s="127"/>
      <c r="Q818" s="128"/>
      <c r="R818" s="74"/>
      <c r="AF818" s="76"/>
    </row>
    <row r="819">
      <c r="D819" s="123"/>
      <c r="L819" s="125"/>
      <c r="N819" s="126"/>
      <c r="P819" s="127"/>
      <c r="Q819" s="128"/>
      <c r="R819" s="74"/>
      <c r="AF819" s="76"/>
    </row>
    <row r="820">
      <c r="D820" s="123"/>
      <c r="L820" s="125"/>
      <c r="N820" s="126"/>
      <c r="P820" s="127"/>
      <c r="Q820" s="128"/>
      <c r="R820" s="74"/>
      <c r="AF820" s="76"/>
    </row>
    <row r="821">
      <c r="D821" s="123"/>
      <c r="L821" s="125"/>
      <c r="N821" s="126"/>
      <c r="P821" s="127"/>
      <c r="Q821" s="128"/>
      <c r="R821" s="74"/>
      <c r="AF821" s="76"/>
    </row>
    <row r="822">
      <c r="D822" s="123"/>
      <c r="L822" s="125"/>
      <c r="N822" s="126"/>
      <c r="P822" s="127"/>
      <c r="Q822" s="128"/>
      <c r="R822" s="74"/>
      <c r="AF822" s="76"/>
    </row>
    <row r="823">
      <c r="D823" s="123"/>
      <c r="L823" s="125"/>
      <c r="N823" s="126"/>
      <c r="P823" s="127"/>
      <c r="Q823" s="128"/>
      <c r="R823" s="74"/>
      <c r="AF823" s="76"/>
    </row>
    <row r="824">
      <c r="D824" s="123"/>
      <c r="L824" s="125"/>
      <c r="N824" s="126"/>
      <c r="P824" s="127"/>
      <c r="Q824" s="128"/>
      <c r="R824" s="74"/>
      <c r="AF824" s="76"/>
    </row>
    <row r="825">
      <c r="D825" s="123"/>
      <c r="L825" s="125"/>
      <c r="N825" s="126"/>
      <c r="P825" s="127"/>
      <c r="Q825" s="128"/>
      <c r="R825" s="74"/>
      <c r="AF825" s="76"/>
    </row>
    <row r="826">
      <c r="D826" s="123"/>
      <c r="L826" s="125"/>
      <c r="N826" s="126"/>
      <c r="P826" s="127"/>
      <c r="Q826" s="128"/>
      <c r="R826" s="74"/>
      <c r="AF826" s="76"/>
    </row>
    <row r="827">
      <c r="D827" s="123"/>
      <c r="L827" s="125"/>
      <c r="N827" s="126"/>
      <c r="P827" s="127"/>
      <c r="Q827" s="128"/>
      <c r="R827" s="74"/>
      <c r="AF827" s="76"/>
    </row>
    <row r="828">
      <c r="D828" s="123"/>
      <c r="L828" s="125"/>
      <c r="N828" s="126"/>
      <c r="P828" s="127"/>
      <c r="Q828" s="128"/>
      <c r="R828" s="74"/>
      <c r="AF828" s="76"/>
    </row>
    <row r="829">
      <c r="D829" s="123"/>
      <c r="L829" s="125"/>
      <c r="N829" s="126"/>
      <c r="P829" s="127"/>
      <c r="Q829" s="128"/>
      <c r="R829" s="74"/>
      <c r="AF829" s="76"/>
    </row>
    <row r="830">
      <c r="D830" s="123"/>
      <c r="L830" s="125"/>
      <c r="N830" s="126"/>
      <c r="P830" s="127"/>
      <c r="Q830" s="128"/>
      <c r="R830" s="74"/>
      <c r="AF830" s="76"/>
    </row>
    <row r="831">
      <c r="D831" s="123"/>
      <c r="L831" s="125"/>
      <c r="N831" s="126"/>
      <c r="P831" s="127"/>
      <c r="Q831" s="128"/>
      <c r="R831" s="74"/>
      <c r="AF831" s="76"/>
    </row>
    <row r="832">
      <c r="D832" s="123"/>
      <c r="L832" s="125"/>
      <c r="N832" s="126"/>
      <c r="P832" s="127"/>
      <c r="Q832" s="128"/>
      <c r="R832" s="74"/>
      <c r="AF832" s="76"/>
    </row>
    <row r="833">
      <c r="D833" s="123"/>
      <c r="L833" s="125"/>
      <c r="N833" s="126"/>
      <c r="P833" s="127"/>
      <c r="Q833" s="128"/>
      <c r="R833" s="74"/>
      <c r="AF833" s="76"/>
    </row>
    <row r="834">
      <c r="D834" s="123"/>
      <c r="L834" s="125"/>
      <c r="N834" s="126"/>
      <c r="P834" s="127"/>
      <c r="Q834" s="128"/>
      <c r="R834" s="74"/>
      <c r="AF834" s="76"/>
    </row>
    <row r="835">
      <c r="D835" s="123"/>
      <c r="L835" s="125"/>
      <c r="N835" s="126"/>
      <c r="P835" s="127"/>
      <c r="Q835" s="128"/>
      <c r="R835" s="74"/>
      <c r="AF835" s="76"/>
    </row>
    <row r="836">
      <c r="D836" s="123"/>
      <c r="L836" s="125"/>
      <c r="N836" s="126"/>
      <c r="P836" s="127"/>
      <c r="Q836" s="128"/>
      <c r="R836" s="74"/>
      <c r="AF836" s="76"/>
    </row>
    <row r="837">
      <c r="D837" s="123"/>
      <c r="L837" s="125"/>
      <c r="N837" s="126"/>
      <c r="P837" s="127"/>
      <c r="Q837" s="128"/>
      <c r="R837" s="74"/>
      <c r="AF837" s="76"/>
    </row>
    <row r="838">
      <c r="D838" s="123"/>
      <c r="L838" s="125"/>
      <c r="N838" s="126"/>
      <c r="P838" s="127"/>
      <c r="Q838" s="128"/>
      <c r="R838" s="74"/>
      <c r="AF838" s="76"/>
    </row>
    <row r="839">
      <c r="D839" s="123"/>
      <c r="L839" s="125"/>
      <c r="N839" s="126"/>
      <c r="P839" s="127"/>
      <c r="Q839" s="128"/>
      <c r="R839" s="74"/>
      <c r="AF839" s="76"/>
    </row>
    <row r="840">
      <c r="D840" s="123"/>
      <c r="L840" s="125"/>
      <c r="N840" s="126"/>
      <c r="P840" s="127"/>
      <c r="Q840" s="128"/>
      <c r="R840" s="74"/>
      <c r="AF840" s="76"/>
    </row>
    <row r="841">
      <c r="D841" s="123"/>
      <c r="L841" s="125"/>
      <c r="N841" s="126"/>
      <c r="P841" s="127"/>
      <c r="Q841" s="128"/>
      <c r="R841" s="74"/>
      <c r="AF841" s="76"/>
    </row>
    <row r="842">
      <c r="D842" s="123"/>
      <c r="L842" s="125"/>
      <c r="N842" s="126"/>
      <c r="P842" s="127"/>
      <c r="Q842" s="128"/>
      <c r="R842" s="74"/>
      <c r="AF842" s="76"/>
    </row>
    <row r="843">
      <c r="D843" s="123"/>
      <c r="L843" s="125"/>
      <c r="N843" s="126"/>
      <c r="P843" s="127"/>
      <c r="Q843" s="128"/>
      <c r="R843" s="74"/>
      <c r="AF843" s="76"/>
    </row>
    <row r="844">
      <c r="D844" s="123"/>
      <c r="L844" s="125"/>
      <c r="N844" s="126"/>
      <c r="P844" s="127"/>
      <c r="Q844" s="128"/>
      <c r="R844" s="74"/>
      <c r="AF844" s="76"/>
    </row>
    <row r="845">
      <c r="D845" s="123"/>
      <c r="L845" s="125"/>
      <c r="N845" s="126"/>
      <c r="P845" s="127"/>
      <c r="Q845" s="128"/>
      <c r="R845" s="74"/>
      <c r="AF845" s="76"/>
    </row>
    <row r="846">
      <c r="D846" s="123"/>
      <c r="L846" s="125"/>
      <c r="N846" s="126"/>
      <c r="P846" s="127"/>
      <c r="Q846" s="128"/>
      <c r="R846" s="74"/>
      <c r="AF846" s="76"/>
    </row>
    <row r="847">
      <c r="D847" s="123"/>
      <c r="L847" s="125"/>
      <c r="N847" s="126"/>
      <c r="P847" s="127"/>
      <c r="Q847" s="128"/>
      <c r="R847" s="74"/>
      <c r="AF847" s="76"/>
    </row>
    <row r="848">
      <c r="D848" s="123"/>
      <c r="L848" s="125"/>
      <c r="N848" s="126"/>
      <c r="P848" s="127"/>
      <c r="Q848" s="128"/>
      <c r="R848" s="74"/>
      <c r="AF848" s="76"/>
    </row>
    <row r="849">
      <c r="D849" s="123"/>
      <c r="L849" s="125"/>
      <c r="N849" s="126"/>
      <c r="P849" s="127"/>
      <c r="Q849" s="128"/>
      <c r="R849" s="74"/>
      <c r="AF849" s="76"/>
    </row>
    <row r="850">
      <c r="D850" s="123"/>
      <c r="L850" s="125"/>
      <c r="N850" s="126"/>
      <c r="P850" s="127"/>
      <c r="Q850" s="128"/>
      <c r="R850" s="74"/>
      <c r="AF850" s="76"/>
    </row>
    <row r="851">
      <c r="D851" s="123"/>
      <c r="L851" s="125"/>
      <c r="N851" s="126"/>
      <c r="P851" s="127"/>
      <c r="Q851" s="128"/>
      <c r="R851" s="74"/>
      <c r="AF851" s="76"/>
    </row>
    <row r="852">
      <c r="D852" s="123"/>
      <c r="L852" s="125"/>
      <c r="N852" s="126"/>
      <c r="P852" s="127"/>
      <c r="Q852" s="128"/>
      <c r="R852" s="74"/>
      <c r="AF852" s="76"/>
    </row>
    <row r="853">
      <c r="D853" s="123"/>
      <c r="L853" s="125"/>
      <c r="N853" s="126"/>
      <c r="P853" s="127"/>
      <c r="Q853" s="128"/>
      <c r="R853" s="74"/>
      <c r="AF853" s="76"/>
    </row>
    <row r="854">
      <c r="D854" s="123"/>
      <c r="L854" s="125"/>
      <c r="N854" s="126"/>
      <c r="P854" s="127"/>
      <c r="Q854" s="128"/>
      <c r="R854" s="74"/>
      <c r="AF854" s="76"/>
    </row>
    <row r="855">
      <c r="D855" s="123"/>
      <c r="L855" s="125"/>
      <c r="N855" s="126"/>
      <c r="P855" s="127"/>
      <c r="Q855" s="128"/>
      <c r="R855" s="74"/>
      <c r="AF855" s="76"/>
    </row>
    <row r="856">
      <c r="D856" s="123"/>
      <c r="L856" s="125"/>
      <c r="N856" s="126"/>
      <c r="P856" s="127"/>
      <c r="Q856" s="128"/>
      <c r="R856" s="74"/>
      <c r="AF856" s="76"/>
    </row>
    <row r="857">
      <c r="D857" s="123"/>
      <c r="L857" s="125"/>
      <c r="N857" s="126"/>
      <c r="P857" s="127"/>
      <c r="Q857" s="128"/>
      <c r="R857" s="74"/>
      <c r="AF857" s="76"/>
    </row>
    <row r="858">
      <c r="D858" s="123"/>
      <c r="L858" s="125"/>
      <c r="N858" s="126"/>
      <c r="P858" s="127"/>
      <c r="Q858" s="128"/>
      <c r="R858" s="74"/>
      <c r="AF858" s="76"/>
    </row>
    <row r="859">
      <c r="D859" s="123"/>
      <c r="L859" s="125"/>
      <c r="N859" s="126"/>
      <c r="P859" s="127"/>
      <c r="Q859" s="128"/>
      <c r="R859" s="74"/>
      <c r="AF859" s="76"/>
    </row>
    <row r="860">
      <c r="D860" s="123"/>
      <c r="L860" s="125"/>
      <c r="N860" s="126"/>
      <c r="P860" s="127"/>
      <c r="Q860" s="128"/>
      <c r="R860" s="74"/>
      <c r="AF860" s="76"/>
    </row>
    <row r="861">
      <c r="D861" s="123"/>
      <c r="L861" s="125"/>
      <c r="N861" s="126"/>
      <c r="P861" s="127"/>
      <c r="Q861" s="128"/>
      <c r="R861" s="74"/>
      <c r="AF861" s="76"/>
    </row>
    <row r="862">
      <c r="D862" s="123"/>
      <c r="L862" s="125"/>
      <c r="N862" s="126"/>
      <c r="P862" s="127"/>
      <c r="Q862" s="128"/>
      <c r="R862" s="74"/>
      <c r="AF862" s="76"/>
    </row>
    <row r="863">
      <c r="D863" s="123"/>
      <c r="L863" s="125"/>
      <c r="N863" s="126"/>
      <c r="P863" s="127"/>
      <c r="Q863" s="128"/>
      <c r="R863" s="74"/>
      <c r="AF863" s="76"/>
    </row>
    <row r="864">
      <c r="D864" s="123"/>
      <c r="L864" s="125"/>
      <c r="N864" s="126"/>
      <c r="P864" s="127"/>
      <c r="Q864" s="128"/>
      <c r="R864" s="74"/>
      <c r="AF864" s="76"/>
    </row>
    <row r="865">
      <c r="D865" s="123"/>
      <c r="L865" s="125"/>
      <c r="N865" s="126"/>
      <c r="P865" s="127"/>
      <c r="Q865" s="128"/>
      <c r="R865" s="74"/>
      <c r="AF865" s="76"/>
    </row>
    <row r="866">
      <c r="D866" s="123"/>
      <c r="L866" s="125"/>
      <c r="N866" s="126"/>
      <c r="P866" s="127"/>
      <c r="Q866" s="128"/>
      <c r="R866" s="74"/>
      <c r="AF866" s="76"/>
    </row>
    <row r="867">
      <c r="D867" s="123"/>
      <c r="L867" s="125"/>
      <c r="N867" s="126"/>
      <c r="P867" s="127"/>
      <c r="Q867" s="128"/>
      <c r="R867" s="74"/>
      <c r="AF867" s="76"/>
    </row>
    <row r="868">
      <c r="D868" s="123"/>
      <c r="L868" s="125"/>
      <c r="N868" s="126"/>
      <c r="P868" s="127"/>
      <c r="Q868" s="128"/>
      <c r="R868" s="74"/>
      <c r="AF868" s="76"/>
    </row>
    <row r="869">
      <c r="D869" s="123"/>
      <c r="L869" s="125"/>
      <c r="N869" s="126"/>
      <c r="P869" s="127"/>
      <c r="Q869" s="128"/>
      <c r="R869" s="74"/>
      <c r="AF869" s="76"/>
    </row>
    <row r="870">
      <c r="D870" s="123"/>
      <c r="L870" s="125"/>
      <c r="N870" s="126"/>
      <c r="P870" s="127"/>
      <c r="Q870" s="128"/>
      <c r="R870" s="74"/>
      <c r="AF870" s="76"/>
    </row>
    <row r="871">
      <c r="D871" s="123"/>
      <c r="L871" s="125"/>
      <c r="N871" s="126"/>
      <c r="P871" s="127"/>
      <c r="Q871" s="128"/>
      <c r="R871" s="74"/>
      <c r="AF871" s="76"/>
    </row>
    <row r="872">
      <c r="D872" s="123"/>
      <c r="L872" s="125"/>
      <c r="N872" s="126"/>
      <c r="P872" s="127"/>
      <c r="Q872" s="128"/>
      <c r="R872" s="74"/>
      <c r="AF872" s="76"/>
    </row>
    <row r="873">
      <c r="D873" s="123"/>
      <c r="L873" s="125"/>
      <c r="N873" s="126"/>
      <c r="P873" s="127"/>
      <c r="Q873" s="128"/>
      <c r="R873" s="74"/>
      <c r="AF873" s="76"/>
    </row>
    <row r="874">
      <c r="D874" s="123"/>
      <c r="L874" s="125"/>
      <c r="N874" s="126"/>
      <c r="P874" s="127"/>
      <c r="Q874" s="128"/>
      <c r="R874" s="74"/>
      <c r="AF874" s="76"/>
    </row>
    <row r="875">
      <c r="D875" s="123"/>
      <c r="L875" s="125"/>
      <c r="N875" s="126"/>
      <c r="P875" s="127"/>
      <c r="Q875" s="128"/>
      <c r="R875" s="74"/>
      <c r="AF875" s="76"/>
    </row>
    <row r="876">
      <c r="D876" s="123"/>
      <c r="L876" s="125"/>
      <c r="N876" s="126"/>
      <c r="P876" s="127"/>
      <c r="Q876" s="128"/>
      <c r="R876" s="74"/>
      <c r="AF876" s="76"/>
    </row>
    <row r="877">
      <c r="D877" s="123"/>
      <c r="L877" s="125"/>
      <c r="N877" s="126"/>
      <c r="P877" s="127"/>
      <c r="Q877" s="128"/>
      <c r="R877" s="74"/>
      <c r="AF877" s="76"/>
    </row>
    <row r="878">
      <c r="D878" s="123"/>
      <c r="L878" s="125"/>
      <c r="N878" s="126"/>
      <c r="P878" s="127"/>
      <c r="Q878" s="128"/>
      <c r="R878" s="74"/>
      <c r="AF878" s="76"/>
    </row>
    <row r="879">
      <c r="D879" s="123"/>
      <c r="L879" s="125"/>
      <c r="N879" s="126"/>
      <c r="P879" s="127"/>
      <c r="Q879" s="128"/>
      <c r="R879" s="74"/>
      <c r="AF879" s="76"/>
    </row>
    <row r="880">
      <c r="D880" s="123"/>
      <c r="L880" s="125"/>
      <c r="N880" s="126"/>
      <c r="P880" s="127"/>
      <c r="Q880" s="128"/>
      <c r="R880" s="74"/>
      <c r="AF880" s="76"/>
    </row>
    <row r="881">
      <c r="D881" s="123"/>
      <c r="L881" s="125"/>
      <c r="N881" s="126"/>
      <c r="P881" s="127"/>
      <c r="Q881" s="128"/>
      <c r="R881" s="74"/>
      <c r="AF881" s="76"/>
    </row>
    <row r="882">
      <c r="D882" s="123"/>
      <c r="L882" s="125"/>
      <c r="N882" s="126"/>
      <c r="P882" s="127"/>
      <c r="Q882" s="128"/>
      <c r="R882" s="74"/>
      <c r="AF882" s="76"/>
    </row>
    <row r="883">
      <c r="D883" s="123"/>
      <c r="L883" s="125"/>
      <c r="N883" s="126"/>
      <c r="P883" s="127"/>
      <c r="Q883" s="128"/>
      <c r="R883" s="74"/>
      <c r="AF883" s="76"/>
    </row>
    <row r="884">
      <c r="D884" s="123"/>
      <c r="L884" s="125"/>
      <c r="N884" s="126"/>
      <c r="P884" s="127"/>
      <c r="Q884" s="128"/>
      <c r="R884" s="74"/>
      <c r="AF884" s="76"/>
    </row>
    <row r="885">
      <c r="D885" s="123"/>
      <c r="L885" s="125"/>
      <c r="N885" s="126"/>
      <c r="P885" s="127"/>
      <c r="Q885" s="128"/>
      <c r="R885" s="74"/>
      <c r="AF885" s="76"/>
    </row>
    <row r="886">
      <c r="D886" s="123"/>
      <c r="L886" s="125"/>
      <c r="N886" s="126"/>
      <c r="P886" s="127"/>
      <c r="Q886" s="128"/>
      <c r="R886" s="74"/>
      <c r="AF886" s="76"/>
    </row>
    <row r="887">
      <c r="D887" s="123"/>
      <c r="L887" s="125"/>
      <c r="N887" s="126"/>
      <c r="P887" s="127"/>
      <c r="Q887" s="128"/>
      <c r="R887" s="74"/>
      <c r="AF887" s="76"/>
    </row>
    <row r="888">
      <c r="D888" s="123"/>
      <c r="L888" s="125"/>
      <c r="N888" s="126"/>
      <c r="P888" s="127"/>
      <c r="Q888" s="128"/>
      <c r="R888" s="74"/>
      <c r="AF888" s="76"/>
    </row>
    <row r="889">
      <c r="D889" s="123"/>
      <c r="L889" s="125"/>
      <c r="N889" s="126"/>
      <c r="P889" s="127"/>
      <c r="Q889" s="128"/>
      <c r="R889" s="74"/>
      <c r="AF889" s="76"/>
    </row>
    <row r="890">
      <c r="D890" s="123"/>
      <c r="L890" s="125"/>
      <c r="N890" s="126"/>
      <c r="P890" s="127"/>
      <c r="Q890" s="128"/>
      <c r="R890" s="74"/>
      <c r="AF890" s="76"/>
    </row>
    <row r="891">
      <c r="D891" s="123"/>
      <c r="L891" s="125"/>
      <c r="N891" s="126"/>
      <c r="P891" s="127"/>
      <c r="Q891" s="128"/>
      <c r="R891" s="74"/>
      <c r="AF891" s="76"/>
    </row>
    <row r="892">
      <c r="D892" s="123"/>
      <c r="L892" s="125"/>
      <c r="N892" s="126"/>
      <c r="P892" s="127"/>
      <c r="Q892" s="128"/>
      <c r="R892" s="74"/>
      <c r="AF892" s="76"/>
    </row>
    <row r="893">
      <c r="D893" s="123"/>
      <c r="L893" s="125"/>
      <c r="N893" s="126"/>
      <c r="P893" s="127"/>
      <c r="Q893" s="128"/>
      <c r="R893" s="74"/>
      <c r="AF893" s="76"/>
    </row>
    <row r="894">
      <c r="D894" s="123"/>
      <c r="L894" s="125"/>
      <c r="N894" s="126"/>
      <c r="P894" s="127"/>
      <c r="Q894" s="128"/>
      <c r="R894" s="74"/>
      <c r="AF894" s="76"/>
    </row>
    <row r="895">
      <c r="D895" s="123"/>
      <c r="L895" s="125"/>
      <c r="N895" s="126"/>
      <c r="P895" s="127"/>
      <c r="Q895" s="128"/>
      <c r="R895" s="74"/>
      <c r="AF895" s="76"/>
    </row>
    <row r="896">
      <c r="D896" s="123"/>
      <c r="L896" s="125"/>
      <c r="N896" s="126"/>
      <c r="P896" s="127"/>
      <c r="Q896" s="128"/>
      <c r="R896" s="74"/>
      <c r="AF896" s="76"/>
    </row>
    <row r="897">
      <c r="D897" s="123"/>
      <c r="L897" s="125"/>
      <c r="N897" s="126"/>
      <c r="P897" s="127"/>
      <c r="Q897" s="128"/>
      <c r="R897" s="74"/>
      <c r="AF897" s="76"/>
    </row>
    <row r="898">
      <c r="D898" s="123"/>
      <c r="L898" s="125"/>
      <c r="N898" s="126"/>
      <c r="P898" s="127"/>
      <c r="Q898" s="128"/>
      <c r="R898" s="74"/>
      <c r="AF898" s="76"/>
    </row>
    <row r="899">
      <c r="D899" s="123"/>
      <c r="L899" s="125"/>
      <c r="N899" s="126"/>
      <c r="P899" s="127"/>
      <c r="Q899" s="128"/>
      <c r="R899" s="74"/>
      <c r="AF899" s="76"/>
    </row>
    <row r="900">
      <c r="D900" s="123"/>
      <c r="L900" s="125"/>
      <c r="N900" s="126"/>
      <c r="P900" s="127"/>
      <c r="Q900" s="128"/>
      <c r="R900" s="74"/>
      <c r="AF900" s="76"/>
    </row>
    <row r="901">
      <c r="D901" s="123"/>
      <c r="L901" s="125"/>
      <c r="N901" s="126"/>
      <c r="P901" s="127"/>
      <c r="Q901" s="128"/>
      <c r="R901" s="74"/>
      <c r="AF901" s="76"/>
    </row>
    <row r="902">
      <c r="D902" s="123"/>
      <c r="L902" s="125"/>
      <c r="N902" s="126"/>
      <c r="P902" s="127"/>
      <c r="Q902" s="128"/>
      <c r="R902" s="74"/>
      <c r="AF902" s="76"/>
    </row>
    <row r="903">
      <c r="D903" s="123"/>
      <c r="L903" s="125"/>
      <c r="N903" s="126"/>
      <c r="P903" s="127"/>
      <c r="Q903" s="128"/>
      <c r="R903" s="74"/>
      <c r="AF903" s="76"/>
    </row>
    <row r="904">
      <c r="D904" s="123"/>
      <c r="L904" s="125"/>
      <c r="N904" s="126"/>
      <c r="P904" s="127"/>
      <c r="Q904" s="128"/>
      <c r="R904" s="74"/>
      <c r="AF904" s="76"/>
    </row>
    <row r="905">
      <c r="D905" s="123"/>
      <c r="L905" s="125"/>
      <c r="N905" s="126"/>
      <c r="P905" s="127"/>
      <c r="Q905" s="128"/>
      <c r="R905" s="74"/>
      <c r="AF905" s="76"/>
    </row>
    <row r="906">
      <c r="D906" s="123"/>
      <c r="L906" s="125"/>
      <c r="N906" s="126"/>
      <c r="P906" s="127"/>
      <c r="Q906" s="128"/>
      <c r="R906" s="74"/>
      <c r="AF906" s="76"/>
    </row>
    <row r="907">
      <c r="D907" s="123"/>
      <c r="L907" s="125"/>
      <c r="N907" s="126"/>
      <c r="P907" s="127"/>
      <c r="Q907" s="128"/>
      <c r="R907" s="74"/>
      <c r="AF907" s="76"/>
    </row>
    <row r="908">
      <c r="D908" s="123"/>
      <c r="L908" s="125"/>
      <c r="N908" s="126"/>
      <c r="P908" s="127"/>
      <c r="Q908" s="128"/>
      <c r="R908" s="74"/>
      <c r="AF908" s="76"/>
    </row>
    <row r="909">
      <c r="D909" s="123"/>
      <c r="L909" s="125"/>
      <c r="N909" s="126"/>
      <c r="P909" s="127"/>
      <c r="Q909" s="128"/>
      <c r="R909" s="74"/>
      <c r="AF909" s="76"/>
    </row>
    <row r="910">
      <c r="D910" s="123"/>
      <c r="L910" s="125"/>
      <c r="N910" s="126"/>
      <c r="P910" s="127"/>
      <c r="Q910" s="128"/>
      <c r="R910" s="74"/>
      <c r="AF910" s="76"/>
    </row>
    <row r="911">
      <c r="D911" s="123"/>
      <c r="L911" s="125"/>
      <c r="N911" s="126"/>
      <c r="P911" s="127"/>
      <c r="Q911" s="128"/>
      <c r="R911" s="74"/>
      <c r="AF911" s="76"/>
    </row>
    <row r="912">
      <c r="D912" s="123"/>
      <c r="L912" s="125"/>
      <c r="N912" s="126"/>
      <c r="P912" s="127"/>
      <c r="Q912" s="128"/>
      <c r="R912" s="74"/>
      <c r="AF912" s="76"/>
    </row>
    <row r="913">
      <c r="D913" s="123"/>
      <c r="L913" s="125"/>
      <c r="N913" s="126"/>
      <c r="P913" s="127"/>
      <c r="Q913" s="128"/>
      <c r="R913" s="74"/>
      <c r="AF913" s="76"/>
    </row>
    <row r="914">
      <c r="D914" s="123"/>
      <c r="L914" s="125"/>
      <c r="N914" s="126"/>
      <c r="P914" s="127"/>
      <c r="Q914" s="128"/>
      <c r="R914" s="74"/>
      <c r="AF914" s="76"/>
    </row>
    <row r="915">
      <c r="D915" s="123"/>
      <c r="L915" s="125"/>
      <c r="N915" s="126"/>
      <c r="P915" s="127"/>
      <c r="Q915" s="128"/>
      <c r="R915" s="74"/>
      <c r="AF915" s="76"/>
    </row>
    <row r="916">
      <c r="D916" s="123"/>
      <c r="L916" s="125"/>
      <c r="N916" s="126"/>
      <c r="P916" s="127"/>
      <c r="Q916" s="128"/>
      <c r="R916" s="74"/>
      <c r="AF916" s="76"/>
    </row>
    <row r="917">
      <c r="D917" s="123"/>
      <c r="L917" s="125"/>
      <c r="N917" s="126"/>
      <c r="P917" s="127"/>
      <c r="Q917" s="128"/>
      <c r="R917" s="74"/>
      <c r="AF917" s="76"/>
    </row>
    <row r="918">
      <c r="D918" s="123"/>
      <c r="L918" s="125"/>
      <c r="N918" s="126"/>
      <c r="P918" s="127"/>
      <c r="Q918" s="128"/>
      <c r="R918" s="74"/>
      <c r="AF918" s="76"/>
    </row>
    <row r="919">
      <c r="D919" s="123"/>
      <c r="L919" s="125"/>
      <c r="N919" s="126"/>
      <c r="P919" s="127"/>
      <c r="Q919" s="128"/>
      <c r="R919" s="74"/>
      <c r="AF919" s="76"/>
    </row>
    <row r="920">
      <c r="D920" s="123"/>
      <c r="L920" s="125"/>
      <c r="N920" s="126"/>
      <c r="P920" s="127"/>
      <c r="Q920" s="128"/>
      <c r="R920" s="74"/>
      <c r="AF920" s="76"/>
    </row>
    <row r="921">
      <c r="D921" s="123"/>
      <c r="L921" s="125"/>
      <c r="N921" s="126"/>
      <c r="P921" s="127"/>
      <c r="Q921" s="128"/>
      <c r="R921" s="74"/>
      <c r="AF921" s="76"/>
    </row>
    <row r="922">
      <c r="D922" s="123"/>
      <c r="L922" s="125"/>
      <c r="N922" s="126"/>
      <c r="P922" s="127"/>
      <c r="Q922" s="128"/>
      <c r="R922" s="74"/>
      <c r="AF922" s="76"/>
    </row>
    <row r="923">
      <c r="D923" s="123"/>
      <c r="L923" s="125"/>
      <c r="N923" s="126"/>
      <c r="P923" s="127"/>
      <c r="Q923" s="128"/>
      <c r="R923" s="74"/>
      <c r="AF923" s="76"/>
    </row>
    <row r="924">
      <c r="D924" s="123"/>
      <c r="L924" s="125"/>
      <c r="N924" s="126"/>
      <c r="P924" s="127"/>
      <c r="Q924" s="128"/>
      <c r="R924" s="74"/>
      <c r="AF924" s="76"/>
    </row>
    <row r="925">
      <c r="D925" s="123"/>
      <c r="L925" s="125"/>
      <c r="N925" s="126"/>
      <c r="P925" s="127"/>
      <c r="Q925" s="128"/>
      <c r="R925" s="74"/>
      <c r="AF925" s="76"/>
    </row>
    <row r="926">
      <c r="D926" s="123"/>
      <c r="L926" s="125"/>
      <c r="N926" s="126"/>
      <c r="P926" s="127"/>
      <c r="Q926" s="128"/>
      <c r="R926" s="74"/>
      <c r="AF926" s="76"/>
    </row>
    <row r="927">
      <c r="D927" s="123"/>
      <c r="L927" s="125"/>
      <c r="N927" s="126"/>
      <c r="P927" s="127"/>
      <c r="Q927" s="128"/>
      <c r="R927" s="74"/>
      <c r="AF927" s="76"/>
    </row>
    <row r="928">
      <c r="D928" s="123"/>
      <c r="L928" s="125"/>
      <c r="N928" s="126"/>
      <c r="P928" s="127"/>
      <c r="Q928" s="128"/>
      <c r="R928" s="74"/>
      <c r="AF928" s="76"/>
    </row>
    <row r="929">
      <c r="D929" s="123"/>
      <c r="L929" s="125"/>
      <c r="N929" s="126"/>
      <c r="P929" s="127"/>
      <c r="Q929" s="128"/>
      <c r="R929" s="74"/>
      <c r="AF929" s="76"/>
    </row>
    <row r="930">
      <c r="D930" s="123"/>
      <c r="L930" s="125"/>
      <c r="N930" s="126"/>
      <c r="P930" s="127"/>
      <c r="Q930" s="128"/>
      <c r="R930" s="74"/>
      <c r="AF930" s="76"/>
    </row>
    <row r="931">
      <c r="D931" s="123"/>
      <c r="L931" s="125"/>
      <c r="N931" s="126"/>
      <c r="P931" s="127"/>
      <c r="Q931" s="128"/>
      <c r="R931" s="74"/>
      <c r="AF931" s="76"/>
    </row>
    <row r="932">
      <c r="D932" s="123"/>
      <c r="L932" s="125"/>
      <c r="N932" s="126"/>
      <c r="P932" s="127"/>
      <c r="Q932" s="128"/>
      <c r="R932" s="74"/>
      <c r="AF932" s="76"/>
    </row>
    <row r="933">
      <c r="D933" s="123"/>
      <c r="L933" s="125"/>
      <c r="N933" s="126"/>
      <c r="P933" s="127"/>
      <c r="Q933" s="128"/>
      <c r="R933" s="74"/>
      <c r="AF933" s="76"/>
    </row>
    <row r="934">
      <c r="D934" s="123"/>
      <c r="L934" s="125"/>
      <c r="N934" s="126"/>
      <c r="P934" s="127"/>
      <c r="Q934" s="128"/>
      <c r="R934" s="74"/>
      <c r="AF934" s="76"/>
    </row>
    <row r="935">
      <c r="D935" s="123"/>
      <c r="L935" s="125"/>
      <c r="N935" s="126"/>
      <c r="P935" s="127"/>
      <c r="Q935" s="128"/>
      <c r="R935" s="74"/>
      <c r="AF935" s="76"/>
    </row>
    <row r="936">
      <c r="D936" s="123"/>
      <c r="L936" s="125"/>
      <c r="N936" s="126"/>
      <c r="P936" s="127"/>
      <c r="Q936" s="128"/>
      <c r="R936" s="74"/>
      <c r="AF936" s="76"/>
    </row>
    <row r="937">
      <c r="D937" s="123"/>
      <c r="L937" s="125"/>
      <c r="N937" s="126"/>
      <c r="P937" s="127"/>
      <c r="Q937" s="128"/>
      <c r="R937" s="74"/>
      <c r="AF937" s="76"/>
    </row>
    <row r="938">
      <c r="D938" s="123"/>
      <c r="L938" s="125"/>
      <c r="N938" s="126"/>
      <c r="P938" s="127"/>
      <c r="Q938" s="128"/>
      <c r="R938" s="74"/>
      <c r="AF938" s="76"/>
    </row>
    <row r="939">
      <c r="D939" s="123"/>
      <c r="L939" s="125"/>
      <c r="N939" s="126"/>
      <c r="P939" s="127"/>
      <c r="Q939" s="128"/>
      <c r="R939" s="74"/>
      <c r="AF939" s="76"/>
    </row>
    <row r="940">
      <c r="D940" s="123"/>
      <c r="L940" s="125"/>
      <c r="N940" s="126"/>
      <c r="P940" s="127"/>
      <c r="Q940" s="128"/>
      <c r="R940" s="74"/>
      <c r="AF940" s="76"/>
    </row>
    <row r="941">
      <c r="D941" s="123"/>
      <c r="L941" s="125"/>
      <c r="N941" s="126"/>
      <c r="P941" s="127"/>
      <c r="Q941" s="128"/>
      <c r="R941" s="74"/>
      <c r="AF941" s="76"/>
    </row>
    <row r="942">
      <c r="D942" s="123"/>
      <c r="L942" s="125"/>
      <c r="N942" s="126"/>
      <c r="P942" s="127"/>
      <c r="Q942" s="128"/>
      <c r="R942" s="74"/>
      <c r="AF942" s="76"/>
    </row>
    <row r="943">
      <c r="D943" s="123"/>
      <c r="L943" s="125"/>
      <c r="N943" s="126"/>
      <c r="P943" s="127"/>
      <c r="Q943" s="128"/>
      <c r="R943" s="74"/>
      <c r="AF943" s="76"/>
    </row>
    <row r="944">
      <c r="D944" s="123"/>
      <c r="L944" s="125"/>
      <c r="N944" s="126"/>
      <c r="P944" s="127"/>
      <c r="Q944" s="128"/>
      <c r="R944" s="74"/>
      <c r="AF944" s="76"/>
    </row>
    <row r="945">
      <c r="D945" s="123"/>
      <c r="L945" s="125"/>
      <c r="N945" s="126"/>
      <c r="P945" s="127"/>
      <c r="Q945" s="128"/>
      <c r="R945" s="74"/>
      <c r="AF945" s="76"/>
    </row>
    <row r="946">
      <c r="D946" s="123"/>
      <c r="L946" s="125"/>
      <c r="N946" s="126"/>
      <c r="P946" s="127"/>
      <c r="Q946" s="128"/>
      <c r="R946" s="74"/>
      <c r="AF946" s="76"/>
    </row>
    <row r="947">
      <c r="D947" s="123"/>
      <c r="L947" s="125"/>
      <c r="N947" s="126"/>
      <c r="P947" s="127"/>
      <c r="Q947" s="128"/>
      <c r="R947" s="74"/>
      <c r="AF947" s="76"/>
    </row>
    <row r="948">
      <c r="D948" s="123"/>
      <c r="L948" s="125"/>
      <c r="N948" s="126"/>
      <c r="P948" s="127"/>
      <c r="Q948" s="128"/>
      <c r="R948" s="74"/>
      <c r="AF948" s="76"/>
    </row>
    <row r="949">
      <c r="D949" s="123"/>
      <c r="L949" s="125"/>
      <c r="N949" s="126"/>
      <c r="P949" s="127"/>
      <c r="Q949" s="128"/>
      <c r="R949" s="74"/>
      <c r="AF949" s="76"/>
    </row>
    <row r="950">
      <c r="D950" s="123"/>
      <c r="L950" s="125"/>
      <c r="N950" s="126"/>
      <c r="P950" s="127"/>
      <c r="Q950" s="128"/>
      <c r="R950" s="74"/>
      <c r="AF950" s="76"/>
    </row>
    <row r="951">
      <c r="D951" s="123"/>
      <c r="L951" s="125"/>
      <c r="N951" s="126"/>
      <c r="P951" s="127"/>
      <c r="Q951" s="128"/>
      <c r="R951" s="74"/>
      <c r="AF951" s="76"/>
    </row>
    <row r="952">
      <c r="D952" s="123"/>
      <c r="L952" s="125"/>
      <c r="N952" s="126"/>
      <c r="P952" s="127"/>
      <c r="Q952" s="128"/>
      <c r="R952" s="74"/>
      <c r="AF952" s="76"/>
    </row>
    <row r="953">
      <c r="D953" s="123"/>
      <c r="L953" s="125"/>
      <c r="N953" s="126"/>
      <c r="P953" s="127"/>
      <c r="Q953" s="128"/>
      <c r="R953" s="74"/>
      <c r="AF953" s="76"/>
    </row>
    <row r="954">
      <c r="D954" s="123"/>
      <c r="L954" s="125"/>
      <c r="N954" s="126"/>
      <c r="P954" s="127"/>
      <c r="Q954" s="128"/>
      <c r="R954" s="74"/>
      <c r="AF954" s="76"/>
    </row>
    <row r="955">
      <c r="D955" s="123"/>
      <c r="L955" s="125"/>
      <c r="N955" s="126"/>
      <c r="P955" s="127"/>
      <c r="Q955" s="128"/>
      <c r="R955" s="74"/>
      <c r="AF955" s="76"/>
    </row>
    <row r="956">
      <c r="D956" s="123"/>
      <c r="L956" s="125"/>
      <c r="N956" s="126"/>
      <c r="P956" s="127"/>
      <c r="Q956" s="128"/>
      <c r="R956" s="74"/>
      <c r="AF956" s="76"/>
    </row>
    <row r="957">
      <c r="D957" s="123"/>
      <c r="L957" s="125"/>
      <c r="N957" s="126"/>
      <c r="P957" s="127"/>
      <c r="Q957" s="128"/>
      <c r="R957" s="74"/>
      <c r="AF957" s="76"/>
    </row>
    <row r="958">
      <c r="D958" s="123"/>
      <c r="L958" s="125"/>
      <c r="N958" s="126"/>
      <c r="P958" s="127"/>
      <c r="Q958" s="128"/>
      <c r="R958" s="74"/>
      <c r="AF958" s="76"/>
    </row>
    <row r="959">
      <c r="D959" s="123"/>
      <c r="L959" s="125"/>
      <c r="N959" s="126"/>
      <c r="P959" s="127"/>
      <c r="Q959" s="128"/>
      <c r="R959" s="74"/>
      <c r="AF959" s="76"/>
    </row>
    <row r="960">
      <c r="D960" s="123"/>
      <c r="L960" s="125"/>
      <c r="N960" s="126"/>
      <c r="P960" s="127"/>
      <c r="Q960" s="128"/>
      <c r="R960" s="74"/>
      <c r="AF960" s="76"/>
    </row>
    <row r="961">
      <c r="D961" s="123"/>
      <c r="L961" s="125"/>
      <c r="N961" s="126"/>
      <c r="P961" s="127"/>
      <c r="Q961" s="128"/>
      <c r="R961" s="74"/>
      <c r="AF961" s="76"/>
    </row>
    <row r="962">
      <c r="D962" s="123"/>
      <c r="L962" s="125"/>
      <c r="N962" s="126"/>
      <c r="P962" s="127"/>
      <c r="Q962" s="128"/>
      <c r="R962" s="74"/>
      <c r="AF962" s="76"/>
    </row>
    <row r="963">
      <c r="D963" s="123"/>
      <c r="L963" s="125"/>
      <c r="N963" s="126"/>
      <c r="P963" s="127"/>
      <c r="Q963" s="128"/>
      <c r="R963" s="74"/>
      <c r="AF963" s="76"/>
    </row>
    <row r="964">
      <c r="D964" s="123"/>
      <c r="L964" s="125"/>
      <c r="N964" s="126"/>
      <c r="P964" s="127"/>
      <c r="Q964" s="128"/>
      <c r="R964" s="74"/>
      <c r="AF964" s="76"/>
    </row>
    <row r="965">
      <c r="D965" s="123"/>
      <c r="L965" s="125"/>
      <c r="N965" s="126"/>
      <c r="P965" s="127"/>
      <c r="Q965" s="128"/>
      <c r="R965" s="74"/>
      <c r="AF965" s="76"/>
    </row>
    <row r="966">
      <c r="D966" s="123"/>
      <c r="L966" s="125"/>
      <c r="N966" s="126"/>
      <c r="P966" s="127"/>
      <c r="Q966" s="128"/>
      <c r="R966" s="74"/>
      <c r="AF966" s="76"/>
    </row>
    <row r="967">
      <c r="D967" s="123"/>
      <c r="L967" s="125"/>
      <c r="N967" s="126"/>
      <c r="P967" s="127"/>
      <c r="Q967" s="128"/>
      <c r="R967" s="74"/>
      <c r="AF967" s="76"/>
    </row>
    <row r="968">
      <c r="D968" s="123"/>
      <c r="L968" s="125"/>
      <c r="N968" s="126"/>
      <c r="P968" s="127"/>
      <c r="Q968" s="128"/>
      <c r="R968" s="74"/>
      <c r="AF968" s="76"/>
    </row>
    <row r="969">
      <c r="D969" s="123"/>
      <c r="L969" s="125"/>
      <c r="N969" s="126"/>
      <c r="P969" s="127"/>
      <c r="Q969" s="128"/>
      <c r="R969" s="74"/>
      <c r="AF969" s="76"/>
    </row>
    <row r="970">
      <c r="D970" s="123"/>
      <c r="L970" s="125"/>
      <c r="N970" s="126"/>
      <c r="P970" s="127"/>
      <c r="Q970" s="128"/>
      <c r="R970" s="74"/>
      <c r="AF970" s="76"/>
    </row>
    <row r="971">
      <c r="D971" s="123"/>
      <c r="L971" s="125"/>
      <c r="N971" s="126"/>
      <c r="P971" s="127"/>
      <c r="Q971" s="128"/>
      <c r="R971" s="74"/>
      <c r="AF971" s="76"/>
    </row>
    <row r="972">
      <c r="D972" s="123"/>
      <c r="L972" s="125"/>
      <c r="N972" s="126"/>
      <c r="P972" s="127"/>
      <c r="Q972" s="128"/>
      <c r="R972" s="74"/>
      <c r="AF972" s="76"/>
    </row>
    <row r="973">
      <c r="D973" s="123"/>
      <c r="L973" s="125"/>
      <c r="N973" s="126"/>
      <c r="P973" s="127"/>
      <c r="Q973" s="128"/>
      <c r="R973" s="74"/>
      <c r="AF973" s="76"/>
    </row>
    <row r="974">
      <c r="D974" s="123"/>
      <c r="L974" s="125"/>
      <c r="N974" s="126"/>
      <c r="P974" s="127"/>
      <c r="Q974" s="128"/>
      <c r="R974" s="74"/>
      <c r="AF974" s="76"/>
    </row>
    <row r="975">
      <c r="D975" s="123"/>
      <c r="L975" s="125"/>
      <c r="N975" s="126"/>
      <c r="P975" s="127"/>
      <c r="Q975" s="128"/>
      <c r="R975" s="74"/>
      <c r="AF975" s="76"/>
    </row>
    <row r="976">
      <c r="D976" s="123"/>
      <c r="L976" s="125"/>
      <c r="N976" s="126"/>
      <c r="P976" s="127"/>
      <c r="Q976" s="128"/>
      <c r="R976" s="74"/>
      <c r="AF976" s="76"/>
    </row>
    <row r="977">
      <c r="D977" s="123"/>
      <c r="L977" s="125"/>
      <c r="N977" s="126"/>
      <c r="P977" s="127"/>
      <c r="Q977" s="128"/>
      <c r="R977" s="74"/>
      <c r="AF977" s="76"/>
    </row>
    <row r="978">
      <c r="D978" s="123"/>
      <c r="L978" s="125"/>
      <c r="N978" s="126"/>
      <c r="P978" s="127"/>
      <c r="Q978" s="128"/>
      <c r="R978" s="74"/>
      <c r="AF978" s="76"/>
    </row>
    <row r="979">
      <c r="D979" s="123"/>
      <c r="L979" s="125"/>
      <c r="N979" s="126"/>
      <c r="P979" s="127"/>
      <c r="Q979" s="128"/>
      <c r="R979" s="74"/>
      <c r="AF979" s="76"/>
    </row>
    <row r="980">
      <c r="D980" s="123"/>
      <c r="L980" s="125"/>
      <c r="N980" s="126"/>
      <c r="P980" s="127"/>
      <c r="Q980" s="128"/>
      <c r="R980" s="74"/>
      <c r="AF980" s="76"/>
    </row>
    <row r="981">
      <c r="D981" s="123"/>
      <c r="L981" s="125"/>
      <c r="N981" s="126"/>
      <c r="P981" s="127"/>
      <c r="Q981" s="128"/>
      <c r="R981" s="74"/>
      <c r="AF981" s="76"/>
    </row>
    <row r="982">
      <c r="D982" s="123"/>
      <c r="L982" s="125"/>
      <c r="N982" s="126"/>
      <c r="P982" s="127"/>
      <c r="Q982" s="128"/>
      <c r="R982" s="74"/>
      <c r="AF982" s="76"/>
    </row>
    <row r="983">
      <c r="D983" s="123"/>
      <c r="L983" s="125"/>
      <c r="N983" s="126"/>
      <c r="P983" s="127"/>
      <c r="Q983" s="128"/>
      <c r="R983" s="74"/>
      <c r="AF983" s="76"/>
    </row>
    <row r="984">
      <c r="D984" s="123"/>
      <c r="L984" s="125"/>
      <c r="N984" s="126"/>
      <c r="P984" s="127"/>
      <c r="Q984" s="128"/>
      <c r="R984" s="74"/>
      <c r="AF984" s="76"/>
    </row>
    <row r="985">
      <c r="D985" s="123"/>
      <c r="L985" s="125"/>
      <c r="N985" s="126"/>
      <c r="P985" s="127"/>
      <c r="Q985" s="128"/>
      <c r="R985" s="74"/>
      <c r="AF985" s="76"/>
    </row>
    <row r="986">
      <c r="D986" s="123"/>
      <c r="L986" s="125"/>
      <c r="N986" s="126"/>
      <c r="P986" s="127"/>
      <c r="Q986" s="128"/>
      <c r="R986" s="74"/>
      <c r="AF986" s="76"/>
    </row>
    <row r="987">
      <c r="D987" s="123"/>
      <c r="L987" s="125"/>
      <c r="N987" s="126"/>
      <c r="P987" s="127"/>
      <c r="Q987" s="128"/>
      <c r="R987" s="74"/>
      <c r="AF987" s="76"/>
    </row>
    <row r="988">
      <c r="D988" s="123"/>
      <c r="L988" s="125"/>
      <c r="N988" s="126"/>
      <c r="P988" s="127"/>
      <c r="Q988" s="128"/>
      <c r="R988" s="74"/>
      <c r="AF988" s="76"/>
    </row>
    <row r="989">
      <c r="D989" s="123"/>
      <c r="L989" s="125"/>
      <c r="N989" s="126"/>
      <c r="P989" s="127"/>
      <c r="Q989" s="128"/>
      <c r="R989" s="74"/>
      <c r="AF989" s="76"/>
    </row>
    <row r="990">
      <c r="D990" s="123"/>
      <c r="L990" s="125"/>
      <c r="N990" s="126"/>
      <c r="P990" s="127"/>
      <c r="Q990" s="128"/>
      <c r="R990" s="74"/>
      <c r="AF990" s="76"/>
    </row>
    <row r="991">
      <c r="D991" s="123"/>
      <c r="L991" s="125"/>
      <c r="N991" s="126"/>
      <c r="P991" s="127"/>
      <c r="Q991" s="128"/>
      <c r="R991" s="74"/>
      <c r="AF991" s="76"/>
    </row>
    <row r="992">
      <c r="D992" s="123"/>
      <c r="L992" s="125"/>
      <c r="N992" s="126"/>
      <c r="P992" s="127"/>
      <c r="Q992" s="128"/>
      <c r="R992" s="74"/>
      <c r="AF992" s="76"/>
    </row>
    <row r="993">
      <c r="D993" s="123"/>
      <c r="L993" s="125"/>
      <c r="N993" s="126"/>
      <c r="P993" s="127"/>
      <c r="Q993" s="128"/>
      <c r="R993" s="74"/>
      <c r="AF993" s="76"/>
    </row>
    <row r="994">
      <c r="D994" s="123"/>
      <c r="L994" s="125"/>
      <c r="N994" s="126"/>
      <c r="P994" s="127"/>
      <c r="Q994" s="128"/>
      <c r="R994" s="74"/>
      <c r="AF994" s="76"/>
    </row>
    <row r="995">
      <c r="D995" s="123"/>
      <c r="L995" s="125"/>
      <c r="N995" s="126"/>
      <c r="P995" s="127"/>
      <c r="Q995" s="128"/>
      <c r="R995" s="74"/>
      <c r="AF995" s="76"/>
    </row>
    <row r="996">
      <c r="D996" s="123"/>
      <c r="L996" s="125"/>
      <c r="N996" s="126"/>
      <c r="P996" s="127"/>
      <c r="Q996" s="128"/>
      <c r="R996" s="74"/>
      <c r="AF996" s="76"/>
    </row>
    <row r="997">
      <c r="D997" s="123"/>
      <c r="L997" s="125"/>
      <c r="N997" s="126"/>
      <c r="P997" s="127"/>
      <c r="Q997" s="128"/>
      <c r="R997" s="74"/>
      <c r="AF997" s="76"/>
    </row>
    <row r="998">
      <c r="D998" s="123"/>
      <c r="L998" s="125"/>
      <c r="N998" s="126"/>
      <c r="P998" s="127"/>
      <c r="Q998" s="128"/>
      <c r="R998" s="74"/>
      <c r="AF998" s="76"/>
    </row>
    <row r="999">
      <c r="D999" s="123"/>
      <c r="L999" s="125"/>
      <c r="N999" s="126"/>
      <c r="P999" s="127"/>
      <c r="Q999" s="128"/>
      <c r="R999" s="74"/>
      <c r="AF999" s="76"/>
    </row>
    <row r="1000">
      <c r="D1000" s="123"/>
      <c r="L1000" s="125"/>
      <c r="N1000" s="126"/>
      <c r="P1000" s="127"/>
      <c r="Q1000" s="128"/>
      <c r="R1000" s="74"/>
      <c r="AF1000" s="76"/>
    </row>
    <row r="1001">
      <c r="D1001" s="123"/>
      <c r="L1001" s="125"/>
      <c r="N1001" s="126"/>
      <c r="P1001" s="127"/>
      <c r="Q1001" s="128"/>
      <c r="R1001" s="74"/>
      <c r="AF1001" s="76"/>
    </row>
    <row r="1002">
      <c r="D1002" s="123"/>
      <c r="L1002" s="125"/>
      <c r="N1002" s="126"/>
      <c r="P1002" s="127"/>
      <c r="Q1002" s="128"/>
      <c r="R1002" s="74"/>
      <c r="AF1002" s="76"/>
    </row>
    <row r="1003">
      <c r="D1003" s="123"/>
      <c r="L1003" s="125"/>
      <c r="N1003" s="126"/>
      <c r="P1003" s="127"/>
      <c r="Q1003" s="128"/>
      <c r="R1003" s="74"/>
      <c r="AF1003" s="76"/>
    </row>
    <row r="1004">
      <c r="D1004" s="123"/>
      <c r="L1004" s="125"/>
      <c r="N1004" s="126"/>
      <c r="P1004" s="127"/>
      <c r="Q1004" s="128"/>
      <c r="R1004" s="74"/>
      <c r="AF1004" s="76"/>
    </row>
    <row r="1005">
      <c r="D1005" s="123"/>
      <c r="L1005" s="125"/>
      <c r="N1005" s="126"/>
      <c r="P1005" s="127"/>
      <c r="Q1005" s="128"/>
      <c r="R1005" s="74"/>
      <c r="AF1005" s="76"/>
    </row>
    <row r="1006">
      <c r="D1006" s="123"/>
      <c r="L1006" s="125"/>
      <c r="N1006" s="126"/>
      <c r="P1006" s="127"/>
      <c r="Q1006" s="128"/>
      <c r="R1006" s="74"/>
      <c r="AF1006" s="76"/>
    </row>
    <row r="1007">
      <c r="D1007" s="123"/>
      <c r="L1007" s="125"/>
      <c r="N1007" s="126"/>
      <c r="P1007" s="127"/>
      <c r="Q1007" s="128"/>
      <c r="R1007" s="74"/>
      <c r="AF1007" s="76"/>
    </row>
    <row r="1008">
      <c r="D1008" s="123"/>
      <c r="L1008" s="125"/>
      <c r="N1008" s="126"/>
      <c r="P1008" s="127"/>
      <c r="Q1008" s="128"/>
      <c r="R1008" s="74"/>
      <c r="AF1008" s="76"/>
    </row>
    <row r="1009">
      <c r="D1009" s="123"/>
      <c r="L1009" s="125"/>
      <c r="N1009" s="126"/>
      <c r="P1009" s="127"/>
      <c r="Q1009" s="128"/>
      <c r="R1009" s="74"/>
      <c r="AF1009" s="76"/>
    </row>
    <row r="1010">
      <c r="D1010" s="123"/>
      <c r="L1010" s="125"/>
      <c r="N1010" s="126"/>
      <c r="P1010" s="127"/>
      <c r="Q1010" s="128"/>
      <c r="R1010" s="74"/>
      <c r="AF1010" s="76"/>
    </row>
    <row r="1011">
      <c r="D1011" s="123"/>
      <c r="L1011" s="125"/>
      <c r="N1011" s="126"/>
      <c r="P1011" s="127"/>
      <c r="Q1011" s="128"/>
      <c r="R1011" s="74"/>
      <c r="AF1011" s="76"/>
    </row>
    <row r="1012">
      <c r="D1012" s="123"/>
      <c r="L1012" s="125"/>
      <c r="N1012" s="126"/>
      <c r="P1012" s="127"/>
      <c r="Q1012" s="128"/>
      <c r="R1012" s="74"/>
      <c r="AF1012" s="76"/>
    </row>
    <row r="1013">
      <c r="D1013" s="123"/>
      <c r="L1013" s="125"/>
      <c r="N1013" s="126"/>
      <c r="P1013" s="127"/>
      <c r="Q1013" s="128"/>
      <c r="R1013" s="74"/>
      <c r="AF1013" s="76"/>
    </row>
    <row r="1014">
      <c r="D1014" s="123"/>
      <c r="L1014" s="125"/>
      <c r="N1014" s="126"/>
      <c r="P1014" s="127"/>
      <c r="Q1014" s="128"/>
      <c r="R1014" s="74"/>
      <c r="AF1014" s="76"/>
    </row>
    <row r="1015">
      <c r="D1015" s="123"/>
      <c r="L1015" s="125"/>
      <c r="N1015" s="126"/>
      <c r="P1015" s="127"/>
      <c r="Q1015" s="128"/>
      <c r="R1015" s="74"/>
      <c r="AF1015" s="76"/>
    </row>
    <row r="1016">
      <c r="D1016" s="123"/>
      <c r="L1016" s="125"/>
      <c r="N1016" s="126"/>
      <c r="P1016" s="127"/>
      <c r="Q1016" s="128"/>
      <c r="R1016" s="74"/>
      <c r="AF1016" s="76"/>
    </row>
    <row r="1017">
      <c r="D1017" s="123"/>
      <c r="L1017" s="125"/>
      <c r="N1017" s="126"/>
      <c r="P1017" s="127"/>
      <c r="Q1017" s="128"/>
      <c r="R1017" s="74"/>
      <c r="AF1017" s="76"/>
    </row>
    <row r="1018">
      <c r="D1018" s="123"/>
      <c r="L1018" s="125"/>
      <c r="N1018" s="126"/>
      <c r="P1018" s="127"/>
      <c r="Q1018" s="128"/>
      <c r="R1018" s="74"/>
      <c r="AF1018" s="76"/>
    </row>
    <row r="1019">
      <c r="D1019" s="123"/>
      <c r="L1019" s="125"/>
      <c r="N1019" s="126"/>
      <c r="P1019" s="127"/>
      <c r="Q1019" s="128"/>
      <c r="R1019" s="74"/>
      <c r="AF1019" s="76"/>
    </row>
    <row r="1020">
      <c r="D1020" s="123"/>
      <c r="L1020" s="125"/>
      <c r="N1020" s="126"/>
      <c r="P1020" s="127"/>
      <c r="Q1020" s="128"/>
      <c r="R1020" s="74"/>
      <c r="AF1020" s="76"/>
    </row>
    <row r="1021">
      <c r="D1021" s="123"/>
      <c r="L1021" s="125"/>
      <c r="N1021" s="126"/>
      <c r="P1021" s="127"/>
      <c r="Q1021" s="128"/>
      <c r="R1021" s="74"/>
      <c r="AF1021" s="76"/>
    </row>
    <row r="1022">
      <c r="D1022" s="123"/>
      <c r="L1022" s="125"/>
      <c r="N1022" s="126"/>
      <c r="P1022" s="127"/>
      <c r="Q1022" s="128"/>
      <c r="R1022" s="74"/>
      <c r="AF1022" s="76"/>
    </row>
    <row r="1023">
      <c r="D1023" s="123"/>
      <c r="L1023" s="125"/>
      <c r="N1023" s="126"/>
      <c r="P1023" s="127"/>
      <c r="Q1023" s="128"/>
      <c r="R1023" s="74"/>
      <c r="AF1023" s="76"/>
    </row>
    <row r="1024">
      <c r="D1024" s="123"/>
      <c r="L1024" s="125"/>
      <c r="N1024" s="126"/>
      <c r="P1024" s="127"/>
      <c r="Q1024" s="128"/>
      <c r="R1024" s="74"/>
      <c r="AF1024" s="76"/>
    </row>
    <row r="1025">
      <c r="D1025" s="123"/>
      <c r="L1025" s="125"/>
      <c r="N1025" s="126"/>
      <c r="P1025" s="127"/>
      <c r="Q1025" s="128"/>
      <c r="R1025" s="74"/>
      <c r="AF1025" s="76"/>
    </row>
    <row r="1026">
      <c r="D1026" s="123"/>
      <c r="L1026" s="125"/>
      <c r="N1026" s="126"/>
      <c r="P1026" s="127"/>
      <c r="Q1026" s="128"/>
      <c r="R1026" s="74"/>
      <c r="AF1026" s="76"/>
    </row>
    <row r="1027">
      <c r="D1027" s="123"/>
      <c r="L1027" s="125"/>
      <c r="N1027" s="126"/>
      <c r="P1027" s="127"/>
      <c r="Q1027" s="128"/>
      <c r="R1027" s="74"/>
      <c r="AF1027" s="76"/>
    </row>
    <row r="1028">
      <c r="D1028" s="123"/>
      <c r="L1028" s="125"/>
      <c r="N1028" s="126"/>
      <c r="P1028" s="127"/>
      <c r="Q1028" s="128"/>
      <c r="R1028" s="74"/>
      <c r="AF1028" s="76"/>
    </row>
    <row r="1029">
      <c r="D1029" s="123"/>
      <c r="L1029" s="125"/>
      <c r="N1029" s="126"/>
      <c r="P1029" s="127"/>
      <c r="Q1029" s="128"/>
      <c r="R1029" s="74"/>
      <c r="AF1029" s="76"/>
    </row>
    <row r="1030">
      <c r="D1030" s="123"/>
      <c r="L1030" s="125"/>
      <c r="N1030" s="126"/>
      <c r="P1030" s="127"/>
      <c r="Q1030" s="128"/>
      <c r="R1030" s="74"/>
      <c r="AF1030" s="76"/>
    </row>
    <row r="1031">
      <c r="D1031" s="123"/>
      <c r="L1031" s="125"/>
      <c r="N1031" s="126"/>
      <c r="P1031" s="127"/>
      <c r="Q1031" s="128"/>
      <c r="R1031" s="74"/>
      <c r="AF1031" s="76"/>
    </row>
    <row r="1032">
      <c r="D1032" s="123"/>
      <c r="L1032" s="125"/>
      <c r="N1032" s="126"/>
      <c r="P1032" s="127"/>
      <c r="Q1032" s="128"/>
      <c r="R1032" s="74"/>
      <c r="AF1032" s="76"/>
    </row>
    <row r="1033">
      <c r="D1033" s="123"/>
      <c r="L1033" s="125"/>
      <c r="N1033" s="126"/>
      <c r="P1033" s="127"/>
      <c r="Q1033" s="128"/>
      <c r="R1033" s="74"/>
      <c r="AF1033" s="76"/>
    </row>
    <row r="1034">
      <c r="D1034" s="123"/>
      <c r="L1034" s="125"/>
      <c r="N1034" s="126"/>
      <c r="P1034" s="127"/>
      <c r="Q1034" s="128"/>
      <c r="R1034" s="74"/>
      <c r="AF1034" s="76"/>
    </row>
    <row r="1035">
      <c r="D1035" s="123"/>
      <c r="L1035" s="125"/>
      <c r="N1035" s="126"/>
      <c r="P1035" s="127"/>
      <c r="Q1035" s="128"/>
      <c r="R1035" s="74"/>
      <c r="AF1035" s="76"/>
    </row>
    <row r="1036">
      <c r="D1036" s="123"/>
      <c r="L1036" s="125"/>
      <c r="N1036" s="126"/>
      <c r="P1036" s="127"/>
      <c r="Q1036" s="128"/>
      <c r="R1036" s="74"/>
      <c r="AF1036" s="76"/>
    </row>
    <row r="1037">
      <c r="D1037" s="123"/>
      <c r="L1037" s="125"/>
      <c r="N1037" s="126"/>
      <c r="P1037" s="127"/>
      <c r="Q1037" s="128"/>
      <c r="R1037" s="74"/>
      <c r="AF1037" s="76"/>
    </row>
    <row r="1038">
      <c r="D1038" s="123"/>
      <c r="L1038" s="125"/>
      <c r="N1038" s="126"/>
      <c r="P1038" s="127"/>
      <c r="Q1038" s="128"/>
      <c r="R1038" s="74"/>
      <c r="AF1038" s="76"/>
    </row>
    <row r="1039">
      <c r="D1039" s="123"/>
      <c r="L1039" s="125"/>
      <c r="N1039" s="126"/>
      <c r="P1039" s="127"/>
      <c r="Q1039" s="128"/>
      <c r="R1039" s="74"/>
      <c r="AF1039" s="76"/>
    </row>
    <row r="1040">
      <c r="D1040" s="123"/>
      <c r="L1040" s="125"/>
      <c r="N1040" s="126"/>
      <c r="P1040" s="127"/>
      <c r="Q1040" s="128"/>
      <c r="R1040" s="74"/>
      <c r="AF1040" s="76"/>
    </row>
    <row r="1041">
      <c r="D1041" s="123"/>
      <c r="L1041" s="125"/>
      <c r="N1041" s="126"/>
      <c r="P1041" s="127"/>
      <c r="Q1041" s="128"/>
      <c r="R1041" s="74"/>
      <c r="AF1041" s="76"/>
    </row>
    <row r="1042">
      <c r="D1042" s="123"/>
      <c r="L1042" s="125"/>
      <c r="N1042" s="126"/>
      <c r="P1042" s="127"/>
      <c r="Q1042" s="128"/>
      <c r="R1042" s="74"/>
      <c r="AF1042" s="76"/>
    </row>
    <row r="1043">
      <c r="D1043" s="123"/>
      <c r="L1043" s="125"/>
      <c r="N1043" s="126"/>
      <c r="P1043" s="127"/>
      <c r="Q1043" s="128"/>
      <c r="R1043" s="74"/>
      <c r="AF1043" s="76"/>
    </row>
    <row r="1044">
      <c r="D1044" s="123"/>
      <c r="L1044" s="125"/>
      <c r="N1044" s="126"/>
      <c r="P1044" s="127"/>
      <c r="Q1044" s="128"/>
      <c r="R1044" s="74"/>
      <c r="AF1044" s="76"/>
    </row>
    <row r="1045">
      <c r="D1045" s="123"/>
      <c r="L1045" s="125"/>
      <c r="N1045" s="126"/>
      <c r="P1045" s="127"/>
      <c r="Q1045" s="128"/>
      <c r="R1045" s="74"/>
      <c r="AF1045" s="76"/>
    </row>
    <row r="1046">
      <c r="D1046" s="123"/>
      <c r="L1046" s="125"/>
      <c r="N1046" s="126"/>
      <c r="P1046" s="127"/>
      <c r="Q1046" s="128"/>
      <c r="R1046" s="74"/>
      <c r="AF1046" s="76"/>
    </row>
    <row r="1047">
      <c r="D1047" s="123"/>
      <c r="L1047" s="125"/>
      <c r="N1047" s="126"/>
      <c r="P1047" s="127"/>
      <c r="Q1047" s="128"/>
      <c r="R1047" s="74"/>
      <c r="AF1047" s="76"/>
    </row>
    <row r="1048">
      <c r="D1048" s="123"/>
      <c r="L1048" s="125"/>
      <c r="N1048" s="126"/>
      <c r="P1048" s="127"/>
      <c r="Q1048" s="128"/>
      <c r="R1048" s="74"/>
      <c r="AF1048" s="76"/>
    </row>
    <row r="1049">
      <c r="D1049" s="123"/>
      <c r="L1049" s="125"/>
      <c r="N1049" s="126"/>
      <c r="P1049" s="127"/>
      <c r="Q1049" s="128"/>
      <c r="R1049" s="74"/>
      <c r="AF1049" s="76"/>
    </row>
    <row r="1050">
      <c r="D1050" s="123"/>
      <c r="L1050" s="125"/>
      <c r="N1050" s="126"/>
      <c r="P1050" s="127"/>
      <c r="Q1050" s="128"/>
      <c r="R1050" s="74"/>
      <c r="AF1050" s="76"/>
    </row>
    <row r="1051">
      <c r="D1051" s="123"/>
      <c r="L1051" s="125"/>
      <c r="N1051" s="126"/>
      <c r="P1051" s="127"/>
      <c r="Q1051" s="128"/>
      <c r="R1051" s="74"/>
      <c r="AF1051" s="76"/>
    </row>
    <row r="1052">
      <c r="D1052" s="123"/>
      <c r="L1052" s="125"/>
      <c r="N1052" s="126"/>
      <c r="P1052" s="127"/>
      <c r="Q1052" s="128"/>
      <c r="R1052" s="74"/>
      <c r="AF1052" s="76"/>
    </row>
    <row r="1053">
      <c r="D1053" s="123"/>
      <c r="L1053" s="125"/>
      <c r="N1053" s="126"/>
      <c r="P1053" s="127"/>
      <c r="Q1053" s="128"/>
      <c r="R1053" s="74"/>
      <c r="AF1053" s="76"/>
    </row>
    <row r="1054">
      <c r="D1054" s="123"/>
      <c r="L1054" s="125"/>
      <c r="N1054" s="126"/>
      <c r="P1054" s="127"/>
      <c r="Q1054" s="128"/>
      <c r="R1054" s="74"/>
      <c r="AF1054" s="76"/>
    </row>
    <row r="1055">
      <c r="D1055" s="123"/>
      <c r="L1055" s="125"/>
      <c r="N1055" s="126"/>
      <c r="P1055" s="127"/>
      <c r="Q1055" s="128"/>
      <c r="R1055" s="74"/>
      <c r="AF1055" s="76"/>
    </row>
    <row r="1056">
      <c r="D1056" s="123"/>
      <c r="L1056" s="125"/>
      <c r="N1056" s="126"/>
      <c r="P1056" s="127"/>
      <c r="Q1056" s="128"/>
      <c r="R1056" s="74"/>
      <c r="AF1056" s="76"/>
    </row>
    <row r="1057">
      <c r="D1057" s="123"/>
      <c r="L1057" s="125"/>
      <c r="N1057" s="126"/>
      <c r="P1057" s="127"/>
      <c r="Q1057" s="128"/>
      <c r="R1057" s="74"/>
      <c r="AF1057" s="76"/>
    </row>
    <row r="1058">
      <c r="D1058" s="123"/>
      <c r="L1058" s="125"/>
      <c r="N1058" s="126"/>
      <c r="P1058" s="127"/>
      <c r="Q1058" s="128"/>
      <c r="R1058" s="74"/>
      <c r="AF1058" s="76"/>
    </row>
  </sheetData>
  <mergeCells count="88">
    <mergeCell ref="AH2:AK2"/>
    <mergeCell ref="AP2:AP3"/>
    <mergeCell ref="AT2:AT3"/>
    <mergeCell ref="AY2:AY3"/>
    <mergeCell ref="AZ2:AZ3"/>
    <mergeCell ref="BA2:BB2"/>
    <mergeCell ref="A1:A3"/>
    <mergeCell ref="B1:B2"/>
    <mergeCell ref="C1:C2"/>
    <mergeCell ref="E1:Q1"/>
    <mergeCell ref="S1:AE1"/>
    <mergeCell ref="AG1:AS1"/>
    <mergeCell ref="AT1:BC1"/>
    <mergeCell ref="BC2:BC3"/>
    <mergeCell ref="F2:I2"/>
    <mergeCell ref="N2:N3"/>
    <mergeCell ref="A148:A150"/>
    <mergeCell ref="A157:A159"/>
    <mergeCell ref="B157:B158"/>
    <mergeCell ref="C157:C158"/>
    <mergeCell ref="D157:D158"/>
    <mergeCell ref="E158:E159"/>
    <mergeCell ref="E157:Q157"/>
    <mergeCell ref="F158:I158"/>
    <mergeCell ref="N158:N159"/>
    <mergeCell ref="O158:P158"/>
    <mergeCell ref="Q158:Q159"/>
    <mergeCell ref="D1:D2"/>
    <mergeCell ref="E2:E3"/>
    <mergeCell ref="B148:B149"/>
    <mergeCell ref="C148:C149"/>
    <mergeCell ref="D148:D149"/>
    <mergeCell ref="E148:Q148"/>
    <mergeCell ref="Q149:Q150"/>
    <mergeCell ref="O2:P2"/>
    <mergeCell ref="Q2:Q3"/>
    <mergeCell ref="S2:S3"/>
    <mergeCell ref="T2:W2"/>
    <mergeCell ref="S148:AE148"/>
    <mergeCell ref="AB2:AB3"/>
    <mergeCell ref="AC2:AD2"/>
    <mergeCell ref="AE2:AE3"/>
    <mergeCell ref="AG2:AG3"/>
    <mergeCell ref="AQ2:AR2"/>
    <mergeCell ref="AS2:AS3"/>
    <mergeCell ref="AG148:AS148"/>
    <mergeCell ref="AT148:BC148"/>
    <mergeCell ref="E149:E150"/>
    <mergeCell ref="F149:I149"/>
    <mergeCell ref="AZ149:AZ150"/>
    <mergeCell ref="BA149:BB149"/>
    <mergeCell ref="BC149:BC150"/>
    <mergeCell ref="N149:N150"/>
    <mergeCell ref="O149:P149"/>
    <mergeCell ref="S149:S150"/>
    <mergeCell ref="T149:W149"/>
    <mergeCell ref="AA149:AA150"/>
    <mergeCell ref="AB149:AB150"/>
    <mergeCell ref="AC149:AD149"/>
    <mergeCell ref="AT158:AT159"/>
    <mergeCell ref="AY158:AY159"/>
    <mergeCell ref="S157:AE157"/>
    <mergeCell ref="AG157:AS157"/>
    <mergeCell ref="AT157:BC157"/>
    <mergeCell ref="S158:S159"/>
    <mergeCell ref="T158:W158"/>
    <mergeCell ref="AA158:AA159"/>
    <mergeCell ref="AB158:AB159"/>
    <mergeCell ref="BC158:BC159"/>
    <mergeCell ref="AT149:AT150"/>
    <mergeCell ref="AY149:AY150"/>
    <mergeCell ref="AE149:AE150"/>
    <mergeCell ref="AG149:AG150"/>
    <mergeCell ref="AH149:AK149"/>
    <mergeCell ref="AO149:AO150"/>
    <mergeCell ref="AP149:AP150"/>
    <mergeCell ref="AQ149:AR149"/>
    <mergeCell ref="AS149:AS150"/>
    <mergeCell ref="AC158:AD158"/>
    <mergeCell ref="AE158:AE159"/>
    <mergeCell ref="AG158:AG159"/>
    <mergeCell ref="AH158:AK158"/>
    <mergeCell ref="AO158:AO159"/>
    <mergeCell ref="AP158:AP159"/>
    <mergeCell ref="AQ158:AR158"/>
    <mergeCell ref="AS158:AS159"/>
    <mergeCell ref="AZ158:AZ159"/>
    <mergeCell ref="BA158:BB158"/>
  </mergeCells>
  <conditionalFormatting sqref="M5:M20 AA5:AA20 AO5:AO20 M22:M45 AA22:AA45 AO22:AO45 M47:M85 AA47:AA69 AO47:AO85 M87:M100 AA87:AA100 AO87:AO100 M102:M106 AA102:AA106 AO102:AO106 M108 AO108 M110:M119 AA110:AA119 AO110:AO119 M121:M127 AA121:AA127 AO121:AO127 M129:M147 AA129:AA131 AO129:AO131 M151:M156 M160:M1058">
    <cfRule type="cellIs" dxfId="0" priority="1" operator="lessThan">
      <formula>"0%"</formula>
    </cfRule>
  </conditionalFormatting>
  <conditionalFormatting sqref="M5:M20 AA5:AA20 AO5:AO20 M22:M45 AA22:AA45 AO22:AO45 M47:M85 AA47:AA69 AO47:AO85 M87:M100 AA87:AA100 AO87:AO100 M102:M106 AA102:AA106 AO102:AO106 M108 AO108 M110:M119 AA110:AA119 AO110:AO119 M121:M127 AA121:AA127 AO121:AO127 M129:M147 AA129:AA131 AO129:AO131 M151:M156 M160:M1058">
    <cfRule type="cellIs" dxfId="1" priority="2" operator="lessThan">
      <formula>"2.50%"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0.0"/>
    <col customWidth="1" min="2" max="2" width="10.5"/>
    <col hidden="1" min="3" max="4" width="12.63"/>
    <col customWidth="1" min="5" max="5" width="6.13"/>
    <col customWidth="1" min="7" max="7" width="11.0"/>
    <col customWidth="1" min="8" max="8" width="11.5"/>
    <col customWidth="1" min="9" max="9" width="11.0"/>
    <col customWidth="1" min="10" max="10" width="8.75"/>
    <col customWidth="1" min="13" max="13" width="9.63"/>
    <col hidden="1" min="14" max="14" width="12.63"/>
    <col customWidth="1" min="17" max="17" width="10.75"/>
    <col customWidth="1" min="18" max="18" width="5.0"/>
    <col customWidth="1" min="19" max="19" width="6.88"/>
    <col customWidth="1" min="20" max="24" width="7.38"/>
    <col hidden="1" min="28" max="28" width="12.63"/>
    <col customWidth="1" min="32" max="32" width="4.25"/>
    <col customWidth="1" min="33" max="33" width="8.88"/>
    <col hidden="1" min="42" max="42" width="12.63"/>
    <col hidden="1" min="46" max="55" width="12.63"/>
  </cols>
  <sheetData>
    <row r="1">
      <c r="A1" s="1" t="s">
        <v>0</v>
      </c>
      <c r="B1" s="2" t="s">
        <v>1</v>
      </c>
      <c r="C1" s="158" t="s">
        <v>147</v>
      </c>
      <c r="D1" s="158" t="s">
        <v>147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 t="s">
        <v>4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8"/>
      <c r="AG1" s="9" t="s">
        <v>5</v>
      </c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1"/>
      <c r="AU1" s="10"/>
      <c r="AV1" s="10"/>
      <c r="AW1" s="10"/>
      <c r="AX1" s="10"/>
      <c r="AY1" s="10"/>
      <c r="AZ1" s="10"/>
      <c r="BA1" s="10"/>
      <c r="BB1" s="10"/>
      <c r="BC1" s="12"/>
    </row>
    <row r="2">
      <c r="A2" s="13"/>
      <c r="B2" s="13"/>
      <c r="C2" s="14"/>
      <c r="D2" s="14"/>
      <c r="E2" s="15" t="s">
        <v>6</v>
      </c>
      <c r="F2" s="16" t="s">
        <v>7</v>
      </c>
      <c r="G2" s="4"/>
      <c r="H2" s="4"/>
      <c r="I2" s="5"/>
      <c r="J2" s="17" t="s">
        <v>8</v>
      </c>
      <c r="K2" s="17" t="s">
        <v>9</v>
      </c>
      <c r="L2" s="18" t="s">
        <v>10</v>
      </c>
      <c r="M2" s="19" t="s">
        <v>11</v>
      </c>
      <c r="N2" s="20" t="s">
        <v>12</v>
      </c>
      <c r="O2" s="3" t="s">
        <v>13</v>
      </c>
      <c r="P2" s="5"/>
      <c r="Q2" s="21" t="s">
        <v>14</v>
      </c>
      <c r="R2" s="22"/>
      <c r="S2" s="23" t="s">
        <v>15</v>
      </c>
      <c r="T2" s="24" t="s">
        <v>7</v>
      </c>
      <c r="U2" s="4"/>
      <c r="V2" s="4"/>
      <c r="W2" s="5"/>
      <c r="X2" s="25" t="s">
        <v>8</v>
      </c>
      <c r="Y2" s="25" t="s">
        <v>9</v>
      </c>
      <c r="Z2" s="26" t="s">
        <v>10</v>
      </c>
      <c r="AA2" s="37" t="s">
        <v>148</v>
      </c>
      <c r="AB2" s="28" t="s">
        <v>12</v>
      </c>
      <c r="AC2" s="29" t="s">
        <v>17</v>
      </c>
      <c r="AD2" s="5"/>
      <c r="AE2" s="30" t="s">
        <v>18</v>
      </c>
      <c r="AF2" s="31"/>
      <c r="AG2" s="32" t="s">
        <v>19</v>
      </c>
      <c r="AH2" s="24" t="s">
        <v>7</v>
      </c>
      <c r="AI2" s="4"/>
      <c r="AJ2" s="4"/>
      <c r="AK2" s="5"/>
      <c r="AL2" s="25" t="s">
        <v>8</v>
      </c>
      <c r="AM2" s="25" t="s">
        <v>9</v>
      </c>
      <c r="AN2" s="33" t="s">
        <v>10</v>
      </c>
      <c r="AO2" s="37" t="s">
        <v>148</v>
      </c>
      <c r="AP2" s="34" t="s">
        <v>12</v>
      </c>
      <c r="AQ2" s="35" t="s">
        <v>13</v>
      </c>
      <c r="AR2" s="5"/>
      <c r="AS2" s="36" t="s">
        <v>21</v>
      </c>
      <c r="AT2" s="32" t="s">
        <v>22</v>
      </c>
      <c r="AU2" s="25" t="s">
        <v>7</v>
      </c>
      <c r="AV2" s="25" t="s">
        <v>8</v>
      </c>
      <c r="AW2" s="25" t="s">
        <v>9</v>
      </c>
      <c r="AX2" s="33" t="s">
        <v>10</v>
      </c>
      <c r="AY2" s="37" t="s">
        <v>23</v>
      </c>
      <c r="AZ2" s="34" t="s">
        <v>12</v>
      </c>
      <c r="BA2" s="35" t="s">
        <v>13</v>
      </c>
      <c r="BB2" s="5"/>
      <c r="BC2" s="38" t="s">
        <v>24</v>
      </c>
    </row>
    <row r="3">
      <c r="A3" s="39"/>
      <c r="B3" s="40"/>
      <c r="C3" s="40" t="s">
        <v>25</v>
      </c>
      <c r="D3" s="40" t="s">
        <v>26</v>
      </c>
      <c r="E3" s="39"/>
      <c r="F3" s="41">
        <v>0.122</v>
      </c>
      <c r="G3" s="185">
        <v>0.06</v>
      </c>
      <c r="H3" s="41">
        <v>0.018</v>
      </c>
      <c r="I3" s="41">
        <v>0.045</v>
      </c>
      <c r="J3" s="43">
        <v>1250.0</v>
      </c>
      <c r="K3" s="42">
        <v>0.05</v>
      </c>
      <c r="L3" s="44" t="s">
        <v>26</v>
      </c>
      <c r="M3" s="41">
        <v>0.025</v>
      </c>
      <c r="N3" s="39"/>
      <c r="O3" s="44" t="s">
        <v>26</v>
      </c>
      <c r="P3" s="45" t="s">
        <v>27</v>
      </c>
      <c r="Q3" s="39"/>
      <c r="R3" s="46"/>
      <c r="S3" s="39"/>
      <c r="T3" s="41">
        <v>0.122</v>
      </c>
      <c r="U3" s="41">
        <v>0.06</v>
      </c>
      <c r="V3" s="41">
        <v>0.018</v>
      </c>
      <c r="W3" s="41">
        <v>0.045</v>
      </c>
      <c r="X3" s="47"/>
      <c r="Y3" s="42">
        <v>0.05</v>
      </c>
      <c r="Z3" s="48" t="s">
        <v>26</v>
      </c>
      <c r="AA3" s="39"/>
      <c r="AB3" s="39"/>
      <c r="AC3" s="49" t="s">
        <v>26</v>
      </c>
      <c r="AD3" s="50" t="s">
        <v>25</v>
      </c>
      <c r="AE3" s="51"/>
      <c r="AF3" s="31"/>
      <c r="AG3" s="39"/>
      <c r="AH3" s="41">
        <v>0.117</v>
      </c>
      <c r="AI3" s="41">
        <v>0.06</v>
      </c>
      <c r="AJ3" s="41">
        <v>0.045</v>
      </c>
      <c r="AK3" s="41">
        <v>0.018</v>
      </c>
      <c r="AL3" s="47"/>
      <c r="AM3" s="42">
        <v>0.05</v>
      </c>
      <c r="AN3" s="52" t="s">
        <v>26</v>
      </c>
      <c r="AO3" s="39"/>
      <c r="AP3" s="39"/>
      <c r="AQ3" s="53" t="s">
        <v>26</v>
      </c>
      <c r="AR3" s="54" t="s">
        <v>25</v>
      </c>
      <c r="AS3" s="51"/>
      <c r="AT3" s="39"/>
      <c r="AU3" s="55">
        <v>0.17</v>
      </c>
      <c r="AV3" s="47"/>
      <c r="AW3" s="55">
        <v>0.04</v>
      </c>
      <c r="AX3" s="52" t="s">
        <v>26</v>
      </c>
      <c r="AY3" s="39"/>
      <c r="AZ3" s="39"/>
      <c r="BA3" s="53" t="s">
        <v>26</v>
      </c>
      <c r="BB3" s="54" t="s">
        <v>25</v>
      </c>
      <c r="BC3" s="39"/>
    </row>
    <row r="4">
      <c r="A4" s="56" t="s">
        <v>28</v>
      </c>
      <c r="B4" s="57"/>
      <c r="C4" s="186">
        <v>0.9</v>
      </c>
      <c r="D4" s="58">
        <v>1.11</v>
      </c>
      <c r="E4" s="59"/>
      <c r="F4" s="60"/>
      <c r="G4" s="60"/>
      <c r="H4" s="60"/>
      <c r="I4" s="60"/>
      <c r="J4" s="60"/>
      <c r="K4" s="60"/>
      <c r="L4" s="60"/>
      <c r="M4" s="60"/>
      <c r="N4" s="60"/>
      <c r="O4" s="58">
        <v>1.11</v>
      </c>
      <c r="P4" s="60"/>
      <c r="Q4" s="60"/>
      <c r="R4" s="61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2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3"/>
      <c r="AW4" s="63"/>
      <c r="AX4" s="63"/>
      <c r="AY4" s="63"/>
      <c r="AZ4" s="63"/>
      <c r="BA4" s="63"/>
      <c r="BB4" s="63"/>
      <c r="BC4" s="63"/>
    </row>
    <row r="5">
      <c r="A5" s="64" t="s">
        <v>29</v>
      </c>
      <c r="B5" s="65">
        <v>3200.0</v>
      </c>
      <c r="C5" s="65">
        <f t="shared" ref="C5:C19" si="1">B5*$C$4</f>
        <v>2880</v>
      </c>
      <c r="D5" s="66">
        <f t="shared" ref="D5:D19" si="2">C5/$D$4</f>
        <v>2594.594595</v>
      </c>
      <c r="E5" s="79">
        <v>3.0</v>
      </c>
      <c r="F5" s="66">
        <f t="shared" ref="F5:F19" si="3">P5*$F$3</f>
        <v>1830</v>
      </c>
      <c r="G5" s="66">
        <f t="shared" ref="G5:G19" si="4">P5*$G$3</f>
        <v>900</v>
      </c>
      <c r="H5" s="66">
        <f t="shared" ref="H5:H19" si="5">P5*$H$3</f>
        <v>270</v>
      </c>
      <c r="I5" s="66">
        <f t="shared" ref="I5:I19" si="6">P5*$I$3</f>
        <v>675</v>
      </c>
      <c r="J5" s="68">
        <v>1250.0</v>
      </c>
      <c r="K5" s="66">
        <f t="shared" ref="K5:K19" si="7">D5*$K$3</f>
        <v>129.7297297</v>
      </c>
      <c r="L5" s="69">
        <f t="shared" ref="L5:L19" si="8">(D5*E5)+F5+G5+H5+I5+J5+K5</f>
        <v>12838.51351</v>
      </c>
      <c r="M5" s="70">
        <f t="shared" ref="M5:M19" si="9">N5/O5</f>
        <v>0.04995</v>
      </c>
      <c r="N5" s="71">
        <f t="shared" ref="N5:N19" si="10">O5-L5</f>
        <v>675</v>
      </c>
      <c r="O5" s="66">
        <f t="shared" ref="O5:O19" si="11">P5/$O$4</f>
        <v>13513.51351</v>
      </c>
      <c r="P5" s="78">
        <v>15000.0</v>
      </c>
      <c r="Q5" s="73">
        <f t="shared" ref="Q5:Q19" si="12">P5/E5</f>
        <v>5000</v>
      </c>
      <c r="R5" s="74"/>
      <c r="S5" s="75">
        <v>50.0</v>
      </c>
      <c r="T5" s="66">
        <f t="shared" ref="T5:T19" si="13">AD5*$T$3</f>
        <v>25620</v>
      </c>
      <c r="U5" s="66">
        <f t="shared" ref="U5:U19" si="14">AD5*$U$3</f>
        <v>12600</v>
      </c>
      <c r="V5" s="66">
        <f t="shared" ref="V5:V19" si="15">AD5*$V$3</f>
        <v>3780</v>
      </c>
      <c r="W5" s="66">
        <f t="shared" ref="W5:W19" si="16">AD5*$W$3</f>
        <v>9450</v>
      </c>
      <c r="X5" s="68">
        <v>1250.0</v>
      </c>
      <c r="Y5" s="66">
        <f t="shared" ref="Y5:Y7" si="17">D5*$Y$3*S5</f>
        <v>6486.486486</v>
      </c>
      <c r="Z5" s="69">
        <f t="shared" ref="Z5:Z19" si="18">(D5*S5)+T5+U5+V5+W5+X5+Y5</f>
        <v>188916.2162</v>
      </c>
      <c r="AA5" s="70">
        <f t="shared" ref="AA5:AA19" si="19">AB5/AC5</f>
        <v>0.001442857143</v>
      </c>
      <c r="AB5" s="71">
        <f t="shared" ref="AB5:AB19" si="20">AC5-Z5</f>
        <v>272.972973</v>
      </c>
      <c r="AC5" s="66">
        <f t="shared" ref="AC5:AC19" si="21">AD5/$O$4</f>
        <v>189189.1892</v>
      </c>
      <c r="AD5" s="78">
        <v>210000.0</v>
      </c>
      <c r="AE5" s="73">
        <f t="shared" ref="AE5:AE19" si="22">AD5/S5</f>
        <v>4200</v>
      </c>
      <c r="AF5" s="76"/>
      <c r="AG5" s="75">
        <v>500.0</v>
      </c>
      <c r="AH5" s="66">
        <f t="shared" ref="AH5:AH19" si="23">AR5*$AH$3</f>
        <v>0</v>
      </c>
      <c r="AI5" s="66">
        <f t="shared" ref="AI5:AI19" si="24">AR5*$AI$3</f>
        <v>0</v>
      </c>
      <c r="AJ5" s="66">
        <f t="shared" ref="AJ5:AJ19" si="25">AR5*$AJ$3</f>
        <v>0</v>
      </c>
      <c r="AK5" s="66">
        <f t="shared" ref="AK5:AK19" si="26">AR5*$AK$3</f>
        <v>0</v>
      </c>
      <c r="AL5" s="68">
        <v>1250.0</v>
      </c>
      <c r="AM5" s="66">
        <f t="shared" ref="AM5:AM19" si="27">AF5*$AM$3</f>
        <v>0</v>
      </c>
      <c r="AN5" s="69">
        <f t="shared" ref="AN5:AN19" si="28">(R5*AG5)+AH5+AI5+AJ5+AK5+AL5+AM5</f>
        <v>1250</v>
      </c>
      <c r="AO5" s="70" t="str">
        <f t="shared" ref="AO5:AO19" si="29">AP5/AQ5</f>
        <v>#DIV/0!</v>
      </c>
      <c r="AP5" s="71">
        <f t="shared" ref="AP5:AP19" si="30">AQ5-AN5</f>
        <v>-1250</v>
      </c>
      <c r="AQ5" s="66">
        <f t="shared" ref="AQ5:AQ19" si="31">AR5/$O$4</f>
        <v>0</v>
      </c>
      <c r="AR5" s="78"/>
      <c r="AS5" s="73">
        <f t="shared" ref="AS5:AS19" si="32">AR5/AG5</f>
        <v>0</v>
      </c>
    </row>
    <row r="6">
      <c r="A6" s="64" t="s">
        <v>30</v>
      </c>
      <c r="B6" s="65">
        <v>3500.0</v>
      </c>
      <c r="C6" s="65">
        <f t="shared" si="1"/>
        <v>3150</v>
      </c>
      <c r="D6" s="66">
        <f t="shared" si="2"/>
        <v>2837.837838</v>
      </c>
      <c r="E6" s="79">
        <v>3.0</v>
      </c>
      <c r="F6" s="66">
        <f t="shared" si="3"/>
        <v>1927.6</v>
      </c>
      <c r="G6" s="66">
        <f t="shared" si="4"/>
        <v>948</v>
      </c>
      <c r="H6" s="66">
        <f t="shared" si="5"/>
        <v>284.4</v>
      </c>
      <c r="I6" s="66">
        <f t="shared" si="6"/>
        <v>711</v>
      </c>
      <c r="J6" s="68">
        <v>1250.0</v>
      </c>
      <c r="K6" s="66">
        <f t="shared" si="7"/>
        <v>141.8918919</v>
      </c>
      <c r="L6" s="69">
        <f t="shared" si="8"/>
        <v>13776.40541</v>
      </c>
      <c r="M6" s="70">
        <f t="shared" si="9"/>
        <v>0.03216392405</v>
      </c>
      <c r="N6" s="71">
        <f t="shared" si="10"/>
        <v>457.8288288</v>
      </c>
      <c r="O6" s="66">
        <f t="shared" si="11"/>
        <v>14234.23423</v>
      </c>
      <c r="P6" s="78">
        <v>15800.0</v>
      </c>
      <c r="Q6" s="73">
        <f t="shared" si="12"/>
        <v>5266.666667</v>
      </c>
      <c r="R6" s="74"/>
      <c r="S6" s="75">
        <v>50.0</v>
      </c>
      <c r="T6" s="66">
        <f t="shared" si="13"/>
        <v>27694</v>
      </c>
      <c r="U6" s="66">
        <f t="shared" si="14"/>
        <v>13620</v>
      </c>
      <c r="V6" s="66">
        <f t="shared" si="15"/>
        <v>4086</v>
      </c>
      <c r="W6" s="66">
        <f t="shared" si="16"/>
        <v>10215</v>
      </c>
      <c r="X6" s="68">
        <v>1250.0</v>
      </c>
      <c r="Y6" s="66">
        <f t="shared" si="17"/>
        <v>7094.594595</v>
      </c>
      <c r="Z6" s="69">
        <f t="shared" si="18"/>
        <v>205851.4865</v>
      </c>
      <c r="AA6" s="70">
        <f t="shared" si="19"/>
        <v>-0.006586563877</v>
      </c>
      <c r="AB6" s="71">
        <f t="shared" si="20"/>
        <v>-1346.981982</v>
      </c>
      <c r="AC6" s="66">
        <f t="shared" si="21"/>
        <v>204504.5045</v>
      </c>
      <c r="AD6" s="78">
        <v>227000.0</v>
      </c>
      <c r="AE6" s="73">
        <f t="shared" si="22"/>
        <v>4540</v>
      </c>
      <c r="AF6" s="76"/>
      <c r="AG6" s="75">
        <v>500.0</v>
      </c>
      <c r="AH6" s="66">
        <f t="shared" si="23"/>
        <v>0</v>
      </c>
      <c r="AI6" s="66">
        <f t="shared" si="24"/>
        <v>0</v>
      </c>
      <c r="AJ6" s="66">
        <f t="shared" si="25"/>
        <v>0</v>
      </c>
      <c r="AK6" s="66">
        <f t="shared" si="26"/>
        <v>0</v>
      </c>
      <c r="AL6" s="68">
        <v>1250.0</v>
      </c>
      <c r="AM6" s="66">
        <f t="shared" si="27"/>
        <v>0</v>
      </c>
      <c r="AN6" s="69">
        <f t="shared" si="28"/>
        <v>1250</v>
      </c>
      <c r="AO6" s="70" t="str">
        <f t="shared" si="29"/>
        <v>#DIV/0!</v>
      </c>
      <c r="AP6" s="71">
        <f t="shared" si="30"/>
        <v>-1250</v>
      </c>
      <c r="AQ6" s="66">
        <f t="shared" si="31"/>
        <v>0</v>
      </c>
      <c r="AR6" s="78"/>
      <c r="AS6" s="73">
        <f t="shared" si="32"/>
        <v>0</v>
      </c>
    </row>
    <row r="7">
      <c r="A7" s="77" t="s">
        <v>31</v>
      </c>
      <c r="B7" s="65">
        <v>3900.0</v>
      </c>
      <c r="C7" s="65">
        <f t="shared" si="1"/>
        <v>3510</v>
      </c>
      <c r="D7" s="66">
        <f t="shared" si="2"/>
        <v>3162.162162</v>
      </c>
      <c r="E7" s="79">
        <v>3.0</v>
      </c>
      <c r="F7" s="66">
        <f t="shared" si="3"/>
        <v>2074</v>
      </c>
      <c r="G7" s="66">
        <f t="shared" si="4"/>
        <v>1020</v>
      </c>
      <c r="H7" s="66">
        <f t="shared" si="5"/>
        <v>306</v>
      </c>
      <c r="I7" s="66">
        <f t="shared" si="6"/>
        <v>765</v>
      </c>
      <c r="J7" s="68">
        <v>1250.0</v>
      </c>
      <c r="K7" s="66">
        <f t="shared" si="7"/>
        <v>158.1081081</v>
      </c>
      <c r="L7" s="69">
        <f t="shared" si="8"/>
        <v>15059.59459</v>
      </c>
      <c r="M7" s="70">
        <f t="shared" si="9"/>
        <v>0.01669705882</v>
      </c>
      <c r="N7" s="71">
        <f t="shared" si="10"/>
        <v>255.7207207</v>
      </c>
      <c r="O7" s="66">
        <f t="shared" si="11"/>
        <v>15315.31532</v>
      </c>
      <c r="P7" s="78">
        <v>17000.0</v>
      </c>
      <c r="Q7" s="73">
        <f t="shared" si="12"/>
        <v>5666.666667</v>
      </c>
      <c r="R7" s="74"/>
      <c r="S7" s="75">
        <v>25.0</v>
      </c>
      <c r="T7" s="66">
        <f t="shared" si="13"/>
        <v>16701.8</v>
      </c>
      <c r="U7" s="66">
        <f t="shared" si="14"/>
        <v>8214</v>
      </c>
      <c r="V7" s="66">
        <f t="shared" si="15"/>
        <v>2464.2</v>
      </c>
      <c r="W7" s="66">
        <f t="shared" si="16"/>
        <v>6160.5</v>
      </c>
      <c r="X7" s="68">
        <v>1250.0</v>
      </c>
      <c r="Y7" s="66">
        <f t="shared" si="17"/>
        <v>3952.702703</v>
      </c>
      <c r="Z7" s="69">
        <f t="shared" si="18"/>
        <v>117797.2568</v>
      </c>
      <c r="AA7" s="70">
        <f t="shared" si="19"/>
        <v>0.04488710738</v>
      </c>
      <c r="AB7" s="71">
        <f t="shared" si="20"/>
        <v>5536.076577</v>
      </c>
      <c r="AC7" s="66">
        <f t="shared" si="21"/>
        <v>123333.3333</v>
      </c>
      <c r="AD7" s="78">
        <v>136900.0</v>
      </c>
      <c r="AE7" s="73">
        <f t="shared" si="22"/>
        <v>5476</v>
      </c>
      <c r="AF7" s="76"/>
      <c r="AG7" s="75">
        <v>500.0</v>
      </c>
      <c r="AH7" s="66">
        <f t="shared" si="23"/>
        <v>0</v>
      </c>
      <c r="AI7" s="66">
        <f t="shared" si="24"/>
        <v>0</v>
      </c>
      <c r="AJ7" s="66">
        <f t="shared" si="25"/>
        <v>0</v>
      </c>
      <c r="AK7" s="66">
        <f t="shared" si="26"/>
        <v>0</v>
      </c>
      <c r="AL7" s="68">
        <v>1250.0</v>
      </c>
      <c r="AM7" s="66">
        <f t="shared" si="27"/>
        <v>0</v>
      </c>
      <c r="AN7" s="69">
        <f t="shared" si="28"/>
        <v>1250</v>
      </c>
      <c r="AO7" s="70" t="str">
        <f t="shared" si="29"/>
        <v>#DIV/0!</v>
      </c>
      <c r="AP7" s="71">
        <f t="shared" si="30"/>
        <v>-1250</v>
      </c>
      <c r="AQ7" s="66">
        <f t="shared" si="31"/>
        <v>0</v>
      </c>
      <c r="AR7" s="78"/>
      <c r="AS7" s="73">
        <f t="shared" si="32"/>
        <v>0</v>
      </c>
    </row>
    <row r="8">
      <c r="A8" s="77" t="s">
        <v>32</v>
      </c>
      <c r="B8" s="65">
        <v>25000.0</v>
      </c>
      <c r="C8" s="65">
        <f t="shared" si="1"/>
        <v>22500</v>
      </c>
      <c r="D8" s="66">
        <f t="shared" si="2"/>
        <v>20270.27027</v>
      </c>
      <c r="E8" s="79">
        <v>1.0</v>
      </c>
      <c r="F8" s="66">
        <f t="shared" si="3"/>
        <v>4392</v>
      </c>
      <c r="G8" s="66">
        <f t="shared" si="4"/>
        <v>2160</v>
      </c>
      <c r="H8" s="66">
        <f t="shared" si="5"/>
        <v>648</v>
      </c>
      <c r="I8" s="66">
        <f t="shared" si="6"/>
        <v>1620</v>
      </c>
      <c r="J8" s="68">
        <v>1250.0</v>
      </c>
      <c r="K8" s="66">
        <f t="shared" si="7"/>
        <v>1013.513514</v>
      </c>
      <c r="L8" s="69">
        <f t="shared" si="8"/>
        <v>31353.78378</v>
      </c>
      <c r="M8" s="70">
        <f t="shared" si="9"/>
        <v>0.03325833333</v>
      </c>
      <c r="N8" s="71">
        <f t="shared" si="10"/>
        <v>1078.648649</v>
      </c>
      <c r="O8" s="66">
        <f t="shared" si="11"/>
        <v>32432.43243</v>
      </c>
      <c r="P8" s="78">
        <v>36000.0</v>
      </c>
      <c r="Q8" s="73">
        <f t="shared" si="12"/>
        <v>36000</v>
      </c>
      <c r="R8" s="74"/>
      <c r="S8" s="75">
        <v>4.0</v>
      </c>
      <c r="T8" s="66">
        <f t="shared" si="13"/>
        <v>16701.8</v>
      </c>
      <c r="U8" s="66">
        <f t="shared" si="14"/>
        <v>8214</v>
      </c>
      <c r="V8" s="66">
        <f t="shared" si="15"/>
        <v>2464.2</v>
      </c>
      <c r="W8" s="66">
        <f t="shared" si="16"/>
        <v>6160.5</v>
      </c>
      <c r="X8" s="68">
        <v>1250.0</v>
      </c>
      <c r="Y8" s="66">
        <f t="shared" ref="Y8:Y19" si="33">D8*$Y$3</f>
        <v>1013.513514</v>
      </c>
      <c r="Z8" s="69">
        <f t="shared" si="18"/>
        <v>116885.0946</v>
      </c>
      <c r="AA8" s="70">
        <f t="shared" si="19"/>
        <v>0.0522830168</v>
      </c>
      <c r="AB8" s="71">
        <f t="shared" si="20"/>
        <v>6448.238739</v>
      </c>
      <c r="AC8" s="66">
        <f t="shared" si="21"/>
        <v>123333.3333</v>
      </c>
      <c r="AD8" s="78">
        <v>136900.0</v>
      </c>
      <c r="AE8" s="73">
        <f t="shared" si="22"/>
        <v>34225</v>
      </c>
      <c r="AF8" s="76"/>
      <c r="AG8" s="75">
        <v>100.0</v>
      </c>
      <c r="AH8" s="66">
        <f t="shared" si="23"/>
        <v>0</v>
      </c>
      <c r="AI8" s="66">
        <f t="shared" si="24"/>
        <v>0</v>
      </c>
      <c r="AJ8" s="66">
        <f t="shared" si="25"/>
        <v>0</v>
      </c>
      <c r="AK8" s="66">
        <f t="shared" si="26"/>
        <v>0</v>
      </c>
      <c r="AL8" s="68">
        <v>1250.0</v>
      </c>
      <c r="AM8" s="66">
        <f t="shared" si="27"/>
        <v>0</v>
      </c>
      <c r="AN8" s="69">
        <f t="shared" si="28"/>
        <v>1250</v>
      </c>
      <c r="AO8" s="70" t="str">
        <f t="shared" si="29"/>
        <v>#DIV/0!</v>
      </c>
      <c r="AP8" s="71">
        <f t="shared" si="30"/>
        <v>-1250</v>
      </c>
      <c r="AQ8" s="66">
        <f t="shared" si="31"/>
        <v>0</v>
      </c>
      <c r="AR8" s="78"/>
      <c r="AS8" s="73">
        <f t="shared" si="32"/>
        <v>0</v>
      </c>
    </row>
    <row r="9">
      <c r="A9" s="77" t="s">
        <v>33</v>
      </c>
      <c r="B9" s="65">
        <v>9500.0</v>
      </c>
      <c r="C9" s="65">
        <f t="shared" si="1"/>
        <v>8550</v>
      </c>
      <c r="D9" s="66">
        <f t="shared" si="2"/>
        <v>7702.702703</v>
      </c>
      <c r="E9" s="79">
        <v>1.0</v>
      </c>
      <c r="F9" s="66">
        <f t="shared" si="3"/>
        <v>1817.8</v>
      </c>
      <c r="G9" s="66">
        <f t="shared" si="4"/>
        <v>894</v>
      </c>
      <c r="H9" s="66">
        <f t="shared" si="5"/>
        <v>268.2</v>
      </c>
      <c r="I9" s="66">
        <f t="shared" si="6"/>
        <v>670.5</v>
      </c>
      <c r="J9" s="68">
        <v>1250.0</v>
      </c>
      <c r="K9" s="66">
        <f t="shared" si="7"/>
        <v>385.1351351</v>
      </c>
      <c r="L9" s="69">
        <f t="shared" si="8"/>
        <v>12988.33784</v>
      </c>
      <c r="M9" s="70">
        <f t="shared" si="9"/>
        <v>0.03241241611</v>
      </c>
      <c r="N9" s="71">
        <f t="shared" si="10"/>
        <v>435.0855856</v>
      </c>
      <c r="O9" s="66">
        <f t="shared" si="11"/>
        <v>13423.42342</v>
      </c>
      <c r="P9" s="78">
        <v>14900.0</v>
      </c>
      <c r="Q9" s="73">
        <f t="shared" si="12"/>
        <v>14900</v>
      </c>
      <c r="R9" s="74"/>
      <c r="S9" s="75">
        <v>16.0</v>
      </c>
      <c r="T9" s="66">
        <f t="shared" si="13"/>
        <v>23790</v>
      </c>
      <c r="U9" s="66">
        <f t="shared" si="14"/>
        <v>11700</v>
      </c>
      <c r="V9" s="66">
        <f t="shared" si="15"/>
        <v>3510</v>
      </c>
      <c r="W9" s="66">
        <f t="shared" si="16"/>
        <v>8775</v>
      </c>
      <c r="X9" s="68">
        <v>1250.0</v>
      </c>
      <c r="Y9" s="66">
        <f t="shared" si="33"/>
        <v>385.1351351</v>
      </c>
      <c r="Z9" s="69">
        <f t="shared" si="18"/>
        <v>172653.3784</v>
      </c>
      <c r="AA9" s="70">
        <f t="shared" si="19"/>
        <v>0.01720384615</v>
      </c>
      <c r="AB9" s="71">
        <f t="shared" si="20"/>
        <v>3022.297297</v>
      </c>
      <c r="AC9" s="66">
        <f t="shared" si="21"/>
        <v>175675.6757</v>
      </c>
      <c r="AD9" s="78">
        <v>195000.0</v>
      </c>
      <c r="AE9" s="73">
        <f t="shared" si="22"/>
        <v>12187.5</v>
      </c>
      <c r="AF9" s="76"/>
      <c r="AG9" s="75"/>
      <c r="AH9" s="66">
        <f t="shared" si="23"/>
        <v>0</v>
      </c>
      <c r="AI9" s="66">
        <f t="shared" si="24"/>
        <v>0</v>
      </c>
      <c r="AJ9" s="66">
        <f t="shared" si="25"/>
        <v>0</v>
      </c>
      <c r="AK9" s="66">
        <f t="shared" si="26"/>
        <v>0</v>
      </c>
      <c r="AL9" s="68">
        <v>1250.0</v>
      </c>
      <c r="AM9" s="66">
        <f t="shared" si="27"/>
        <v>0</v>
      </c>
      <c r="AN9" s="69">
        <f t="shared" si="28"/>
        <v>1250</v>
      </c>
      <c r="AO9" s="70" t="str">
        <f t="shared" si="29"/>
        <v>#DIV/0!</v>
      </c>
      <c r="AP9" s="71">
        <f t="shared" si="30"/>
        <v>-1250</v>
      </c>
      <c r="AQ9" s="66">
        <f t="shared" si="31"/>
        <v>0</v>
      </c>
      <c r="AR9" s="78"/>
      <c r="AS9" s="73" t="str">
        <f t="shared" si="32"/>
        <v>#DIV/0!</v>
      </c>
    </row>
    <row r="10">
      <c r="A10" s="77" t="s">
        <v>34</v>
      </c>
      <c r="B10" s="65">
        <v>15000.0</v>
      </c>
      <c r="C10" s="65">
        <f t="shared" si="1"/>
        <v>13500</v>
      </c>
      <c r="D10" s="66">
        <f t="shared" si="2"/>
        <v>12162.16216</v>
      </c>
      <c r="E10" s="79">
        <v>1.0</v>
      </c>
      <c r="F10" s="66">
        <f t="shared" si="3"/>
        <v>2684</v>
      </c>
      <c r="G10" s="66">
        <f t="shared" si="4"/>
        <v>1320</v>
      </c>
      <c r="H10" s="66">
        <f t="shared" si="5"/>
        <v>396</v>
      </c>
      <c r="I10" s="66">
        <f t="shared" si="6"/>
        <v>990</v>
      </c>
      <c r="J10" s="68">
        <v>1250.0</v>
      </c>
      <c r="K10" s="66">
        <f t="shared" si="7"/>
        <v>608.1081081</v>
      </c>
      <c r="L10" s="69">
        <f t="shared" si="8"/>
        <v>19410.27027</v>
      </c>
      <c r="M10" s="70">
        <f t="shared" si="9"/>
        <v>0.02066363636</v>
      </c>
      <c r="N10" s="71">
        <f t="shared" si="10"/>
        <v>409.5495495</v>
      </c>
      <c r="O10" s="66">
        <f t="shared" si="11"/>
        <v>19819.81982</v>
      </c>
      <c r="P10" s="78">
        <v>22000.0</v>
      </c>
      <c r="Q10" s="73">
        <f t="shared" si="12"/>
        <v>22000</v>
      </c>
      <c r="R10" s="74"/>
      <c r="S10" s="75">
        <v>4.0</v>
      </c>
      <c r="T10" s="66">
        <f t="shared" si="13"/>
        <v>9760</v>
      </c>
      <c r="U10" s="66">
        <f t="shared" si="14"/>
        <v>4800</v>
      </c>
      <c r="V10" s="66">
        <f t="shared" si="15"/>
        <v>1440</v>
      </c>
      <c r="W10" s="66">
        <f t="shared" si="16"/>
        <v>3600</v>
      </c>
      <c r="X10" s="68">
        <v>1250.0</v>
      </c>
      <c r="Y10" s="66">
        <f t="shared" si="33"/>
        <v>608.1081081</v>
      </c>
      <c r="Z10" s="69">
        <f t="shared" si="18"/>
        <v>70106.75676</v>
      </c>
      <c r="AA10" s="70">
        <f t="shared" si="19"/>
        <v>0.02726875</v>
      </c>
      <c r="AB10" s="71">
        <f t="shared" si="20"/>
        <v>1965.315315</v>
      </c>
      <c r="AC10" s="66">
        <f t="shared" si="21"/>
        <v>72072.07207</v>
      </c>
      <c r="AD10" s="78">
        <v>80000.0</v>
      </c>
      <c r="AE10" s="73">
        <f t="shared" si="22"/>
        <v>20000</v>
      </c>
      <c r="AF10" s="76"/>
      <c r="AG10" s="75"/>
      <c r="AH10" s="66">
        <f t="shared" si="23"/>
        <v>0</v>
      </c>
      <c r="AI10" s="66">
        <f t="shared" si="24"/>
        <v>0</v>
      </c>
      <c r="AJ10" s="66">
        <f t="shared" si="25"/>
        <v>0</v>
      </c>
      <c r="AK10" s="66">
        <f t="shared" si="26"/>
        <v>0</v>
      </c>
      <c r="AL10" s="68">
        <v>1250.0</v>
      </c>
      <c r="AM10" s="66">
        <f t="shared" si="27"/>
        <v>0</v>
      </c>
      <c r="AN10" s="69">
        <f t="shared" si="28"/>
        <v>1250</v>
      </c>
      <c r="AO10" s="70" t="str">
        <f t="shared" si="29"/>
        <v>#DIV/0!</v>
      </c>
      <c r="AP10" s="71">
        <f t="shared" si="30"/>
        <v>-1250</v>
      </c>
      <c r="AQ10" s="66">
        <f t="shared" si="31"/>
        <v>0</v>
      </c>
      <c r="AR10" s="78"/>
      <c r="AS10" s="73" t="str">
        <f t="shared" si="32"/>
        <v>#DIV/0!</v>
      </c>
    </row>
    <row r="11">
      <c r="A11" s="77" t="s">
        <v>35</v>
      </c>
      <c r="B11" s="65">
        <v>18000.0</v>
      </c>
      <c r="C11" s="65">
        <f t="shared" si="1"/>
        <v>16200</v>
      </c>
      <c r="D11" s="66">
        <f t="shared" si="2"/>
        <v>14594.59459</v>
      </c>
      <c r="E11" s="79">
        <v>1.0</v>
      </c>
      <c r="F11" s="66">
        <f t="shared" si="3"/>
        <v>3184.2</v>
      </c>
      <c r="G11" s="66">
        <f t="shared" si="4"/>
        <v>1566</v>
      </c>
      <c r="H11" s="66">
        <f t="shared" si="5"/>
        <v>469.8</v>
      </c>
      <c r="I11" s="66">
        <f t="shared" si="6"/>
        <v>1174.5</v>
      </c>
      <c r="J11" s="68">
        <v>1250.0</v>
      </c>
      <c r="K11" s="66">
        <f t="shared" si="7"/>
        <v>729.7297297</v>
      </c>
      <c r="L11" s="69">
        <f t="shared" si="8"/>
        <v>22968.82432</v>
      </c>
      <c r="M11" s="70">
        <f t="shared" si="9"/>
        <v>0.02316494253</v>
      </c>
      <c r="N11" s="71">
        <f t="shared" si="10"/>
        <v>544.6891892</v>
      </c>
      <c r="O11" s="66">
        <f t="shared" si="11"/>
        <v>23513.51351</v>
      </c>
      <c r="P11" s="78">
        <v>26100.0</v>
      </c>
      <c r="Q11" s="73">
        <f t="shared" si="12"/>
        <v>26100</v>
      </c>
      <c r="R11" s="74"/>
      <c r="S11" s="75"/>
      <c r="T11" s="66">
        <f t="shared" si="13"/>
        <v>0</v>
      </c>
      <c r="U11" s="66">
        <f t="shared" si="14"/>
        <v>0</v>
      </c>
      <c r="V11" s="66">
        <f t="shared" si="15"/>
        <v>0</v>
      </c>
      <c r="W11" s="66">
        <f t="shared" si="16"/>
        <v>0</v>
      </c>
      <c r="X11" s="68">
        <v>1250.0</v>
      </c>
      <c r="Y11" s="66">
        <f t="shared" si="33"/>
        <v>729.7297297</v>
      </c>
      <c r="Z11" s="69">
        <f t="shared" si="18"/>
        <v>1979.72973</v>
      </c>
      <c r="AA11" s="70" t="str">
        <f t="shared" si="19"/>
        <v>#DIV/0!</v>
      </c>
      <c r="AB11" s="71">
        <f t="shared" si="20"/>
        <v>-1979.72973</v>
      </c>
      <c r="AC11" s="66">
        <f t="shared" si="21"/>
        <v>0</v>
      </c>
      <c r="AD11" s="78"/>
      <c r="AE11" s="73" t="str">
        <f t="shared" si="22"/>
        <v>#DIV/0!</v>
      </c>
      <c r="AF11" s="76"/>
      <c r="AG11" s="75"/>
      <c r="AH11" s="66">
        <f t="shared" si="23"/>
        <v>0</v>
      </c>
      <c r="AI11" s="66">
        <f t="shared" si="24"/>
        <v>0</v>
      </c>
      <c r="AJ11" s="66">
        <f t="shared" si="25"/>
        <v>0</v>
      </c>
      <c r="AK11" s="66">
        <f t="shared" si="26"/>
        <v>0</v>
      </c>
      <c r="AL11" s="68">
        <v>1250.0</v>
      </c>
      <c r="AM11" s="66">
        <f t="shared" si="27"/>
        <v>0</v>
      </c>
      <c r="AN11" s="69">
        <f t="shared" si="28"/>
        <v>1250</v>
      </c>
      <c r="AO11" s="70" t="str">
        <f t="shared" si="29"/>
        <v>#DIV/0!</v>
      </c>
      <c r="AP11" s="71">
        <f t="shared" si="30"/>
        <v>-1250</v>
      </c>
      <c r="AQ11" s="66">
        <f t="shared" si="31"/>
        <v>0</v>
      </c>
      <c r="AR11" s="78"/>
      <c r="AS11" s="73" t="str">
        <f t="shared" si="32"/>
        <v>#DIV/0!</v>
      </c>
    </row>
    <row r="12">
      <c r="A12" s="77" t="s">
        <v>36</v>
      </c>
      <c r="B12" s="65">
        <v>73000.0</v>
      </c>
      <c r="C12" s="65">
        <f t="shared" si="1"/>
        <v>65700</v>
      </c>
      <c r="D12" s="66">
        <f t="shared" si="2"/>
        <v>59189.18919</v>
      </c>
      <c r="E12" s="79">
        <v>1.0</v>
      </c>
      <c r="F12" s="66">
        <f t="shared" si="3"/>
        <v>12566</v>
      </c>
      <c r="G12" s="66">
        <f t="shared" si="4"/>
        <v>6180</v>
      </c>
      <c r="H12" s="66">
        <f t="shared" si="5"/>
        <v>1854</v>
      </c>
      <c r="I12" s="66">
        <f t="shared" si="6"/>
        <v>4635</v>
      </c>
      <c r="J12" s="68">
        <v>1250.0</v>
      </c>
      <c r="K12" s="66">
        <f t="shared" si="7"/>
        <v>2959.459459</v>
      </c>
      <c r="L12" s="69">
        <f t="shared" si="8"/>
        <v>88633.64865</v>
      </c>
      <c r="M12" s="70">
        <f t="shared" si="9"/>
        <v>0.04482184466</v>
      </c>
      <c r="N12" s="71">
        <f t="shared" si="10"/>
        <v>4159.144144</v>
      </c>
      <c r="O12" s="66">
        <f t="shared" si="11"/>
        <v>92792.79279</v>
      </c>
      <c r="P12" s="78">
        <v>103000.0</v>
      </c>
      <c r="Q12" s="73">
        <f t="shared" si="12"/>
        <v>103000</v>
      </c>
      <c r="R12" s="74"/>
      <c r="S12" s="75"/>
      <c r="T12" s="66">
        <f t="shared" si="13"/>
        <v>0</v>
      </c>
      <c r="U12" s="66">
        <f t="shared" si="14"/>
        <v>0</v>
      </c>
      <c r="V12" s="66">
        <f t="shared" si="15"/>
        <v>0</v>
      </c>
      <c r="W12" s="66">
        <f t="shared" si="16"/>
        <v>0</v>
      </c>
      <c r="X12" s="68">
        <v>1250.0</v>
      </c>
      <c r="Y12" s="66">
        <f t="shared" si="33"/>
        <v>2959.459459</v>
      </c>
      <c r="Z12" s="69">
        <f t="shared" si="18"/>
        <v>4209.459459</v>
      </c>
      <c r="AA12" s="70" t="str">
        <f t="shared" si="19"/>
        <v>#DIV/0!</v>
      </c>
      <c r="AB12" s="71">
        <f t="shared" si="20"/>
        <v>-4209.459459</v>
      </c>
      <c r="AC12" s="66">
        <f t="shared" si="21"/>
        <v>0</v>
      </c>
      <c r="AD12" s="78"/>
      <c r="AE12" s="73" t="str">
        <f t="shared" si="22"/>
        <v>#DIV/0!</v>
      </c>
      <c r="AF12" s="76"/>
      <c r="AG12" s="75"/>
      <c r="AH12" s="66">
        <f t="shared" si="23"/>
        <v>0</v>
      </c>
      <c r="AI12" s="66">
        <f t="shared" si="24"/>
        <v>0</v>
      </c>
      <c r="AJ12" s="66">
        <f t="shared" si="25"/>
        <v>0</v>
      </c>
      <c r="AK12" s="66">
        <f t="shared" si="26"/>
        <v>0</v>
      </c>
      <c r="AL12" s="68">
        <v>1250.0</v>
      </c>
      <c r="AM12" s="66">
        <f t="shared" si="27"/>
        <v>0</v>
      </c>
      <c r="AN12" s="69">
        <f t="shared" si="28"/>
        <v>1250</v>
      </c>
      <c r="AO12" s="70" t="str">
        <f t="shared" si="29"/>
        <v>#DIV/0!</v>
      </c>
      <c r="AP12" s="71">
        <f t="shared" si="30"/>
        <v>-1250</v>
      </c>
      <c r="AQ12" s="66">
        <f t="shared" si="31"/>
        <v>0</v>
      </c>
      <c r="AR12" s="78"/>
      <c r="AS12" s="73" t="str">
        <f t="shared" si="32"/>
        <v>#DIV/0!</v>
      </c>
    </row>
    <row r="13">
      <c r="A13" s="77" t="s">
        <v>37</v>
      </c>
      <c r="B13" s="65">
        <v>5700.0</v>
      </c>
      <c r="C13" s="65">
        <f t="shared" si="1"/>
        <v>5130</v>
      </c>
      <c r="D13" s="66">
        <f t="shared" si="2"/>
        <v>4621.621622</v>
      </c>
      <c r="E13" s="79">
        <v>1.0</v>
      </c>
      <c r="F13" s="66">
        <f t="shared" si="3"/>
        <v>1281</v>
      </c>
      <c r="G13" s="66">
        <f t="shared" si="4"/>
        <v>630</v>
      </c>
      <c r="H13" s="66">
        <f t="shared" si="5"/>
        <v>189</v>
      </c>
      <c r="I13" s="66">
        <f t="shared" si="6"/>
        <v>472.5</v>
      </c>
      <c r="J13" s="68">
        <v>1250.0</v>
      </c>
      <c r="K13" s="66">
        <f t="shared" si="7"/>
        <v>231.0810811</v>
      </c>
      <c r="L13" s="69">
        <f t="shared" si="8"/>
        <v>8675.202703</v>
      </c>
      <c r="M13" s="70">
        <f t="shared" si="9"/>
        <v>0.08290714286</v>
      </c>
      <c r="N13" s="71">
        <f t="shared" si="10"/>
        <v>784.2567568</v>
      </c>
      <c r="O13" s="66">
        <f t="shared" si="11"/>
        <v>9459.459459</v>
      </c>
      <c r="P13" s="78">
        <v>10500.0</v>
      </c>
      <c r="Q13" s="73">
        <f t="shared" si="12"/>
        <v>10500</v>
      </c>
      <c r="R13" s="74"/>
      <c r="S13" s="75">
        <v>25.0</v>
      </c>
      <c r="T13" s="66">
        <f t="shared" si="13"/>
        <v>23119</v>
      </c>
      <c r="U13" s="66">
        <f t="shared" si="14"/>
        <v>11370</v>
      </c>
      <c r="V13" s="66">
        <f t="shared" si="15"/>
        <v>3411</v>
      </c>
      <c r="W13" s="66">
        <f t="shared" si="16"/>
        <v>8527.5</v>
      </c>
      <c r="X13" s="68">
        <v>1250.0</v>
      </c>
      <c r="Y13" s="66">
        <f t="shared" si="33"/>
        <v>231.0810811</v>
      </c>
      <c r="Z13" s="69">
        <f t="shared" si="18"/>
        <v>163449.1216</v>
      </c>
      <c r="AA13" s="70">
        <f t="shared" si="19"/>
        <v>0.04259353562</v>
      </c>
      <c r="AB13" s="71">
        <f t="shared" si="20"/>
        <v>7271.599099</v>
      </c>
      <c r="AC13" s="66">
        <f t="shared" si="21"/>
        <v>170720.7207</v>
      </c>
      <c r="AD13" s="78">
        <v>189500.0</v>
      </c>
      <c r="AE13" s="73">
        <f t="shared" si="22"/>
        <v>7580</v>
      </c>
      <c r="AF13" s="76"/>
      <c r="AG13" s="75">
        <v>300.0</v>
      </c>
      <c r="AH13" s="66">
        <f t="shared" si="23"/>
        <v>0</v>
      </c>
      <c r="AI13" s="66">
        <f t="shared" si="24"/>
        <v>0</v>
      </c>
      <c r="AJ13" s="66">
        <f t="shared" si="25"/>
        <v>0</v>
      </c>
      <c r="AK13" s="66">
        <f t="shared" si="26"/>
        <v>0</v>
      </c>
      <c r="AL13" s="68">
        <v>1250.0</v>
      </c>
      <c r="AM13" s="66">
        <f t="shared" si="27"/>
        <v>0</v>
      </c>
      <c r="AN13" s="69">
        <f t="shared" si="28"/>
        <v>1250</v>
      </c>
      <c r="AO13" s="70" t="str">
        <f t="shared" si="29"/>
        <v>#DIV/0!</v>
      </c>
      <c r="AP13" s="71">
        <f t="shared" si="30"/>
        <v>-1250</v>
      </c>
      <c r="AQ13" s="66">
        <f t="shared" si="31"/>
        <v>0</v>
      </c>
      <c r="AR13" s="78"/>
      <c r="AS13" s="73">
        <f t="shared" si="32"/>
        <v>0</v>
      </c>
    </row>
    <row r="14">
      <c r="A14" s="77" t="s">
        <v>38</v>
      </c>
      <c r="B14" s="65">
        <v>3500.0</v>
      </c>
      <c r="C14" s="65">
        <f t="shared" si="1"/>
        <v>3150</v>
      </c>
      <c r="D14" s="66">
        <f t="shared" si="2"/>
        <v>2837.837838</v>
      </c>
      <c r="E14" s="79">
        <v>5.0</v>
      </c>
      <c r="F14" s="66">
        <f t="shared" si="3"/>
        <v>3050</v>
      </c>
      <c r="G14" s="66">
        <f t="shared" si="4"/>
        <v>1500</v>
      </c>
      <c r="H14" s="66">
        <f t="shared" si="5"/>
        <v>450</v>
      </c>
      <c r="I14" s="66">
        <f t="shared" si="6"/>
        <v>1125</v>
      </c>
      <c r="J14" s="68">
        <v>1250.0</v>
      </c>
      <c r="K14" s="66">
        <f t="shared" si="7"/>
        <v>141.8918919</v>
      </c>
      <c r="L14" s="69">
        <f t="shared" si="8"/>
        <v>21706.08108</v>
      </c>
      <c r="M14" s="70">
        <f t="shared" si="9"/>
        <v>0.03625</v>
      </c>
      <c r="N14" s="71">
        <f t="shared" si="10"/>
        <v>816.4414414</v>
      </c>
      <c r="O14" s="66">
        <f t="shared" si="11"/>
        <v>22522.52252</v>
      </c>
      <c r="P14" s="78">
        <v>25000.0</v>
      </c>
      <c r="Q14" s="73">
        <f t="shared" si="12"/>
        <v>5000</v>
      </c>
      <c r="R14" s="74"/>
      <c r="S14" s="75"/>
      <c r="T14" s="66">
        <f t="shared" si="13"/>
        <v>0</v>
      </c>
      <c r="U14" s="66">
        <f t="shared" si="14"/>
        <v>0</v>
      </c>
      <c r="V14" s="66">
        <f t="shared" si="15"/>
        <v>0</v>
      </c>
      <c r="W14" s="66">
        <f t="shared" si="16"/>
        <v>0</v>
      </c>
      <c r="X14" s="68">
        <v>1250.0</v>
      </c>
      <c r="Y14" s="66">
        <f t="shared" si="33"/>
        <v>141.8918919</v>
      </c>
      <c r="Z14" s="69">
        <f t="shared" si="18"/>
        <v>1391.891892</v>
      </c>
      <c r="AA14" s="70" t="str">
        <f t="shared" si="19"/>
        <v>#DIV/0!</v>
      </c>
      <c r="AB14" s="71">
        <f t="shared" si="20"/>
        <v>-1391.891892</v>
      </c>
      <c r="AC14" s="66">
        <f t="shared" si="21"/>
        <v>0</v>
      </c>
      <c r="AD14" s="78"/>
      <c r="AE14" s="73" t="str">
        <f t="shared" si="22"/>
        <v>#DIV/0!</v>
      </c>
      <c r="AF14" s="76"/>
      <c r="AG14" s="75">
        <v>500.0</v>
      </c>
      <c r="AH14" s="66">
        <f t="shared" si="23"/>
        <v>0</v>
      </c>
      <c r="AI14" s="66">
        <f t="shared" si="24"/>
        <v>0</v>
      </c>
      <c r="AJ14" s="66">
        <f t="shared" si="25"/>
        <v>0</v>
      </c>
      <c r="AK14" s="66">
        <f t="shared" si="26"/>
        <v>0</v>
      </c>
      <c r="AL14" s="68">
        <v>1250.0</v>
      </c>
      <c r="AM14" s="66">
        <f t="shared" si="27"/>
        <v>0</v>
      </c>
      <c r="AN14" s="69">
        <f t="shared" si="28"/>
        <v>1250</v>
      </c>
      <c r="AO14" s="70" t="str">
        <f t="shared" si="29"/>
        <v>#DIV/0!</v>
      </c>
      <c r="AP14" s="71">
        <f t="shared" si="30"/>
        <v>-1250</v>
      </c>
      <c r="AQ14" s="66">
        <f t="shared" si="31"/>
        <v>0</v>
      </c>
      <c r="AR14" s="78"/>
      <c r="AS14" s="73">
        <f t="shared" si="32"/>
        <v>0</v>
      </c>
    </row>
    <row r="15">
      <c r="A15" s="77" t="s">
        <v>39</v>
      </c>
      <c r="B15" s="65">
        <v>3500.0</v>
      </c>
      <c r="C15" s="65">
        <f t="shared" si="1"/>
        <v>3150</v>
      </c>
      <c r="D15" s="66">
        <f t="shared" si="2"/>
        <v>2837.837838</v>
      </c>
      <c r="E15" s="79">
        <v>3.0</v>
      </c>
      <c r="F15" s="66">
        <f t="shared" si="3"/>
        <v>1939.8</v>
      </c>
      <c r="G15" s="66">
        <f t="shared" si="4"/>
        <v>954</v>
      </c>
      <c r="H15" s="66">
        <f t="shared" si="5"/>
        <v>286.2</v>
      </c>
      <c r="I15" s="66">
        <f t="shared" si="6"/>
        <v>715.5</v>
      </c>
      <c r="J15" s="68">
        <v>1250.0</v>
      </c>
      <c r="K15" s="66">
        <f t="shared" si="7"/>
        <v>141.8918919</v>
      </c>
      <c r="L15" s="69">
        <f t="shared" si="8"/>
        <v>13800.90541</v>
      </c>
      <c r="M15" s="70">
        <f t="shared" si="9"/>
        <v>0.03654056604</v>
      </c>
      <c r="N15" s="71">
        <f t="shared" si="10"/>
        <v>523.4189189</v>
      </c>
      <c r="O15" s="66">
        <f t="shared" si="11"/>
        <v>14324.32432</v>
      </c>
      <c r="P15" s="78">
        <v>15900.0</v>
      </c>
      <c r="Q15" s="73">
        <f t="shared" si="12"/>
        <v>5300</v>
      </c>
      <c r="R15" s="74"/>
      <c r="S15" s="75"/>
      <c r="T15" s="66">
        <f t="shared" si="13"/>
        <v>0</v>
      </c>
      <c r="U15" s="66">
        <f t="shared" si="14"/>
        <v>0</v>
      </c>
      <c r="V15" s="66">
        <f t="shared" si="15"/>
        <v>0</v>
      </c>
      <c r="W15" s="66">
        <f t="shared" si="16"/>
        <v>0</v>
      </c>
      <c r="X15" s="68">
        <v>1250.0</v>
      </c>
      <c r="Y15" s="66">
        <f t="shared" si="33"/>
        <v>141.8918919</v>
      </c>
      <c r="Z15" s="69">
        <f t="shared" si="18"/>
        <v>1391.891892</v>
      </c>
      <c r="AA15" s="70" t="str">
        <f t="shared" si="19"/>
        <v>#DIV/0!</v>
      </c>
      <c r="AB15" s="71">
        <f t="shared" si="20"/>
        <v>-1391.891892</v>
      </c>
      <c r="AC15" s="66">
        <f t="shared" si="21"/>
        <v>0</v>
      </c>
      <c r="AD15" s="78"/>
      <c r="AE15" s="73" t="str">
        <f t="shared" si="22"/>
        <v>#DIV/0!</v>
      </c>
      <c r="AF15" s="76"/>
      <c r="AG15" s="75">
        <v>500.0</v>
      </c>
      <c r="AH15" s="66">
        <f t="shared" si="23"/>
        <v>0</v>
      </c>
      <c r="AI15" s="66">
        <f t="shared" si="24"/>
        <v>0</v>
      </c>
      <c r="AJ15" s="66">
        <f t="shared" si="25"/>
        <v>0</v>
      </c>
      <c r="AK15" s="66">
        <f t="shared" si="26"/>
        <v>0</v>
      </c>
      <c r="AL15" s="68">
        <v>1250.0</v>
      </c>
      <c r="AM15" s="66">
        <f t="shared" si="27"/>
        <v>0</v>
      </c>
      <c r="AN15" s="69">
        <f t="shared" si="28"/>
        <v>1250</v>
      </c>
      <c r="AO15" s="70" t="str">
        <f t="shared" si="29"/>
        <v>#DIV/0!</v>
      </c>
      <c r="AP15" s="71">
        <f t="shared" si="30"/>
        <v>-1250</v>
      </c>
      <c r="AQ15" s="66">
        <f t="shared" si="31"/>
        <v>0</v>
      </c>
      <c r="AR15" s="78"/>
      <c r="AS15" s="73">
        <f t="shared" si="32"/>
        <v>0</v>
      </c>
    </row>
    <row r="16">
      <c r="A16" s="80" t="s">
        <v>40</v>
      </c>
      <c r="B16" s="81">
        <f>B15+2000</f>
        <v>5500</v>
      </c>
      <c r="C16" s="65">
        <f t="shared" si="1"/>
        <v>4950</v>
      </c>
      <c r="D16" s="66">
        <f t="shared" si="2"/>
        <v>4459.459459</v>
      </c>
      <c r="E16" s="67">
        <v>1.0</v>
      </c>
      <c r="F16" s="66">
        <f t="shared" si="3"/>
        <v>1281</v>
      </c>
      <c r="G16" s="66">
        <f t="shared" si="4"/>
        <v>630</v>
      </c>
      <c r="H16" s="66">
        <f t="shared" si="5"/>
        <v>189</v>
      </c>
      <c r="I16" s="66">
        <f t="shared" si="6"/>
        <v>472.5</v>
      </c>
      <c r="J16" s="68">
        <v>1250.0</v>
      </c>
      <c r="K16" s="66">
        <f t="shared" si="7"/>
        <v>222.972973</v>
      </c>
      <c r="L16" s="69">
        <f t="shared" si="8"/>
        <v>8504.932432</v>
      </c>
      <c r="M16" s="70">
        <f t="shared" si="9"/>
        <v>0.1009071429</v>
      </c>
      <c r="N16" s="71">
        <f t="shared" si="10"/>
        <v>954.527027</v>
      </c>
      <c r="O16" s="66">
        <f t="shared" si="11"/>
        <v>9459.459459</v>
      </c>
      <c r="P16" s="78">
        <v>10500.0</v>
      </c>
      <c r="Q16" s="73">
        <f t="shared" si="12"/>
        <v>10500</v>
      </c>
      <c r="R16" s="74"/>
      <c r="S16" s="75">
        <v>50.0</v>
      </c>
      <c r="T16" s="66">
        <f t="shared" si="13"/>
        <v>0</v>
      </c>
      <c r="U16" s="66">
        <f t="shared" si="14"/>
        <v>0</v>
      </c>
      <c r="V16" s="66">
        <f t="shared" si="15"/>
        <v>0</v>
      </c>
      <c r="W16" s="66">
        <f t="shared" si="16"/>
        <v>0</v>
      </c>
      <c r="X16" s="68">
        <v>1250.0</v>
      </c>
      <c r="Y16" s="66">
        <f t="shared" si="33"/>
        <v>222.972973</v>
      </c>
      <c r="Z16" s="69">
        <f t="shared" si="18"/>
        <v>224445.9459</v>
      </c>
      <c r="AA16" s="70" t="str">
        <f t="shared" si="19"/>
        <v>#DIV/0!</v>
      </c>
      <c r="AB16" s="71">
        <f t="shared" si="20"/>
        <v>-224445.9459</v>
      </c>
      <c r="AC16" s="66">
        <f t="shared" si="21"/>
        <v>0</v>
      </c>
      <c r="AD16" s="78"/>
      <c r="AE16" s="73">
        <f t="shared" si="22"/>
        <v>0</v>
      </c>
      <c r="AF16" s="76"/>
      <c r="AG16" s="75">
        <v>500.0</v>
      </c>
      <c r="AH16" s="66">
        <f t="shared" si="23"/>
        <v>0</v>
      </c>
      <c r="AI16" s="66">
        <f t="shared" si="24"/>
        <v>0</v>
      </c>
      <c r="AJ16" s="66">
        <f t="shared" si="25"/>
        <v>0</v>
      </c>
      <c r="AK16" s="66">
        <f t="shared" si="26"/>
        <v>0</v>
      </c>
      <c r="AL16" s="68">
        <v>1250.0</v>
      </c>
      <c r="AM16" s="66">
        <f t="shared" si="27"/>
        <v>0</v>
      </c>
      <c r="AN16" s="69">
        <f t="shared" si="28"/>
        <v>1250</v>
      </c>
      <c r="AO16" s="70" t="str">
        <f t="shared" si="29"/>
        <v>#DIV/0!</v>
      </c>
      <c r="AP16" s="71">
        <f t="shared" si="30"/>
        <v>-1250</v>
      </c>
      <c r="AQ16" s="66">
        <f t="shared" si="31"/>
        <v>0</v>
      </c>
      <c r="AR16" s="78"/>
      <c r="AS16" s="73">
        <f t="shared" si="32"/>
        <v>0</v>
      </c>
    </row>
    <row r="17">
      <c r="A17" s="77" t="s">
        <v>41</v>
      </c>
      <c r="B17" s="82">
        <f>B5+500</f>
        <v>3700</v>
      </c>
      <c r="C17" s="65">
        <f t="shared" si="1"/>
        <v>3330</v>
      </c>
      <c r="D17" s="66">
        <f t="shared" si="2"/>
        <v>3000</v>
      </c>
      <c r="E17" s="67">
        <v>5.0</v>
      </c>
      <c r="F17" s="66">
        <f t="shared" si="3"/>
        <v>3294</v>
      </c>
      <c r="G17" s="66">
        <f t="shared" si="4"/>
        <v>1620</v>
      </c>
      <c r="H17" s="66">
        <f t="shared" si="5"/>
        <v>486</v>
      </c>
      <c r="I17" s="66">
        <f t="shared" si="6"/>
        <v>1215</v>
      </c>
      <c r="J17" s="68">
        <v>1250.0</v>
      </c>
      <c r="K17" s="66">
        <f t="shared" si="7"/>
        <v>150</v>
      </c>
      <c r="L17" s="69">
        <f t="shared" si="8"/>
        <v>23015</v>
      </c>
      <c r="M17" s="70">
        <f t="shared" si="9"/>
        <v>0.05382777778</v>
      </c>
      <c r="N17" s="71">
        <f t="shared" si="10"/>
        <v>1309.324324</v>
      </c>
      <c r="O17" s="66">
        <f t="shared" si="11"/>
        <v>24324.32432</v>
      </c>
      <c r="P17" s="78">
        <v>27000.0</v>
      </c>
      <c r="Q17" s="73">
        <f t="shared" si="12"/>
        <v>5400</v>
      </c>
      <c r="R17" s="74"/>
      <c r="S17" s="75">
        <v>50.0</v>
      </c>
      <c r="T17" s="66">
        <f t="shared" si="13"/>
        <v>30378</v>
      </c>
      <c r="U17" s="66">
        <f t="shared" si="14"/>
        <v>14940</v>
      </c>
      <c r="V17" s="66">
        <f t="shared" si="15"/>
        <v>4482</v>
      </c>
      <c r="W17" s="66">
        <f t="shared" si="16"/>
        <v>11205</v>
      </c>
      <c r="X17" s="68">
        <v>1250.0</v>
      </c>
      <c r="Y17" s="66">
        <f t="shared" si="33"/>
        <v>150</v>
      </c>
      <c r="Z17" s="69">
        <f t="shared" si="18"/>
        <v>212405</v>
      </c>
      <c r="AA17" s="70">
        <f t="shared" si="19"/>
        <v>0.05313433735</v>
      </c>
      <c r="AB17" s="71">
        <f t="shared" si="20"/>
        <v>11919.32432</v>
      </c>
      <c r="AC17" s="66">
        <f t="shared" si="21"/>
        <v>224324.3243</v>
      </c>
      <c r="AD17" s="78">
        <v>249000.0</v>
      </c>
      <c r="AE17" s="73">
        <f t="shared" si="22"/>
        <v>4980</v>
      </c>
      <c r="AF17" s="76"/>
      <c r="AG17" s="75">
        <v>500.0</v>
      </c>
      <c r="AH17" s="66">
        <f t="shared" si="23"/>
        <v>0</v>
      </c>
      <c r="AI17" s="66">
        <f t="shared" si="24"/>
        <v>0</v>
      </c>
      <c r="AJ17" s="66">
        <f t="shared" si="25"/>
        <v>0</v>
      </c>
      <c r="AK17" s="66">
        <f t="shared" si="26"/>
        <v>0</v>
      </c>
      <c r="AL17" s="68">
        <v>1250.0</v>
      </c>
      <c r="AM17" s="66">
        <f t="shared" si="27"/>
        <v>0</v>
      </c>
      <c r="AN17" s="69">
        <f t="shared" si="28"/>
        <v>1250</v>
      </c>
      <c r="AO17" s="70" t="str">
        <f t="shared" si="29"/>
        <v>#DIV/0!</v>
      </c>
      <c r="AP17" s="71">
        <f t="shared" si="30"/>
        <v>-1250</v>
      </c>
      <c r="AQ17" s="66">
        <f t="shared" si="31"/>
        <v>0</v>
      </c>
      <c r="AR17" s="78"/>
      <c r="AS17" s="73">
        <f t="shared" si="32"/>
        <v>0</v>
      </c>
    </row>
    <row r="18">
      <c r="A18" s="77" t="s">
        <v>42</v>
      </c>
      <c r="B18" s="82">
        <f>B5+1000</f>
        <v>4200</v>
      </c>
      <c r="C18" s="65">
        <f t="shared" si="1"/>
        <v>3780</v>
      </c>
      <c r="D18" s="66">
        <f t="shared" si="2"/>
        <v>3405.405405</v>
      </c>
      <c r="E18" s="79">
        <v>5.0</v>
      </c>
      <c r="F18" s="66">
        <f t="shared" si="3"/>
        <v>5246</v>
      </c>
      <c r="G18" s="66">
        <f t="shared" si="4"/>
        <v>2580</v>
      </c>
      <c r="H18" s="66">
        <f t="shared" si="5"/>
        <v>774</v>
      </c>
      <c r="I18" s="66">
        <f t="shared" si="6"/>
        <v>1935</v>
      </c>
      <c r="J18" s="68">
        <v>1250.0</v>
      </c>
      <c r="K18" s="66">
        <f t="shared" si="7"/>
        <v>170.2702703</v>
      </c>
      <c r="L18" s="69">
        <f t="shared" si="8"/>
        <v>28982.2973</v>
      </c>
      <c r="M18" s="70">
        <f t="shared" si="9"/>
        <v>0.2518523256</v>
      </c>
      <c r="N18" s="71">
        <f t="shared" si="10"/>
        <v>9756.441441</v>
      </c>
      <c r="O18" s="66">
        <f t="shared" si="11"/>
        <v>38738.73874</v>
      </c>
      <c r="P18" s="78">
        <v>43000.0</v>
      </c>
      <c r="Q18" s="73">
        <f t="shared" si="12"/>
        <v>8600</v>
      </c>
      <c r="R18" s="74"/>
      <c r="S18" s="75">
        <v>50.0</v>
      </c>
      <c r="T18" s="66">
        <f t="shared" si="13"/>
        <v>34038</v>
      </c>
      <c r="U18" s="66">
        <f t="shared" si="14"/>
        <v>16740</v>
      </c>
      <c r="V18" s="66">
        <f t="shared" si="15"/>
        <v>5022</v>
      </c>
      <c r="W18" s="66">
        <f t="shared" si="16"/>
        <v>12555</v>
      </c>
      <c r="X18" s="68">
        <v>1250.0</v>
      </c>
      <c r="Y18" s="66">
        <f t="shared" si="33"/>
        <v>170.2702703</v>
      </c>
      <c r="Z18" s="69">
        <f t="shared" si="18"/>
        <v>240045.5405</v>
      </c>
      <c r="AA18" s="70">
        <f t="shared" si="19"/>
        <v>0.04498010753</v>
      </c>
      <c r="AB18" s="71">
        <f t="shared" si="20"/>
        <v>11305.81081</v>
      </c>
      <c r="AC18" s="66">
        <f t="shared" si="21"/>
        <v>251351.3514</v>
      </c>
      <c r="AD18" s="78">
        <v>279000.0</v>
      </c>
      <c r="AE18" s="73">
        <f t="shared" si="22"/>
        <v>5580</v>
      </c>
      <c r="AF18" s="76"/>
      <c r="AG18" s="75">
        <v>500.0</v>
      </c>
      <c r="AH18" s="66">
        <f t="shared" si="23"/>
        <v>0</v>
      </c>
      <c r="AI18" s="66">
        <f t="shared" si="24"/>
        <v>0</v>
      </c>
      <c r="AJ18" s="66">
        <f t="shared" si="25"/>
        <v>0</v>
      </c>
      <c r="AK18" s="66">
        <f t="shared" si="26"/>
        <v>0</v>
      </c>
      <c r="AL18" s="68">
        <v>1250.0</v>
      </c>
      <c r="AM18" s="66">
        <f t="shared" si="27"/>
        <v>0</v>
      </c>
      <c r="AN18" s="69">
        <f t="shared" si="28"/>
        <v>1250</v>
      </c>
      <c r="AO18" s="70" t="str">
        <f t="shared" si="29"/>
        <v>#DIV/0!</v>
      </c>
      <c r="AP18" s="71">
        <f t="shared" si="30"/>
        <v>-1250</v>
      </c>
      <c r="AQ18" s="66">
        <f t="shared" si="31"/>
        <v>0</v>
      </c>
      <c r="AR18" s="78"/>
      <c r="AS18" s="73">
        <f t="shared" si="32"/>
        <v>0</v>
      </c>
    </row>
    <row r="19">
      <c r="A19" s="77" t="s">
        <v>43</v>
      </c>
      <c r="B19" s="65">
        <v>35000.0</v>
      </c>
      <c r="C19" s="65">
        <f t="shared" si="1"/>
        <v>31500</v>
      </c>
      <c r="D19" s="66">
        <f t="shared" si="2"/>
        <v>28378.37838</v>
      </c>
      <c r="E19" s="79">
        <v>1.0</v>
      </c>
      <c r="F19" s="66">
        <f t="shared" si="3"/>
        <v>6588</v>
      </c>
      <c r="G19" s="66">
        <f t="shared" si="4"/>
        <v>3240</v>
      </c>
      <c r="H19" s="66">
        <f t="shared" si="5"/>
        <v>972</v>
      </c>
      <c r="I19" s="66">
        <f t="shared" si="6"/>
        <v>2430</v>
      </c>
      <c r="J19" s="68">
        <v>1250.0</v>
      </c>
      <c r="K19" s="66">
        <f t="shared" si="7"/>
        <v>1418.918919</v>
      </c>
      <c r="L19" s="69">
        <f t="shared" si="8"/>
        <v>44277.2973</v>
      </c>
      <c r="M19" s="70">
        <f t="shared" si="9"/>
        <v>0.08985555556</v>
      </c>
      <c r="N19" s="71">
        <f t="shared" si="10"/>
        <v>4371.351351</v>
      </c>
      <c r="O19" s="66">
        <f t="shared" si="11"/>
        <v>48648.64865</v>
      </c>
      <c r="P19" s="78">
        <v>54000.0</v>
      </c>
      <c r="Q19" s="73">
        <f t="shared" si="12"/>
        <v>54000</v>
      </c>
      <c r="R19" s="74"/>
      <c r="S19" s="75"/>
      <c r="T19" s="66">
        <f t="shared" si="13"/>
        <v>0</v>
      </c>
      <c r="U19" s="66">
        <f t="shared" si="14"/>
        <v>0</v>
      </c>
      <c r="V19" s="66">
        <f t="shared" si="15"/>
        <v>0</v>
      </c>
      <c r="W19" s="66">
        <f t="shared" si="16"/>
        <v>0</v>
      </c>
      <c r="X19" s="68">
        <v>1250.0</v>
      </c>
      <c r="Y19" s="66">
        <f t="shared" si="33"/>
        <v>1418.918919</v>
      </c>
      <c r="Z19" s="69">
        <f t="shared" si="18"/>
        <v>2668.918919</v>
      </c>
      <c r="AA19" s="70" t="str">
        <f t="shared" si="19"/>
        <v>#DIV/0!</v>
      </c>
      <c r="AB19" s="71">
        <f t="shared" si="20"/>
        <v>-2668.918919</v>
      </c>
      <c r="AC19" s="66">
        <f t="shared" si="21"/>
        <v>0</v>
      </c>
      <c r="AD19" s="78"/>
      <c r="AE19" s="73" t="str">
        <f t="shared" si="22"/>
        <v>#DIV/0!</v>
      </c>
      <c r="AF19" s="76"/>
      <c r="AG19" s="75"/>
      <c r="AH19" s="66">
        <f t="shared" si="23"/>
        <v>0</v>
      </c>
      <c r="AI19" s="66">
        <f t="shared" si="24"/>
        <v>0</v>
      </c>
      <c r="AJ19" s="66">
        <f t="shared" si="25"/>
        <v>0</v>
      </c>
      <c r="AK19" s="66">
        <f t="shared" si="26"/>
        <v>0</v>
      </c>
      <c r="AL19" s="68">
        <v>1250.0</v>
      </c>
      <c r="AM19" s="66">
        <f t="shared" si="27"/>
        <v>0</v>
      </c>
      <c r="AN19" s="69">
        <f t="shared" si="28"/>
        <v>1250</v>
      </c>
      <c r="AO19" s="70" t="str">
        <f t="shared" si="29"/>
        <v>#DIV/0!</v>
      </c>
      <c r="AP19" s="71">
        <f t="shared" si="30"/>
        <v>-1250</v>
      </c>
      <c r="AQ19" s="66">
        <f t="shared" si="31"/>
        <v>0</v>
      </c>
      <c r="AR19" s="78"/>
      <c r="AS19" s="73" t="str">
        <f t="shared" si="32"/>
        <v>#DIV/0!</v>
      </c>
    </row>
    <row r="20">
      <c r="A20" s="84" t="s">
        <v>45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6"/>
      <c r="S20" s="87"/>
      <c r="T20" s="87"/>
      <c r="U20" s="87"/>
      <c r="V20" s="88"/>
      <c r="W20" s="88"/>
      <c r="X20" s="88"/>
      <c r="Y20" s="88"/>
      <c r="Z20" s="88"/>
      <c r="AA20" s="90"/>
      <c r="AB20" s="89"/>
      <c r="AC20" s="89"/>
      <c r="AD20" s="91"/>
      <c r="AE20" s="92"/>
      <c r="AF20" s="93"/>
      <c r="AG20" s="94"/>
      <c r="AH20" s="89" t="s">
        <v>46</v>
      </c>
      <c r="AI20" s="88"/>
      <c r="AJ20" s="88"/>
      <c r="AK20" s="88"/>
      <c r="AL20" s="88"/>
      <c r="AM20" s="89" t="s">
        <v>46</v>
      </c>
      <c r="AN20" s="89" t="s">
        <v>46</v>
      </c>
      <c r="AO20" s="90" t="e">
        <v>#DIV/0!</v>
      </c>
      <c r="AP20" s="89" t="s">
        <v>46</v>
      </c>
      <c r="AQ20" s="89" t="s">
        <v>46</v>
      </c>
      <c r="AR20" s="91"/>
      <c r="AS20" s="92"/>
      <c r="AT20" s="94"/>
      <c r="AU20" s="89" t="s">
        <v>46</v>
      </c>
      <c r="AV20" s="88"/>
      <c r="AW20" s="89" t="s">
        <v>46</v>
      </c>
      <c r="AX20" s="89" t="s">
        <v>46</v>
      </c>
      <c r="AY20" s="90" t="e">
        <v>#DIV/0!</v>
      </c>
      <c r="AZ20" s="89" t="s">
        <v>46</v>
      </c>
      <c r="BA20" s="89" t="s">
        <v>46</v>
      </c>
      <c r="BB20" s="91"/>
      <c r="BC20" s="94"/>
    </row>
    <row r="21">
      <c r="A21" s="95" t="s">
        <v>47</v>
      </c>
      <c r="B21" s="66">
        <f>B7*5+B13</f>
        <v>25200</v>
      </c>
      <c r="C21" s="65">
        <f t="shared" ref="C21:C26" si="34">B21*$C$4</f>
        <v>22680</v>
      </c>
      <c r="D21" s="66">
        <f t="shared" ref="D21:D26" si="35">C21/$D$4</f>
        <v>20432.43243</v>
      </c>
      <c r="E21" s="96">
        <v>1.0</v>
      </c>
      <c r="F21" s="66">
        <f t="shared" ref="F21:F26" si="36">P21*$F$3</f>
        <v>4514</v>
      </c>
      <c r="G21" s="66">
        <f t="shared" ref="G21:G26" si="37">P21*$G$3</f>
        <v>2220</v>
      </c>
      <c r="H21" s="66">
        <f t="shared" ref="H21:H26" si="38">P21*$H$3</f>
        <v>666</v>
      </c>
      <c r="I21" s="66">
        <f t="shared" ref="I21:I26" si="39">P21*$I$3</f>
        <v>1665</v>
      </c>
      <c r="J21" s="68">
        <v>1250.0</v>
      </c>
      <c r="K21" s="66">
        <f t="shared" ref="K21:K26" si="40">D21*$K$3</f>
        <v>1021.621622</v>
      </c>
      <c r="L21" s="69">
        <f t="shared" ref="L21:L26" si="41">(D21*E21)+F21+G21+H21+I21+J21+K21</f>
        <v>31769.05405</v>
      </c>
      <c r="M21" s="70">
        <f t="shared" ref="M21:M26" si="42">N21/O21</f>
        <v>0.04692837838</v>
      </c>
      <c r="N21" s="71">
        <f t="shared" ref="N21:N26" si="43">O21-L21</f>
        <v>1564.279279</v>
      </c>
      <c r="O21" s="66">
        <f t="shared" ref="O21:O26" si="44">P21/$O$4</f>
        <v>33333.33333</v>
      </c>
      <c r="P21" s="78">
        <v>37000.0</v>
      </c>
      <c r="Q21" s="73">
        <f t="shared" ref="Q21:Q26" si="45">P21/E21</f>
        <v>37000</v>
      </c>
      <c r="R21" s="74"/>
      <c r="S21" s="75"/>
      <c r="T21" s="66">
        <f t="shared" ref="T21:T23" si="46">AD21*$T$3</f>
        <v>0</v>
      </c>
      <c r="U21" s="66">
        <f t="shared" ref="U21:U23" si="47">AD21*$U$3</f>
        <v>0</v>
      </c>
      <c r="V21" s="66">
        <f t="shared" ref="V21:V23" si="48">AD21*$V$3</f>
        <v>0</v>
      </c>
      <c r="W21" s="66">
        <f t="shared" ref="W21:W23" si="49">AD21*$W$3</f>
        <v>0</v>
      </c>
      <c r="X21" s="68">
        <v>1250.0</v>
      </c>
      <c r="Y21" s="68">
        <v>1250.0</v>
      </c>
      <c r="Z21" s="68">
        <v>1250.0</v>
      </c>
      <c r="AA21" s="70" t="str">
        <f t="shared" ref="AA21:AA23" si="50">AB21/AC21</f>
        <v>#DIV/0!</v>
      </c>
      <c r="AB21" s="71">
        <f t="shared" ref="AB21:AB23" si="51">AC21-Z21</f>
        <v>-1250</v>
      </c>
      <c r="AC21" s="66">
        <f t="shared" ref="AC21:AC23" si="52">AD21/$O$4</f>
        <v>0</v>
      </c>
      <c r="AD21" s="78"/>
      <c r="AE21" s="73" t="str">
        <f t="shared" ref="AE21:AE23" si="53">AD21/S21</f>
        <v>#DIV/0!</v>
      </c>
      <c r="AF21" s="76"/>
      <c r="AG21" s="75"/>
      <c r="AH21" s="66">
        <f t="shared" ref="AH21:AH23" si="54">AR21*$AH$3</f>
        <v>0</v>
      </c>
      <c r="AI21" s="66">
        <f t="shared" ref="AI21:AI23" si="55">AR21*$AI$3</f>
        <v>0</v>
      </c>
      <c r="AJ21" s="66">
        <f t="shared" ref="AJ21:AJ23" si="56">AR21*$AJ$3</f>
        <v>0</v>
      </c>
      <c r="AK21" s="66">
        <f t="shared" ref="AK21:AK23" si="57">AR21*$AK$3</f>
        <v>0</v>
      </c>
      <c r="AL21" s="68">
        <v>1250.0</v>
      </c>
      <c r="AM21" s="66">
        <f t="shared" ref="AM21:AM23" si="58">AF21*$AM$3</f>
        <v>0</v>
      </c>
      <c r="AN21" s="69">
        <f t="shared" ref="AN21:AN23" si="59">(R21*AG21)+AH21+AI21+AJ21+AK21+AL21+AM21</f>
        <v>1250</v>
      </c>
      <c r="AO21" s="70" t="str">
        <f t="shared" ref="AO21:AO23" si="60">AP21/AQ21</f>
        <v>#DIV/0!</v>
      </c>
      <c r="AP21" s="71">
        <f t="shared" ref="AP21:AP23" si="61">AQ21-AN21</f>
        <v>-1250</v>
      </c>
      <c r="AQ21" s="66">
        <f t="shared" ref="AQ21:AQ23" si="62">AR21/$O$4</f>
        <v>0</v>
      </c>
      <c r="AR21" s="78"/>
      <c r="AS21" s="73" t="str">
        <f t="shared" ref="AS21:AS23" si="63">AR21/AG21</f>
        <v>#DIV/0!</v>
      </c>
    </row>
    <row r="22">
      <c r="A22" s="95" t="s">
        <v>48</v>
      </c>
      <c r="B22" s="66">
        <f>B7*5+B13*2</f>
        <v>30900</v>
      </c>
      <c r="C22" s="65">
        <f t="shared" si="34"/>
        <v>27810</v>
      </c>
      <c r="D22" s="66">
        <f t="shared" si="35"/>
        <v>25054.05405</v>
      </c>
      <c r="E22" s="96">
        <v>1.0</v>
      </c>
      <c r="F22" s="66">
        <f t="shared" si="36"/>
        <v>4062.6</v>
      </c>
      <c r="G22" s="66">
        <f t="shared" si="37"/>
        <v>1998</v>
      </c>
      <c r="H22" s="66">
        <f t="shared" si="38"/>
        <v>599.4</v>
      </c>
      <c r="I22" s="66">
        <f t="shared" si="39"/>
        <v>1498.5</v>
      </c>
      <c r="J22" s="68">
        <v>1250.0</v>
      </c>
      <c r="K22" s="66">
        <f t="shared" si="40"/>
        <v>1252.702703</v>
      </c>
      <c r="L22" s="69">
        <f t="shared" si="41"/>
        <v>35715.25676</v>
      </c>
      <c r="M22" s="70">
        <f t="shared" si="42"/>
        <v>-0.1905085586</v>
      </c>
      <c r="N22" s="71">
        <f t="shared" si="43"/>
        <v>-5715.256757</v>
      </c>
      <c r="O22" s="66">
        <f t="shared" si="44"/>
        <v>30000</v>
      </c>
      <c r="P22" s="78">
        <v>33300.0</v>
      </c>
      <c r="Q22" s="73">
        <f t="shared" si="45"/>
        <v>33300</v>
      </c>
      <c r="R22" s="74"/>
      <c r="S22" s="75"/>
      <c r="T22" s="66">
        <f t="shared" si="46"/>
        <v>0</v>
      </c>
      <c r="U22" s="66">
        <f t="shared" si="47"/>
        <v>0</v>
      </c>
      <c r="V22" s="66">
        <f t="shared" si="48"/>
        <v>0</v>
      </c>
      <c r="W22" s="66">
        <f t="shared" si="49"/>
        <v>0</v>
      </c>
      <c r="X22" s="68">
        <v>1250.0</v>
      </c>
      <c r="Y22" s="68">
        <v>1250.0</v>
      </c>
      <c r="Z22" s="68">
        <v>1250.0</v>
      </c>
      <c r="AA22" s="70" t="str">
        <f t="shared" si="50"/>
        <v>#DIV/0!</v>
      </c>
      <c r="AB22" s="71">
        <f t="shared" si="51"/>
        <v>-1250</v>
      </c>
      <c r="AC22" s="66">
        <f t="shared" si="52"/>
        <v>0</v>
      </c>
      <c r="AD22" s="78"/>
      <c r="AE22" s="73" t="str">
        <f t="shared" si="53"/>
        <v>#DIV/0!</v>
      </c>
      <c r="AF22" s="76"/>
      <c r="AG22" s="75"/>
      <c r="AH22" s="66">
        <f t="shared" si="54"/>
        <v>0</v>
      </c>
      <c r="AI22" s="66">
        <f t="shared" si="55"/>
        <v>0</v>
      </c>
      <c r="AJ22" s="66">
        <f t="shared" si="56"/>
        <v>0</v>
      </c>
      <c r="AK22" s="66">
        <f t="shared" si="57"/>
        <v>0</v>
      </c>
      <c r="AL22" s="68">
        <v>1250.0</v>
      </c>
      <c r="AM22" s="66">
        <f t="shared" si="58"/>
        <v>0</v>
      </c>
      <c r="AN22" s="69">
        <f t="shared" si="59"/>
        <v>1250</v>
      </c>
      <c r="AO22" s="70" t="str">
        <f t="shared" si="60"/>
        <v>#DIV/0!</v>
      </c>
      <c r="AP22" s="71">
        <f t="shared" si="61"/>
        <v>-1250</v>
      </c>
      <c r="AQ22" s="66">
        <f t="shared" si="62"/>
        <v>0</v>
      </c>
      <c r="AR22" s="78"/>
      <c r="AS22" s="73" t="str">
        <f t="shared" si="63"/>
        <v>#DIV/0!</v>
      </c>
    </row>
    <row r="23">
      <c r="A23" s="97" t="s">
        <v>49</v>
      </c>
      <c r="B23" s="66">
        <f>B8+B13</f>
        <v>30700</v>
      </c>
      <c r="C23" s="65">
        <f t="shared" si="34"/>
        <v>27630</v>
      </c>
      <c r="D23" s="66">
        <f t="shared" si="35"/>
        <v>24891.89189</v>
      </c>
      <c r="E23" s="96">
        <v>1.0</v>
      </c>
      <c r="F23" s="66">
        <f t="shared" si="36"/>
        <v>5429</v>
      </c>
      <c r="G23" s="66">
        <f t="shared" si="37"/>
        <v>2670</v>
      </c>
      <c r="H23" s="66">
        <f t="shared" si="38"/>
        <v>801</v>
      </c>
      <c r="I23" s="66">
        <f t="shared" si="39"/>
        <v>2002.5</v>
      </c>
      <c r="J23" s="68">
        <v>1250.0</v>
      </c>
      <c r="K23" s="66">
        <f t="shared" si="40"/>
        <v>1244.594595</v>
      </c>
      <c r="L23" s="69">
        <f t="shared" si="41"/>
        <v>38288.98649</v>
      </c>
      <c r="M23" s="70">
        <f t="shared" si="42"/>
        <v>0.04492640449</v>
      </c>
      <c r="N23" s="71">
        <f t="shared" si="43"/>
        <v>1801.103604</v>
      </c>
      <c r="O23" s="66">
        <f t="shared" si="44"/>
        <v>40090.09009</v>
      </c>
      <c r="P23" s="78">
        <v>44500.0</v>
      </c>
      <c r="Q23" s="73">
        <f t="shared" si="45"/>
        <v>44500</v>
      </c>
      <c r="R23" s="74"/>
      <c r="S23" s="75"/>
      <c r="T23" s="66">
        <f t="shared" si="46"/>
        <v>0</v>
      </c>
      <c r="U23" s="66">
        <f t="shared" si="47"/>
        <v>0</v>
      </c>
      <c r="V23" s="66">
        <f t="shared" si="48"/>
        <v>0</v>
      </c>
      <c r="W23" s="66">
        <f t="shared" si="49"/>
        <v>0</v>
      </c>
      <c r="X23" s="68">
        <v>1250.0</v>
      </c>
      <c r="Y23" s="68">
        <v>1250.0</v>
      </c>
      <c r="Z23" s="68">
        <v>1250.0</v>
      </c>
      <c r="AA23" s="70" t="str">
        <f t="shared" si="50"/>
        <v>#DIV/0!</v>
      </c>
      <c r="AB23" s="71">
        <f t="shared" si="51"/>
        <v>-1250</v>
      </c>
      <c r="AC23" s="66">
        <f t="shared" si="52"/>
        <v>0</v>
      </c>
      <c r="AD23" s="78"/>
      <c r="AE23" s="73" t="str">
        <f t="shared" si="53"/>
        <v>#DIV/0!</v>
      </c>
      <c r="AF23" s="76"/>
      <c r="AG23" s="75"/>
      <c r="AH23" s="66">
        <f t="shared" si="54"/>
        <v>0</v>
      </c>
      <c r="AI23" s="66">
        <f t="shared" si="55"/>
        <v>0</v>
      </c>
      <c r="AJ23" s="66">
        <f t="shared" si="56"/>
        <v>0</v>
      </c>
      <c r="AK23" s="66">
        <f t="shared" si="57"/>
        <v>0</v>
      </c>
      <c r="AL23" s="68">
        <v>1250.0</v>
      </c>
      <c r="AM23" s="66">
        <f t="shared" si="58"/>
        <v>0</v>
      </c>
      <c r="AN23" s="69">
        <f t="shared" si="59"/>
        <v>1250</v>
      </c>
      <c r="AO23" s="70" t="str">
        <f t="shared" si="60"/>
        <v>#DIV/0!</v>
      </c>
      <c r="AP23" s="71">
        <f t="shared" si="61"/>
        <v>-1250</v>
      </c>
      <c r="AQ23" s="66">
        <f t="shared" si="62"/>
        <v>0</v>
      </c>
      <c r="AR23" s="78"/>
      <c r="AS23" s="73" t="str">
        <f t="shared" si="63"/>
        <v>#DIV/0!</v>
      </c>
    </row>
    <row r="24">
      <c r="A24" s="97" t="s">
        <v>50</v>
      </c>
      <c r="B24" s="66">
        <f>B8*2+B13*2</f>
        <v>61400</v>
      </c>
      <c r="C24" s="65">
        <f t="shared" si="34"/>
        <v>55260</v>
      </c>
      <c r="D24" s="66">
        <f t="shared" si="35"/>
        <v>49783.78378</v>
      </c>
      <c r="E24" s="96">
        <v>1.0</v>
      </c>
      <c r="F24" s="66">
        <f t="shared" si="36"/>
        <v>0</v>
      </c>
      <c r="G24" s="66">
        <f t="shared" si="37"/>
        <v>0</v>
      </c>
      <c r="H24" s="66">
        <f t="shared" si="38"/>
        <v>0</v>
      </c>
      <c r="I24" s="66">
        <f t="shared" si="39"/>
        <v>0</v>
      </c>
      <c r="J24" s="68">
        <v>1250.0</v>
      </c>
      <c r="K24" s="66">
        <f t="shared" si="40"/>
        <v>2489.189189</v>
      </c>
      <c r="L24" s="69">
        <f t="shared" si="41"/>
        <v>53522.97297</v>
      </c>
      <c r="M24" s="70" t="str">
        <f t="shared" si="42"/>
        <v>#DIV/0!</v>
      </c>
      <c r="N24" s="71">
        <f t="shared" si="43"/>
        <v>-53522.97297</v>
      </c>
      <c r="O24" s="66">
        <f t="shared" si="44"/>
        <v>0</v>
      </c>
      <c r="P24" s="78"/>
      <c r="Q24" s="73">
        <f t="shared" si="45"/>
        <v>0</v>
      </c>
      <c r="R24" s="74"/>
      <c r="S24" s="75"/>
      <c r="T24" s="66"/>
      <c r="U24" s="66"/>
      <c r="V24" s="66"/>
      <c r="W24" s="66"/>
      <c r="X24" s="68"/>
      <c r="Y24" s="68"/>
      <c r="Z24" s="68"/>
      <c r="AA24" s="70"/>
      <c r="AB24" s="71"/>
      <c r="AC24" s="66"/>
      <c r="AD24" s="78"/>
      <c r="AE24" s="73"/>
      <c r="AF24" s="76"/>
      <c r="AG24" s="75"/>
      <c r="AH24" s="66"/>
      <c r="AI24" s="66"/>
      <c r="AJ24" s="66"/>
      <c r="AK24" s="66"/>
      <c r="AL24" s="68"/>
      <c r="AM24" s="66"/>
      <c r="AN24" s="69"/>
      <c r="AO24" s="70"/>
      <c r="AP24" s="71"/>
      <c r="AQ24" s="66"/>
      <c r="AR24" s="78"/>
      <c r="AS24" s="73"/>
    </row>
    <row r="25">
      <c r="A25" s="97" t="s">
        <v>51</v>
      </c>
      <c r="B25" s="66">
        <f>B8*4+B13</f>
        <v>105700</v>
      </c>
      <c r="C25" s="65">
        <f t="shared" si="34"/>
        <v>95130</v>
      </c>
      <c r="D25" s="66">
        <f t="shared" si="35"/>
        <v>85702.7027</v>
      </c>
      <c r="E25" s="96">
        <v>1.0</v>
      </c>
      <c r="F25" s="66">
        <f t="shared" si="36"/>
        <v>15860</v>
      </c>
      <c r="G25" s="66">
        <f t="shared" si="37"/>
        <v>7800</v>
      </c>
      <c r="H25" s="66">
        <f t="shared" si="38"/>
        <v>2340</v>
      </c>
      <c r="I25" s="66">
        <f t="shared" si="39"/>
        <v>5850</v>
      </c>
      <c r="J25" s="68">
        <v>1250.0</v>
      </c>
      <c r="K25" s="66">
        <f t="shared" si="40"/>
        <v>4285.135135</v>
      </c>
      <c r="L25" s="69">
        <f t="shared" si="41"/>
        <v>123087.8378</v>
      </c>
      <c r="M25" s="70">
        <f t="shared" si="42"/>
        <v>-0.05098076923</v>
      </c>
      <c r="N25" s="71">
        <f t="shared" si="43"/>
        <v>-5970.720721</v>
      </c>
      <c r="O25" s="66">
        <f t="shared" si="44"/>
        <v>117117.1171</v>
      </c>
      <c r="P25" s="78">
        <v>130000.0</v>
      </c>
      <c r="Q25" s="73">
        <f t="shared" si="45"/>
        <v>130000</v>
      </c>
      <c r="R25" s="74"/>
      <c r="S25" s="75"/>
      <c r="T25" s="66"/>
      <c r="U25" s="66"/>
      <c r="V25" s="66"/>
      <c r="W25" s="66"/>
      <c r="X25" s="68"/>
      <c r="Y25" s="68"/>
      <c r="Z25" s="68"/>
      <c r="AA25" s="70"/>
      <c r="AB25" s="71"/>
      <c r="AC25" s="66"/>
      <c r="AD25" s="78"/>
      <c r="AE25" s="73"/>
      <c r="AF25" s="76"/>
      <c r="AG25" s="75"/>
      <c r="AH25" s="66"/>
      <c r="AI25" s="66"/>
      <c r="AJ25" s="66"/>
      <c r="AK25" s="66"/>
      <c r="AL25" s="68"/>
      <c r="AM25" s="66"/>
      <c r="AN25" s="69"/>
      <c r="AO25" s="70"/>
      <c r="AP25" s="71"/>
      <c r="AQ25" s="66"/>
      <c r="AR25" s="78"/>
      <c r="AS25" s="73"/>
    </row>
    <row r="26">
      <c r="A26" s="97" t="s">
        <v>52</v>
      </c>
      <c r="B26" s="66">
        <f>B8*4+B13*2</f>
        <v>111400</v>
      </c>
      <c r="C26" s="65">
        <f t="shared" si="34"/>
        <v>100260</v>
      </c>
      <c r="D26" s="66">
        <f t="shared" si="35"/>
        <v>90324.32432</v>
      </c>
      <c r="E26" s="96">
        <v>1.0</v>
      </c>
      <c r="F26" s="66">
        <f t="shared" si="36"/>
        <v>0</v>
      </c>
      <c r="G26" s="66">
        <f t="shared" si="37"/>
        <v>0</v>
      </c>
      <c r="H26" s="66">
        <f t="shared" si="38"/>
        <v>0</v>
      </c>
      <c r="I26" s="66">
        <f t="shared" si="39"/>
        <v>0</v>
      </c>
      <c r="J26" s="68">
        <v>1250.0</v>
      </c>
      <c r="K26" s="66">
        <f t="shared" si="40"/>
        <v>4516.216216</v>
      </c>
      <c r="L26" s="69">
        <f t="shared" si="41"/>
        <v>96090.54054</v>
      </c>
      <c r="M26" s="70" t="str">
        <f t="shared" si="42"/>
        <v>#DIV/0!</v>
      </c>
      <c r="N26" s="71">
        <f t="shared" si="43"/>
        <v>-96090.54054</v>
      </c>
      <c r="O26" s="66">
        <f t="shared" si="44"/>
        <v>0</v>
      </c>
      <c r="P26" s="78"/>
      <c r="Q26" s="73">
        <f t="shared" si="45"/>
        <v>0</v>
      </c>
      <c r="R26" s="74"/>
      <c r="S26" s="75"/>
      <c r="T26" s="66"/>
      <c r="U26" s="66"/>
      <c r="V26" s="66"/>
      <c r="W26" s="66"/>
      <c r="X26" s="68"/>
      <c r="Y26" s="68"/>
      <c r="Z26" s="68"/>
      <c r="AA26" s="70"/>
      <c r="AB26" s="71"/>
      <c r="AC26" s="66"/>
      <c r="AD26" s="78"/>
      <c r="AE26" s="73"/>
      <c r="AF26" s="76"/>
      <c r="AG26" s="75"/>
      <c r="AH26" s="66"/>
      <c r="AI26" s="66"/>
      <c r="AJ26" s="66"/>
      <c r="AK26" s="66"/>
      <c r="AL26" s="68"/>
      <c r="AM26" s="66"/>
      <c r="AN26" s="69"/>
      <c r="AO26" s="70"/>
      <c r="AP26" s="71"/>
      <c r="AQ26" s="66"/>
      <c r="AR26" s="78"/>
      <c r="AS26" s="73"/>
    </row>
    <row r="27">
      <c r="A27" s="97"/>
      <c r="B27" s="66"/>
      <c r="C27" s="65"/>
      <c r="D27" s="66"/>
      <c r="E27" s="96"/>
      <c r="F27" s="66"/>
      <c r="G27" s="66"/>
      <c r="H27" s="66"/>
      <c r="I27" s="66"/>
      <c r="J27" s="68"/>
      <c r="K27" s="66"/>
      <c r="L27" s="69"/>
      <c r="M27" s="70"/>
      <c r="N27" s="71"/>
      <c r="O27" s="66"/>
      <c r="P27" s="78"/>
      <c r="Q27" s="73"/>
      <c r="R27" s="74"/>
      <c r="S27" s="75"/>
      <c r="T27" s="66"/>
      <c r="U27" s="66"/>
      <c r="V27" s="66"/>
      <c r="W27" s="66"/>
      <c r="X27" s="68"/>
      <c r="Y27" s="68"/>
      <c r="Z27" s="68"/>
      <c r="AA27" s="70"/>
      <c r="AB27" s="71"/>
      <c r="AC27" s="66"/>
      <c r="AD27" s="78"/>
      <c r="AE27" s="73"/>
      <c r="AF27" s="76"/>
      <c r="AG27" s="75"/>
      <c r="AH27" s="66"/>
      <c r="AI27" s="66"/>
      <c r="AJ27" s="66"/>
      <c r="AK27" s="66"/>
      <c r="AL27" s="68"/>
      <c r="AM27" s="66"/>
      <c r="AN27" s="69"/>
      <c r="AO27" s="70"/>
      <c r="AP27" s="71"/>
      <c r="AQ27" s="66"/>
      <c r="AR27" s="78"/>
      <c r="AS27" s="73"/>
    </row>
    <row r="28">
      <c r="A28" s="97" t="s">
        <v>53</v>
      </c>
      <c r="B28" s="66">
        <f>B12+B13</f>
        <v>78700</v>
      </c>
      <c r="C28" s="65">
        <f t="shared" ref="C28:C31" si="64">B28*$C$4</f>
        <v>70830</v>
      </c>
      <c r="D28" s="66">
        <f t="shared" ref="D28:D31" si="65">C28/$D$4</f>
        <v>63810.81081</v>
      </c>
      <c r="E28" s="96">
        <v>1.0</v>
      </c>
      <c r="F28" s="66">
        <f t="shared" ref="F28:F31" si="66">P28*$F$3</f>
        <v>13298</v>
      </c>
      <c r="G28" s="66">
        <f t="shared" ref="G28:G31" si="67">P28*$G$3</f>
        <v>6540</v>
      </c>
      <c r="H28" s="66">
        <f t="shared" ref="H28:H31" si="68">P28*$H$3</f>
        <v>1962</v>
      </c>
      <c r="I28" s="66">
        <f t="shared" ref="I28:I31" si="69">P28*$I$3</f>
        <v>4905</v>
      </c>
      <c r="J28" s="68">
        <v>1250.0</v>
      </c>
      <c r="K28" s="66">
        <f t="shared" ref="K28:K31" si="70">D28*$K$3</f>
        <v>3190.540541</v>
      </c>
      <c r="L28" s="69">
        <f t="shared" ref="L28:L31" si="71">(D28*E28)+F28+G28+H28+I28+J28+K28</f>
        <v>94956.35135</v>
      </c>
      <c r="M28" s="70">
        <f t="shared" ref="M28:M31" si="72">N28/O28</f>
        <v>0.03301330275</v>
      </c>
      <c r="N28" s="71">
        <f t="shared" ref="N28:N31" si="73">O28-L28</f>
        <v>3241.846847</v>
      </c>
      <c r="O28" s="66">
        <f t="shared" ref="O28:O31" si="74">P28/$O$4</f>
        <v>98198.1982</v>
      </c>
      <c r="P28" s="78">
        <v>109000.0</v>
      </c>
      <c r="Q28" s="73">
        <f t="shared" ref="Q28:Q31" si="75">P28/E28</f>
        <v>109000</v>
      </c>
      <c r="R28" s="74"/>
      <c r="S28" s="75"/>
      <c r="T28" s="66">
        <f t="shared" ref="T28:T31" si="76">AD28*$T$3</f>
        <v>0</v>
      </c>
      <c r="U28" s="66">
        <f t="shared" ref="U28:U31" si="77">AD28*$U$3</f>
        <v>0</v>
      </c>
      <c r="V28" s="66">
        <f t="shared" ref="V28:V31" si="78">AD28*$V$3</f>
        <v>0</v>
      </c>
      <c r="W28" s="66">
        <f t="shared" ref="W28:W31" si="79">AD28*$W$3</f>
        <v>0</v>
      </c>
      <c r="X28" s="68">
        <v>1250.0</v>
      </c>
      <c r="Y28" s="68">
        <v>1250.0</v>
      </c>
      <c r="Z28" s="68">
        <v>1250.0</v>
      </c>
      <c r="AA28" s="70" t="str">
        <f t="shared" ref="AA28:AA31" si="80">AB28/AC28</f>
        <v>#DIV/0!</v>
      </c>
      <c r="AB28" s="71">
        <f t="shared" ref="AB28:AB31" si="81">AC28-Z28</f>
        <v>-1250</v>
      </c>
      <c r="AC28" s="66">
        <f t="shared" ref="AC28:AC31" si="82">AD28/$O$4</f>
        <v>0</v>
      </c>
      <c r="AD28" s="78"/>
      <c r="AE28" s="73" t="str">
        <f t="shared" ref="AE28:AE31" si="83">AD28/S28</f>
        <v>#DIV/0!</v>
      </c>
      <c r="AF28" s="76"/>
      <c r="AG28" s="75"/>
      <c r="AH28" s="66">
        <f t="shared" ref="AH28:AH31" si="84">AR28*$AH$3</f>
        <v>0</v>
      </c>
      <c r="AI28" s="66">
        <f t="shared" ref="AI28:AI31" si="85">AR28*$AI$3</f>
        <v>0</v>
      </c>
      <c r="AJ28" s="66">
        <f t="shared" ref="AJ28:AJ31" si="86">AR28*$AJ$3</f>
        <v>0</v>
      </c>
      <c r="AK28" s="66">
        <f t="shared" ref="AK28:AK31" si="87">AR28*$AK$3</f>
        <v>0</v>
      </c>
      <c r="AL28" s="68">
        <v>1250.0</v>
      </c>
      <c r="AM28" s="66">
        <f t="shared" ref="AM28:AM31" si="88">AF28*$AM$3</f>
        <v>0</v>
      </c>
      <c r="AN28" s="69">
        <f t="shared" ref="AN28:AN31" si="89">(R28*AG28)+AH28+AI28+AJ28+AK28+AL28+AM28</f>
        <v>1250</v>
      </c>
      <c r="AO28" s="70" t="str">
        <f t="shared" ref="AO28:AO31" si="90">AP28/AQ28</f>
        <v>#DIV/0!</v>
      </c>
      <c r="AP28" s="71">
        <f t="shared" ref="AP28:AP31" si="91">AQ28-AN28</f>
        <v>-1250</v>
      </c>
      <c r="AQ28" s="66">
        <f t="shared" ref="AQ28:AQ31" si="92">AR28/$O$4</f>
        <v>0</v>
      </c>
      <c r="AR28" s="78"/>
      <c r="AS28" s="73" t="str">
        <f t="shared" ref="AS28:AS31" si="93">AR28/AG28</f>
        <v>#DIV/0!</v>
      </c>
    </row>
    <row r="29">
      <c r="A29" s="97" t="s">
        <v>54</v>
      </c>
      <c r="B29" s="66">
        <f>B12*2+B13*2</f>
        <v>157400</v>
      </c>
      <c r="C29" s="65">
        <f t="shared" si="64"/>
        <v>141660</v>
      </c>
      <c r="D29" s="66">
        <f t="shared" si="65"/>
        <v>127621.6216</v>
      </c>
      <c r="E29" s="96">
        <v>1.0</v>
      </c>
      <c r="F29" s="66">
        <f t="shared" si="66"/>
        <v>26827.8</v>
      </c>
      <c r="G29" s="66">
        <f t="shared" si="67"/>
        <v>13194</v>
      </c>
      <c r="H29" s="66">
        <f t="shared" si="68"/>
        <v>3958.2</v>
      </c>
      <c r="I29" s="66">
        <f t="shared" si="69"/>
        <v>9895.5</v>
      </c>
      <c r="J29" s="68">
        <v>1250.0</v>
      </c>
      <c r="K29" s="66">
        <f t="shared" si="70"/>
        <v>6381.081081</v>
      </c>
      <c r="L29" s="69">
        <f t="shared" si="71"/>
        <v>189128.2027</v>
      </c>
      <c r="M29" s="70">
        <f t="shared" si="72"/>
        <v>0.04532830832</v>
      </c>
      <c r="N29" s="71">
        <f t="shared" si="73"/>
        <v>8979.905405</v>
      </c>
      <c r="O29" s="66">
        <f t="shared" si="74"/>
        <v>198108.1081</v>
      </c>
      <c r="P29" s="78">
        <v>219900.0</v>
      </c>
      <c r="Q29" s="73">
        <f t="shared" si="75"/>
        <v>219900</v>
      </c>
      <c r="R29" s="74"/>
      <c r="S29" s="75"/>
      <c r="T29" s="66">
        <f t="shared" si="76"/>
        <v>0</v>
      </c>
      <c r="U29" s="66">
        <f t="shared" si="77"/>
        <v>0</v>
      </c>
      <c r="V29" s="66">
        <f t="shared" si="78"/>
        <v>0</v>
      </c>
      <c r="W29" s="66">
        <f t="shared" si="79"/>
        <v>0</v>
      </c>
      <c r="X29" s="68">
        <v>1250.0</v>
      </c>
      <c r="Y29" s="68">
        <v>1250.0</v>
      </c>
      <c r="Z29" s="68">
        <v>1250.0</v>
      </c>
      <c r="AA29" s="70" t="str">
        <f t="shared" si="80"/>
        <v>#DIV/0!</v>
      </c>
      <c r="AB29" s="71">
        <f t="shared" si="81"/>
        <v>-1250</v>
      </c>
      <c r="AC29" s="66">
        <f t="shared" si="82"/>
        <v>0</v>
      </c>
      <c r="AD29" s="78"/>
      <c r="AE29" s="73" t="str">
        <f t="shared" si="83"/>
        <v>#DIV/0!</v>
      </c>
      <c r="AF29" s="76"/>
      <c r="AG29" s="75"/>
      <c r="AH29" s="66">
        <f t="shared" si="84"/>
        <v>0</v>
      </c>
      <c r="AI29" s="66">
        <f t="shared" si="85"/>
        <v>0</v>
      </c>
      <c r="AJ29" s="66">
        <f t="shared" si="86"/>
        <v>0</v>
      </c>
      <c r="AK29" s="66">
        <f t="shared" si="87"/>
        <v>0</v>
      </c>
      <c r="AL29" s="68">
        <v>1250.0</v>
      </c>
      <c r="AM29" s="66">
        <f t="shared" si="88"/>
        <v>0</v>
      </c>
      <c r="AN29" s="69">
        <f t="shared" si="89"/>
        <v>1250</v>
      </c>
      <c r="AO29" s="70" t="str">
        <f t="shared" si="90"/>
        <v>#DIV/0!</v>
      </c>
      <c r="AP29" s="71">
        <f t="shared" si="91"/>
        <v>-1250</v>
      </c>
      <c r="AQ29" s="66">
        <f t="shared" si="92"/>
        <v>0</v>
      </c>
      <c r="AR29" s="78"/>
      <c r="AS29" s="73" t="str">
        <f t="shared" si="93"/>
        <v>#DIV/0!</v>
      </c>
    </row>
    <row r="30">
      <c r="A30" s="97" t="s">
        <v>55</v>
      </c>
      <c r="B30" s="66">
        <f>B9+B13</f>
        <v>15200</v>
      </c>
      <c r="C30" s="65">
        <f t="shared" si="64"/>
        <v>13680</v>
      </c>
      <c r="D30" s="66">
        <f t="shared" si="65"/>
        <v>12324.32432</v>
      </c>
      <c r="E30" s="96">
        <v>1.0</v>
      </c>
      <c r="F30" s="66">
        <f t="shared" si="66"/>
        <v>2745</v>
      </c>
      <c r="G30" s="66">
        <f t="shared" si="67"/>
        <v>1350</v>
      </c>
      <c r="H30" s="66">
        <f t="shared" si="68"/>
        <v>405</v>
      </c>
      <c r="I30" s="66">
        <f t="shared" si="69"/>
        <v>1012.5</v>
      </c>
      <c r="J30" s="68">
        <v>1250.0</v>
      </c>
      <c r="K30" s="66">
        <f t="shared" si="70"/>
        <v>616.2162162</v>
      </c>
      <c r="L30" s="69">
        <f t="shared" si="71"/>
        <v>19703.04054</v>
      </c>
      <c r="M30" s="70">
        <f t="shared" si="72"/>
        <v>0.02798333333</v>
      </c>
      <c r="N30" s="71">
        <f t="shared" si="73"/>
        <v>567.2297297</v>
      </c>
      <c r="O30" s="66">
        <f t="shared" si="74"/>
        <v>20270.27027</v>
      </c>
      <c r="P30" s="78">
        <v>22500.0</v>
      </c>
      <c r="Q30" s="73">
        <f t="shared" si="75"/>
        <v>22500</v>
      </c>
      <c r="R30" s="74"/>
      <c r="S30" s="75"/>
      <c r="T30" s="66">
        <f t="shared" si="76"/>
        <v>0</v>
      </c>
      <c r="U30" s="66">
        <f t="shared" si="77"/>
        <v>0</v>
      </c>
      <c r="V30" s="66">
        <f t="shared" si="78"/>
        <v>0</v>
      </c>
      <c r="W30" s="66">
        <f t="shared" si="79"/>
        <v>0</v>
      </c>
      <c r="X30" s="68">
        <v>1250.0</v>
      </c>
      <c r="Y30" s="68">
        <v>1250.0</v>
      </c>
      <c r="Z30" s="68">
        <v>1250.0</v>
      </c>
      <c r="AA30" s="70" t="str">
        <f t="shared" si="80"/>
        <v>#DIV/0!</v>
      </c>
      <c r="AB30" s="71">
        <f t="shared" si="81"/>
        <v>-1250</v>
      </c>
      <c r="AC30" s="66">
        <f t="shared" si="82"/>
        <v>0</v>
      </c>
      <c r="AD30" s="78"/>
      <c r="AE30" s="73" t="str">
        <f t="shared" si="83"/>
        <v>#DIV/0!</v>
      </c>
      <c r="AF30" s="76"/>
      <c r="AG30" s="75"/>
      <c r="AH30" s="66">
        <f t="shared" si="84"/>
        <v>0</v>
      </c>
      <c r="AI30" s="66">
        <f t="shared" si="85"/>
        <v>0</v>
      </c>
      <c r="AJ30" s="66">
        <f t="shared" si="86"/>
        <v>0</v>
      </c>
      <c r="AK30" s="66">
        <f t="shared" si="87"/>
        <v>0</v>
      </c>
      <c r="AL30" s="68">
        <v>1250.0</v>
      </c>
      <c r="AM30" s="66">
        <f t="shared" si="88"/>
        <v>0</v>
      </c>
      <c r="AN30" s="69">
        <f t="shared" si="89"/>
        <v>1250</v>
      </c>
      <c r="AO30" s="70" t="str">
        <f t="shared" si="90"/>
        <v>#DIV/0!</v>
      </c>
      <c r="AP30" s="71">
        <f t="shared" si="91"/>
        <v>-1250</v>
      </c>
      <c r="AQ30" s="66">
        <f t="shared" si="92"/>
        <v>0</v>
      </c>
      <c r="AR30" s="78"/>
      <c r="AS30" s="73" t="str">
        <f t="shared" si="93"/>
        <v>#DIV/0!</v>
      </c>
    </row>
    <row r="31">
      <c r="A31" s="97" t="s">
        <v>56</v>
      </c>
      <c r="B31" s="66">
        <f>B9*2+B13*2</f>
        <v>30400</v>
      </c>
      <c r="C31" s="65">
        <f t="shared" si="64"/>
        <v>27360</v>
      </c>
      <c r="D31" s="66">
        <f t="shared" si="65"/>
        <v>24648.64865</v>
      </c>
      <c r="E31" s="96">
        <v>1.0</v>
      </c>
      <c r="F31" s="66">
        <f t="shared" si="66"/>
        <v>5368</v>
      </c>
      <c r="G31" s="66">
        <f t="shared" si="67"/>
        <v>2640</v>
      </c>
      <c r="H31" s="66">
        <f t="shared" si="68"/>
        <v>792</v>
      </c>
      <c r="I31" s="66">
        <f t="shared" si="69"/>
        <v>1980</v>
      </c>
      <c r="J31" s="68">
        <v>1250.0</v>
      </c>
      <c r="K31" s="66">
        <f t="shared" si="70"/>
        <v>1232.432432</v>
      </c>
      <c r="L31" s="69">
        <f t="shared" si="71"/>
        <v>37911.08108</v>
      </c>
      <c r="M31" s="70">
        <f t="shared" si="72"/>
        <v>0.04360681818</v>
      </c>
      <c r="N31" s="71">
        <f t="shared" si="73"/>
        <v>1728.558559</v>
      </c>
      <c r="O31" s="66">
        <f t="shared" si="74"/>
        <v>39639.63964</v>
      </c>
      <c r="P31" s="78">
        <v>44000.0</v>
      </c>
      <c r="Q31" s="73">
        <f t="shared" si="75"/>
        <v>44000</v>
      </c>
      <c r="R31" s="74"/>
      <c r="S31" s="75"/>
      <c r="T31" s="66">
        <f t="shared" si="76"/>
        <v>0</v>
      </c>
      <c r="U31" s="66">
        <f t="shared" si="77"/>
        <v>0</v>
      </c>
      <c r="V31" s="66">
        <f t="shared" si="78"/>
        <v>0</v>
      </c>
      <c r="W31" s="66">
        <f t="shared" si="79"/>
        <v>0</v>
      </c>
      <c r="X31" s="68">
        <v>1250.0</v>
      </c>
      <c r="Y31" s="68">
        <v>1250.0</v>
      </c>
      <c r="Z31" s="68">
        <v>1250.0</v>
      </c>
      <c r="AA31" s="70" t="str">
        <f t="shared" si="80"/>
        <v>#DIV/0!</v>
      </c>
      <c r="AB31" s="71">
        <f t="shared" si="81"/>
        <v>-1250</v>
      </c>
      <c r="AC31" s="66">
        <f t="shared" si="82"/>
        <v>0</v>
      </c>
      <c r="AD31" s="78"/>
      <c r="AE31" s="73" t="str">
        <f t="shared" si="83"/>
        <v>#DIV/0!</v>
      </c>
      <c r="AF31" s="76"/>
      <c r="AG31" s="75"/>
      <c r="AH31" s="66">
        <f t="shared" si="84"/>
        <v>0</v>
      </c>
      <c r="AI31" s="66">
        <f t="shared" si="85"/>
        <v>0</v>
      </c>
      <c r="AJ31" s="66">
        <f t="shared" si="86"/>
        <v>0</v>
      </c>
      <c r="AK31" s="66">
        <f t="shared" si="87"/>
        <v>0</v>
      </c>
      <c r="AL31" s="68">
        <v>1250.0</v>
      </c>
      <c r="AM31" s="66">
        <f t="shared" si="88"/>
        <v>0</v>
      </c>
      <c r="AN31" s="69">
        <f t="shared" si="89"/>
        <v>1250</v>
      </c>
      <c r="AO31" s="70" t="str">
        <f t="shared" si="90"/>
        <v>#DIV/0!</v>
      </c>
      <c r="AP31" s="71">
        <f t="shared" si="91"/>
        <v>-1250</v>
      </c>
      <c r="AQ31" s="66">
        <f t="shared" si="92"/>
        <v>0</v>
      </c>
      <c r="AR31" s="78"/>
      <c r="AS31" s="73" t="str">
        <f t="shared" si="93"/>
        <v>#DIV/0!</v>
      </c>
    </row>
    <row r="32">
      <c r="A32" s="97" t="s">
        <v>57</v>
      </c>
      <c r="B32" s="66"/>
      <c r="C32" s="65"/>
      <c r="D32" s="66"/>
      <c r="E32" s="96"/>
      <c r="F32" s="66"/>
      <c r="G32" s="66"/>
      <c r="H32" s="66"/>
      <c r="I32" s="66"/>
      <c r="J32" s="68"/>
      <c r="K32" s="66"/>
      <c r="L32" s="69"/>
      <c r="M32" s="70"/>
      <c r="N32" s="71"/>
      <c r="O32" s="66"/>
      <c r="P32" s="78"/>
      <c r="Q32" s="73"/>
      <c r="R32" s="74"/>
      <c r="S32" s="75"/>
      <c r="T32" s="66"/>
      <c r="U32" s="66"/>
      <c r="V32" s="66"/>
      <c r="W32" s="66"/>
      <c r="X32" s="68"/>
      <c r="Y32" s="68"/>
      <c r="Z32" s="68"/>
      <c r="AA32" s="70"/>
      <c r="AB32" s="71"/>
      <c r="AC32" s="66"/>
      <c r="AD32" s="78"/>
      <c r="AE32" s="73"/>
      <c r="AF32" s="76"/>
      <c r="AG32" s="75"/>
      <c r="AH32" s="66"/>
      <c r="AI32" s="66"/>
      <c r="AJ32" s="66"/>
      <c r="AK32" s="66"/>
      <c r="AL32" s="68"/>
      <c r="AM32" s="66"/>
      <c r="AN32" s="69"/>
      <c r="AO32" s="70"/>
      <c r="AP32" s="71"/>
      <c r="AQ32" s="66"/>
      <c r="AR32" s="78"/>
      <c r="AS32" s="73"/>
    </row>
    <row r="33">
      <c r="A33" s="98" t="s">
        <v>58</v>
      </c>
      <c r="B33" s="66">
        <f>B11+B13</f>
        <v>23700</v>
      </c>
      <c r="C33" s="65">
        <f t="shared" ref="C33:C44" si="94">B33*$C$4</f>
        <v>21330</v>
      </c>
      <c r="D33" s="66">
        <f t="shared" ref="D33:D44" si="95">C33/$D$4</f>
        <v>19216.21622</v>
      </c>
      <c r="E33" s="96">
        <v>1.0</v>
      </c>
      <c r="F33" s="66">
        <f t="shared" ref="F33:F44" si="96">P33*$F$3</f>
        <v>4087</v>
      </c>
      <c r="G33" s="66">
        <f t="shared" ref="G33:G44" si="97">P33*$G$3</f>
        <v>2010</v>
      </c>
      <c r="H33" s="66">
        <f t="shared" ref="H33:H44" si="98">P33*$H$3</f>
        <v>603</v>
      </c>
      <c r="I33" s="66">
        <f t="shared" ref="I33:I44" si="99">P33*$I$3</f>
        <v>1507.5</v>
      </c>
      <c r="J33" s="68">
        <v>1250.0</v>
      </c>
      <c r="K33" s="66">
        <f t="shared" ref="K33:K44" si="100">D33*$K$3</f>
        <v>960.8108108</v>
      </c>
      <c r="L33" s="69">
        <f t="shared" ref="L33:L44" si="101">(D33*E33)+F33+G33+H33+I33+J33+K33</f>
        <v>29634.52703</v>
      </c>
      <c r="M33" s="70">
        <f t="shared" ref="M33:M44" si="102">N33/O33</f>
        <v>0.01807985075</v>
      </c>
      <c r="N33" s="71">
        <f t="shared" ref="N33:N44" si="103">O33-L33</f>
        <v>545.6531532</v>
      </c>
      <c r="O33" s="66">
        <f t="shared" ref="O33:O44" si="104">P33/$O$4</f>
        <v>30180.18018</v>
      </c>
      <c r="P33" s="78">
        <v>33500.0</v>
      </c>
      <c r="Q33" s="73">
        <f t="shared" ref="Q33:Q44" si="105">P33/E33</f>
        <v>33500</v>
      </c>
      <c r="R33" s="74"/>
      <c r="S33" s="75"/>
      <c r="T33" s="66">
        <f t="shared" ref="T33:T44" si="106">AD33*$T$3</f>
        <v>0</v>
      </c>
      <c r="U33" s="66">
        <f t="shared" ref="U33:U44" si="107">AD33*$U$3</f>
        <v>0</v>
      </c>
      <c r="V33" s="66">
        <f t="shared" ref="V33:V44" si="108">AD33*$V$3</f>
        <v>0</v>
      </c>
      <c r="W33" s="66">
        <f t="shared" ref="W33:W44" si="109">AD33*$W$3</f>
        <v>0</v>
      </c>
      <c r="X33" s="68">
        <v>1250.0</v>
      </c>
      <c r="Y33" s="68">
        <v>1250.0</v>
      </c>
      <c r="Z33" s="68">
        <v>1250.0</v>
      </c>
      <c r="AA33" s="70" t="str">
        <f t="shared" ref="AA33:AA44" si="110">AB33/AC33</f>
        <v>#DIV/0!</v>
      </c>
      <c r="AB33" s="71">
        <f t="shared" ref="AB33:AB44" si="111">AC33-Z33</f>
        <v>-1250</v>
      </c>
      <c r="AC33" s="66">
        <f t="shared" ref="AC33:AC44" si="112">AD33/$O$4</f>
        <v>0</v>
      </c>
      <c r="AD33" s="78"/>
      <c r="AE33" s="73" t="str">
        <f t="shared" ref="AE33:AE44" si="113">AD33/S33</f>
        <v>#DIV/0!</v>
      </c>
      <c r="AF33" s="76"/>
      <c r="AG33" s="75"/>
      <c r="AH33" s="66">
        <f t="shared" ref="AH33:AH44" si="114">AR33*$AH$3</f>
        <v>0</v>
      </c>
      <c r="AI33" s="66">
        <f t="shared" ref="AI33:AI44" si="115">AR33*$AI$3</f>
        <v>0</v>
      </c>
      <c r="AJ33" s="66">
        <f t="shared" ref="AJ33:AJ44" si="116">AR33*$AJ$3</f>
        <v>0</v>
      </c>
      <c r="AK33" s="66">
        <f t="shared" ref="AK33:AK44" si="117">AR33*$AK$3</f>
        <v>0</v>
      </c>
      <c r="AL33" s="68">
        <v>1250.0</v>
      </c>
      <c r="AM33" s="66">
        <f t="shared" ref="AM33:AM44" si="118">AF33*$AM$3</f>
        <v>0</v>
      </c>
      <c r="AN33" s="69">
        <f t="shared" ref="AN33:AN44" si="119">(R33*AG33)+AH33+AI33+AJ33+AK33+AL33+AM33</f>
        <v>1250</v>
      </c>
      <c r="AO33" s="70" t="str">
        <f t="shared" ref="AO33:AO44" si="120">AP33/AQ33</f>
        <v>#DIV/0!</v>
      </c>
      <c r="AP33" s="71">
        <f t="shared" ref="AP33:AP44" si="121">AQ33-AN33</f>
        <v>-1250</v>
      </c>
      <c r="AQ33" s="66">
        <f t="shared" ref="AQ33:AQ44" si="122">AR33/$O$4</f>
        <v>0</v>
      </c>
      <c r="AR33" s="78"/>
      <c r="AS33" s="73" t="str">
        <f t="shared" ref="AS33:AS44" si="123">AR33/AG33</f>
        <v>#DIV/0!</v>
      </c>
    </row>
    <row r="34">
      <c r="A34" s="98" t="s">
        <v>59</v>
      </c>
      <c r="B34" s="66">
        <f>B11*2+B13*2</f>
        <v>47400</v>
      </c>
      <c r="C34" s="65">
        <f t="shared" si="94"/>
        <v>42660</v>
      </c>
      <c r="D34" s="66">
        <f t="shared" si="95"/>
        <v>38432.43243</v>
      </c>
      <c r="E34" s="96">
        <v>1.0</v>
      </c>
      <c r="F34" s="66">
        <f t="shared" si="96"/>
        <v>7808</v>
      </c>
      <c r="G34" s="66">
        <f t="shared" si="97"/>
        <v>3840</v>
      </c>
      <c r="H34" s="66">
        <f t="shared" si="98"/>
        <v>1152</v>
      </c>
      <c r="I34" s="66">
        <f t="shared" si="99"/>
        <v>2880</v>
      </c>
      <c r="J34" s="68">
        <v>1250.0</v>
      </c>
      <c r="K34" s="66">
        <f t="shared" si="100"/>
        <v>1921.621622</v>
      </c>
      <c r="L34" s="69">
        <f t="shared" si="101"/>
        <v>57284.05405</v>
      </c>
      <c r="M34" s="70">
        <f t="shared" si="102"/>
        <v>0.0064796875</v>
      </c>
      <c r="N34" s="71">
        <f t="shared" si="103"/>
        <v>373.6036036</v>
      </c>
      <c r="O34" s="66">
        <f t="shared" si="104"/>
        <v>57657.65766</v>
      </c>
      <c r="P34" s="78">
        <v>64000.0</v>
      </c>
      <c r="Q34" s="73">
        <f t="shared" si="105"/>
        <v>64000</v>
      </c>
      <c r="R34" s="74"/>
      <c r="S34" s="75"/>
      <c r="T34" s="66">
        <f t="shared" si="106"/>
        <v>0</v>
      </c>
      <c r="U34" s="66">
        <f t="shared" si="107"/>
        <v>0</v>
      </c>
      <c r="V34" s="66">
        <f t="shared" si="108"/>
        <v>0</v>
      </c>
      <c r="W34" s="66">
        <f t="shared" si="109"/>
        <v>0</v>
      </c>
      <c r="X34" s="68">
        <v>1250.0</v>
      </c>
      <c r="Y34" s="68">
        <v>1250.0</v>
      </c>
      <c r="Z34" s="68">
        <v>1250.0</v>
      </c>
      <c r="AA34" s="70" t="str">
        <f t="shared" si="110"/>
        <v>#DIV/0!</v>
      </c>
      <c r="AB34" s="71">
        <f t="shared" si="111"/>
        <v>-1250</v>
      </c>
      <c r="AC34" s="66">
        <f t="shared" si="112"/>
        <v>0</v>
      </c>
      <c r="AD34" s="78"/>
      <c r="AE34" s="73" t="str">
        <f t="shared" si="113"/>
        <v>#DIV/0!</v>
      </c>
      <c r="AF34" s="76"/>
      <c r="AG34" s="75"/>
      <c r="AH34" s="66">
        <f t="shared" si="114"/>
        <v>0</v>
      </c>
      <c r="AI34" s="66">
        <f t="shared" si="115"/>
        <v>0</v>
      </c>
      <c r="AJ34" s="66">
        <f t="shared" si="116"/>
        <v>0</v>
      </c>
      <c r="AK34" s="66">
        <f t="shared" si="117"/>
        <v>0</v>
      </c>
      <c r="AL34" s="68">
        <v>1250.0</v>
      </c>
      <c r="AM34" s="66">
        <f t="shared" si="118"/>
        <v>0</v>
      </c>
      <c r="AN34" s="69">
        <f t="shared" si="119"/>
        <v>1250</v>
      </c>
      <c r="AO34" s="70" t="str">
        <f t="shared" si="120"/>
        <v>#DIV/0!</v>
      </c>
      <c r="AP34" s="71">
        <f t="shared" si="121"/>
        <v>-1250</v>
      </c>
      <c r="AQ34" s="66">
        <f t="shared" si="122"/>
        <v>0</v>
      </c>
      <c r="AR34" s="78"/>
      <c r="AS34" s="73" t="str">
        <f t="shared" si="123"/>
        <v>#DIV/0!</v>
      </c>
    </row>
    <row r="35">
      <c r="A35" s="98" t="s">
        <v>60</v>
      </c>
      <c r="B35" s="66">
        <f>B19+B13</f>
        <v>40700</v>
      </c>
      <c r="C35" s="65">
        <f t="shared" si="94"/>
        <v>36630</v>
      </c>
      <c r="D35" s="66">
        <f t="shared" si="95"/>
        <v>33000</v>
      </c>
      <c r="E35" s="96">
        <v>1.0</v>
      </c>
      <c r="F35" s="66">
        <f t="shared" si="96"/>
        <v>7405.4</v>
      </c>
      <c r="G35" s="66">
        <f t="shared" si="97"/>
        <v>3642</v>
      </c>
      <c r="H35" s="66">
        <f t="shared" si="98"/>
        <v>1092.6</v>
      </c>
      <c r="I35" s="66">
        <f t="shared" si="99"/>
        <v>2731.5</v>
      </c>
      <c r="J35" s="68">
        <v>1250.0</v>
      </c>
      <c r="K35" s="66">
        <f t="shared" si="100"/>
        <v>1650</v>
      </c>
      <c r="L35" s="69">
        <f t="shared" si="101"/>
        <v>50771.5</v>
      </c>
      <c r="M35" s="70">
        <f t="shared" si="102"/>
        <v>0.07155906096</v>
      </c>
      <c r="N35" s="71">
        <f t="shared" si="103"/>
        <v>3913.184685</v>
      </c>
      <c r="O35" s="66">
        <f t="shared" si="104"/>
        <v>54684.68468</v>
      </c>
      <c r="P35" s="78">
        <v>60700.0</v>
      </c>
      <c r="Q35" s="73">
        <f t="shared" si="105"/>
        <v>60700</v>
      </c>
      <c r="R35" s="74"/>
      <c r="S35" s="75"/>
      <c r="T35" s="66">
        <f t="shared" si="106"/>
        <v>0</v>
      </c>
      <c r="U35" s="66">
        <f t="shared" si="107"/>
        <v>0</v>
      </c>
      <c r="V35" s="66">
        <f t="shared" si="108"/>
        <v>0</v>
      </c>
      <c r="W35" s="66">
        <f t="shared" si="109"/>
        <v>0</v>
      </c>
      <c r="X35" s="68">
        <v>1250.0</v>
      </c>
      <c r="Y35" s="68">
        <v>1250.0</v>
      </c>
      <c r="Z35" s="68">
        <v>1250.0</v>
      </c>
      <c r="AA35" s="70" t="str">
        <f t="shared" si="110"/>
        <v>#DIV/0!</v>
      </c>
      <c r="AB35" s="71">
        <f t="shared" si="111"/>
        <v>-1250</v>
      </c>
      <c r="AC35" s="66">
        <f t="shared" si="112"/>
        <v>0</v>
      </c>
      <c r="AD35" s="78"/>
      <c r="AE35" s="73" t="str">
        <f t="shared" si="113"/>
        <v>#DIV/0!</v>
      </c>
      <c r="AF35" s="76"/>
      <c r="AG35" s="75"/>
      <c r="AH35" s="66">
        <f t="shared" si="114"/>
        <v>0</v>
      </c>
      <c r="AI35" s="66">
        <f t="shared" si="115"/>
        <v>0</v>
      </c>
      <c r="AJ35" s="66">
        <f t="shared" si="116"/>
        <v>0</v>
      </c>
      <c r="AK35" s="66">
        <f t="shared" si="117"/>
        <v>0</v>
      </c>
      <c r="AL35" s="68">
        <v>1250.0</v>
      </c>
      <c r="AM35" s="66">
        <f t="shared" si="118"/>
        <v>0</v>
      </c>
      <c r="AN35" s="69">
        <f t="shared" si="119"/>
        <v>1250</v>
      </c>
      <c r="AO35" s="70" t="str">
        <f t="shared" si="120"/>
        <v>#DIV/0!</v>
      </c>
      <c r="AP35" s="71">
        <f t="shared" si="121"/>
        <v>-1250</v>
      </c>
      <c r="AQ35" s="66">
        <f t="shared" si="122"/>
        <v>0</v>
      </c>
      <c r="AR35" s="78"/>
      <c r="AS35" s="73" t="str">
        <f t="shared" si="123"/>
        <v>#DIV/0!</v>
      </c>
    </row>
    <row r="36">
      <c r="A36" s="98" t="s">
        <v>61</v>
      </c>
      <c r="B36" s="68">
        <v>2500.0</v>
      </c>
      <c r="C36" s="65">
        <f t="shared" si="94"/>
        <v>2250</v>
      </c>
      <c r="D36" s="66">
        <f t="shared" si="95"/>
        <v>2027.027027</v>
      </c>
      <c r="E36" s="96">
        <v>1.0</v>
      </c>
      <c r="F36" s="66">
        <f t="shared" si="96"/>
        <v>854</v>
      </c>
      <c r="G36" s="66">
        <f t="shared" si="97"/>
        <v>420</v>
      </c>
      <c r="H36" s="66">
        <f t="shared" si="98"/>
        <v>126</v>
      </c>
      <c r="I36" s="66">
        <f t="shared" si="99"/>
        <v>315</v>
      </c>
      <c r="J36" s="68">
        <v>1250.0</v>
      </c>
      <c r="K36" s="66">
        <f t="shared" si="100"/>
        <v>101.3513514</v>
      </c>
      <c r="L36" s="69">
        <f t="shared" si="101"/>
        <v>5093.378378</v>
      </c>
      <c r="M36" s="70">
        <f t="shared" si="102"/>
        <v>0.1923357143</v>
      </c>
      <c r="N36" s="71">
        <f t="shared" si="103"/>
        <v>1212.927928</v>
      </c>
      <c r="O36" s="66">
        <f t="shared" si="104"/>
        <v>6306.306306</v>
      </c>
      <c r="P36" s="78">
        <v>7000.0</v>
      </c>
      <c r="Q36" s="73">
        <f t="shared" si="105"/>
        <v>7000</v>
      </c>
      <c r="R36" s="74"/>
      <c r="S36" s="75"/>
      <c r="T36" s="66">
        <f t="shared" si="106"/>
        <v>0</v>
      </c>
      <c r="U36" s="66">
        <f t="shared" si="107"/>
        <v>0</v>
      </c>
      <c r="V36" s="66">
        <f t="shared" si="108"/>
        <v>0</v>
      </c>
      <c r="W36" s="66">
        <f t="shared" si="109"/>
        <v>0</v>
      </c>
      <c r="X36" s="68">
        <v>1250.0</v>
      </c>
      <c r="Y36" s="68">
        <v>1250.0</v>
      </c>
      <c r="Z36" s="68">
        <v>1250.0</v>
      </c>
      <c r="AA36" s="70" t="str">
        <f t="shared" si="110"/>
        <v>#DIV/0!</v>
      </c>
      <c r="AB36" s="71">
        <f t="shared" si="111"/>
        <v>-1250</v>
      </c>
      <c r="AC36" s="66">
        <f t="shared" si="112"/>
        <v>0</v>
      </c>
      <c r="AD36" s="78"/>
      <c r="AE36" s="73" t="str">
        <f t="shared" si="113"/>
        <v>#DIV/0!</v>
      </c>
      <c r="AF36" s="76"/>
      <c r="AG36" s="75"/>
      <c r="AH36" s="66">
        <f t="shared" si="114"/>
        <v>0</v>
      </c>
      <c r="AI36" s="66">
        <f t="shared" si="115"/>
        <v>0</v>
      </c>
      <c r="AJ36" s="66">
        <f t="shared" si="116"/>
        <v>0</v>
      </c>
      <c r="AK36" s="66">
        <f t="shared" si="117"/>
        <v>0</v>
      </c>
      <c r="AL36" s="68">
        <v>1250.0</v>
      </c>
      <c r="AM36" s="66">
        <f t="shared" si="118"/>
        <v>0</v>
      </c>
      <c r="AN36" s="69">
        <f t="shared" si="119"/>
        <v>1250</v>
      </c>
      <c r="AO36" s="70" t="str">
        <f t="shared" si="120"/>
        <v>#DIV/0!</v>
      </c>
      <c r="AP36" s="71">
        <f t="shared" si="121"/>
        <v>-1250</v>
      </c>
      <c r="AQ36" s="66">
        <f t="shared" si="122"/>
        <v>0</v>
      </c>
      <c r="AR36" s="78"/>
      <c r="AS36" s="73" t="str">
        <f t="shared" si="123"/>
        <v>#DIV/0!</v>
      </c>
    </row>
    <row r="37">
      <c r="A37" s="98" t="s">
        <v>62</v>
      </c>
      <c r="B37" s="66">
        <f>B5+B36</f>
        <v>5700</v>
      </c>
      <c r="C37" s="65">
        <f t="shared" si="94"/>
        <v>5130</v>
      </c>
      <c r="D37" s="66">
        <f t="shared" si="95"/>
        <v>4621.621622</v>
      </c>
      <c r="E37" s="96">
        <v>1.0</v>
      </c>
      <c r="F37" s="66">
        <f t="shared" si="96"/>
        <v>1207.8</v>
      </c>
      <c r="G37" s="66">
        <f t="shared" si="97"/>
        <v>594</v>
      </c>
      <c r="H37" s="66">
        <f t="shared" si="98"/>
        <v>178.2</v>
      </c>
      <c r="I37" s="66">
        <f t="shared" si="99"/>
        <v>445.5</v>
      </c>
      <c r="J37" s="68">
        <v>1250.0</v>
      </c>
      <c r="K37" s="66">
        <f t="shared" si="100"/>
        <v>231.0810811</v>
      </c>
      <c r="L37" s="69">
        <f t="shared" si="101"/>
        <v>8528.202703</v>
      </c>
      <c r="M37" s="70">
        <f t="shared" si="102"/>
        <v>0.04380757576</v>
      </c>
      <c r="N37" s="71">
        <f t="shared" si="103"/>
        <v>390.7162162</v>
      </c>
      <c r="O37" s="66">
        <f t="shared" si="104"/>
        <v>8918.918919</v>
      </c>
      <c r="P37" s="78">
        <v>9900.0</v>
      </c>
      <c r="Q37" s="73">
        <f t="shared" si="105"/>
        <v>9900</v>
      </c>
      <c r="R37" s="74"/>
      <c r="S37" s="75"/>
      <c r="T37" s="66">
        <f t="shared" si="106"/>
        <v>0</v>
      </c>
      <c r="U37" s="66">
        <f t="shared" si="107"/>
        <v>0</v>
      </c>
      <c r="V37" s="66">
        <f t="shared" si="108"/>
        <v>0</v>
      </c>
      <c r="W37" s="66">
        <f t="shared" si="109"/>
        <v>0</v>
      </c>
      <c r="X37" s="68">
        <v>1250.0</v>
      </c>
      <c r="Y37" s="68">
        <v>1250.0</v>
      </c>
      <c r="Z37" s="68">
        <v>1250.0</v>
      </c>
      <c r="AA37" s="70" t="str">
        <f t="shared" si="110"/>
        <v>#DIV/0!</v>
      </c>
      <c r="AB37" s="71">
        <f t="shared" si="111"/>
        <v>-1250</v>
      </c>
      <c r="AC37" s="66">
        <f t="shared" si="112"/>
        <v>0</v>
      </c>
      <c r="AD37" s="78"/>
      <c r="AE37" s="73" t="str">
        <f t="shared" si="113"/>
        <v>#DIV/0!</v>
      </c>
      <c r="AF37" s="76"/>
      <c r="AG37" s="75"/>
      <c r="AH37" s="66">
        <f t="shared" si="114"/>
        <v>0</v>
      </c>
      <c r="AI37" s="66">
        <f t="shared" si="115"/>
        <v>0</v>
      </c>
      <c r="AJ37" s="66">
        <f t="shared" si="116"/>
        <v>0</v>
      </c>
      <c r="AK37" s="66">
        <f t="shared" si="117"/>
        <v>0</v>
      </c>
      <c r="AL37" s="68">
        <v>1250.0</v>
      </c>
      <c r="AM37" s="66">
        <f t="shared" si="118"/>
        <v>0</v>
      </c>
      <c r="AN37" s="69">
        <f t="shared" si="119"/>
        <v>1250</v>
      </c>
      <c r="AO37" s="70" t="str">
        <f t="shared" si="120"/>
        <v>#DIV/0!</v>
      </c>
      <c r="AP37" s="71">
        <f t="shared" si="121"/>
        <v>-1250</v>
      </c>
      <c r="AQ37" s="66">
        <f t="shared" si="122"/>
        <v>0</v>
      </c>
      <c r="AR37" s="78"/>
      <c r="AS37" s="73" t="str">
        <f t="shared" si="123"/>
        <v>#DIV/0!</v>
      </c>
    </row>
    <row r="38">
      <c r="A38" s="98" t="s">
        <v>63</v>
      </c>
      <c r="B38" s="66">
        <f>B5*5+B36</f>
        <v>18500</v>
      </c>
      <c r="C38" s="65">
        <f t="shared" si="94"/>
        <v>16650</v>
      </c>
      <c r="D38" s="66">
        <f t="shared" si="95"/>
        <v>15000</v>
      </c>
      <c r="E38" s="96">
        <v>1.0</v>
      </c>
      <c r="F38" s="66">
        <f t="shared" si="96"/>
        <v>3660</v>
      </c>
      <c r="G38" s="66">
        <f t="shared" si="97"/>
        <v>1800</v>
      </c>
      <c r="H38" s="66">
        <f t="shared" si="98"/>
        <v>540</v>
      </c>
      <c r="I38" s="66">
        <f t="shared" si="99"/>
        <v>1350</v>
      </c>
      <c r="J38" s="68">
        <v>1250.0</v>
      </c>
      <c r="K38" s="66">
        <f t="shared" si="100"/>
        <v>750</v>
      </c>
      <c r="L38" s="69">
        <f t="shared" si="101"/>
        <v>24350</v>
      </c>
      <c r="M38" s="70">
        <f t="shared" si="102"/>
        <v>0.09905</v>
      </c>
      <c r="N38" s="71">
        <f t="shared" si="103"/>
        <v>2677.027027</v>
      </c>
      <c r="O38" s="66">
        <f t="shared" si="104"/>
        <v>27027.02703</v>
      </c>
      <c r="P38" s="78">
        <v>30000.0</v>
      </c>
      <c r="Q38" s="73">
        <f t="shared" si="105"/>
        <v>30000</v>
      </c>
      <c r="R38" s="74"/>
      <c r="S38" s="75"/>
      <c r="T38" s="66">
        <f t="shared" si="106"/>
        <v>0</v>
      </c>
      <c r="U38" s="66">
        <f t="shared" si="107"/>
        <v>0</v>
      </c>
      <c r="V38" s="66">
        <f t="shared" si="108"/>
        <v>0</v>
      </c>
      <c r="W38" s="66">
        <f t="shared" si="109"/>
        <v>0</v>
      </c>
      <c r="X38" s="68">
        <v>1250.0</v>
      </c>
      <c r="Y38" s="68">
        <v>1250.0</v>
      </c>
      <c r="Z38" s="68">
        <v>1250.0</v>
      </c>
      <c r="AA38" s="70" t="str">
        <f t="shared" si="110"/>
        <v>#DIV/0!</v>
      </c>
      <c r="AB38" s="71">
        <f t="shared" si="111"/>
        <v>-1250</v>
      </c>
      <c r="AC38" s="66">
        <f t="shared" si="112"/>
        <v>0</v>
      </c>
      <c r="AD38" s="78"/>
      <c r="AE38" s="73" t="str">
        <f t="shared" si="113"/>
        <v>#DIV/0!</v>
      </c>
      <c r="AF38" s="76"/>
      <c r="AG38" s="75"/>
      <c r="AH38" s="66">
        <f t="shared" si="114"/>
        <v>0</v>
      </c>
      <c r="AI38" s="66">
        <f t="shared" si="115"/>
        <v>0</v>
      </c>
      <c r="AJ38" s="66">
        <f t="shared" si="116"/>
        <v>0</v>
      </c>
      <c r="AK38" s="66">
        <f t="shared" si="117"/>
        <v>0</v>
      </c>
      <c r="AL38" s="68">
        <v>1250.0</v>
      </c>
      <c r="AM38" s="66">
        <f t="shared" si="118"/>
        <v>0</v>
      </c>
      <c r="AN38" s="69">
        <f t="shared" si="119"/>
        <v>1250</v>
      </c>
      <c r="AO38" s="70" t="str">
        <f t="shared" si="120"/>
        <v>#DIV/0!</v>
      </c>
      <c r="AP38" s="71">
        <f t="shared" si="121"/>
        <v>-1250</v>
      </c>
      <c r="AQ38" s="66">
        <f t="shared" si="122"/>
        <v>0</v>
      </c>
      <c r="AR38" s="78"/>
      <c r="AS38" s="73" t="str">
        <f t="shared" si="123"/>
        <v>#DIV/0!</v>
      </c>
    </row>
    <row r="39">
      <c r="A39" s="98" t="s">
        <v>64</v>
      </c>
      <c r="B39" s="68">
        <v>3000.0</v>
      </c>
      <c r="C39" s="65">
        <f t="shared" si="94"/>
        <v>2700</v>
      </c>
      <c r="D39" s="66">
        <f t="shared" si="95"/>
        <v>2432.432432</v>
      </c>
      <c r="E39" s="96">
        <v>1.0</v>
      </c>
      <c r="F39" s="66">
        <f t="shared" si="96"/>
        <v>869.25</v>
      </c>
      <c r="G39" s="66">
        <f t="shared" si="97"/>
        <v>427.5</v>
      </c>
      <c r="H39" s="66">
        <f t="shared" si="98"/>
        <v>128.25</v>
      </c>
      <c r="I39" s="66">
        <f t="shared" si="99"/>
        <v>320.625</v>
      </c>
      <c r="J39" s="68">
        <v>1250.0</v>
      </c>
      <c r="K39" s="66">
        <f t="shared" si="100"/>
        <v>121.6216216</v>
      </c>
      <c r="L39" s="69">
        <f t="shared" si="101"/>
        <v>5549.679054</v>
      </c>
      <c r="M39" s="70">
        <f t="shared" si="102"/>
        <v>0.1354184211</v>
      </c>
      <c r="N39" s="71">
        <f t="shared" si="103"/>
        <v>869.2398649</v>
      </c>
      <c r="O39" s="66">
        <f t="shared" si="104"/>
        <v>6418.918919</v>
      </c>
      <c r="P39" s="78">
        <v>7125.0</v>
      </c>
      <c r="Q39" s="73">
        <f t="shared" si="105"/>
        <v>7125</v>
      </c>
      <c r="R39" s="74"/>
      <c r="S39" s="75"/>
      <c r="T39" s="66">
        <f t="shared" si="106"/>
        <v>0</v>
      </c>
      <c r="U39" s="66">
        <f t="shared" si="107"/>
        <v>0</v>
      </c>
      <c r="V39" s="66">
        <f t="shared" si="108"/>
        <v>0</v>
      </c>
      <c r="W39" s="66">
        <f t="shared" si="109"/>
        <v>0</v>
      </c>
      <c r="X39" s="68">
        <v>1250.0</v>
      </c>
      <c r="Y39" s="68">
        <v>1250.0</v>
      </c>
      <c r="Z39" s="68">
        <v>1250.0</v>
      </c>
      <c r="AA39" s="70" t="str">
        <f t="shared" si="110"/>
        <v>#DIV/0!</v>
      </c>
      <c r="AB39" s="71">
        <f t="shared" si="111"/>
        <v>-1250</v>
      </c>
      <c r="AC39" s="66">
        <f t="shared" si="112"/>
        <v>0</v>
      </c>
      <c r="AD39" s="78"/>
      <c r="AE39" s="73" t="str">
        <f t="shared" si="113"/>
        <v>#DIV/0!</v>
      </c>
      <c r="AF39" s="76"/>
      <c r="AG39" s="75"/>
      <c r="AH39" s="66">
        <f t="shared" si="114"/>
        <v>0</v>
      </c>
      <c r="AI39" s="66">
        <f t="shared" si="115"/>
        <v>0</v>
      </c>
      <c r="AJ39" s="66">
        <f t="shared" si="116"/>
        <v>0</v>
      </c>
      <c r="AK39" s="66">
        <f t="shared" si="117"/>
        <v>0</v>
      </c>
      <c r="AL39" s="68">
        <v>1250.0</v>
      </c>
      <c r="AM39" s="66">
        <f t="shared" si="118"/>
        <v>0</v>
      </c>
      <c r="AN39" s="69">
        <f t="shared" si="119"/>
        <v>1250</v>
      </c>
      <c r="AO39" s="70" t="str">
        <f t="shared" si="120"/>
        <v>#DIV/0!</v>
      </c>
      <c r="AP39" s="71">
        <f t="shared" si="121"/>
        <v>-1250</v>
      </c>
      <c r="AQ39" s="66">
        <f t="shared" si="122"/>
        <v>0</v>
      </c>
      <c r="AR39" s="78"/>
      <c r="AS39" s="73" t="str">
        <f t="shared" si="123"/>
        <v>#DIV/0!</v>
      </c>
    </row>
    <row r="40">
      <c r="A40" s="98" t="s">
        <v>65</v>
      </c>
      <c r="B40" s="66">
        <f>B39+1000</f>
        <v>4000</v>
      </c>
      <c r="C40" s="65">
        <f t="shared" si="94"/>
        <v>3600</v>
      </c>
      <c r="D40" s="66">
        <f t="shared" si="95"/>
        <v>3243.243243</v>
      </c>
      <c r="E40" s="96">
        <v>1.0</v>
      </c>
      <c r="F40" s="66">
        <f t="shared" si="96"/>
        <v>1098</v>
      </c>
      <c r="G40" s="66">
        <f t="shared" si="97"/>
        <v>540</v>
      </c>
      <c r="H40" s="66">
        <f t="shared" si="98"/>
        <v>162</v>
      </c>
      <c r="I40" s="66">
        <f t="shared" si="99"/>
        <v>405</v>
      </c>
      <c r="J40" s="68">
        <v>1250.0</v>
      </c>
      <c r="K40" s="66">
        <f t="shared" si="100"/>
        <v>162.1621622</v>
      </c>
      <c r="L40" s="69">
        <f t="shared" si="101"/>
        <v>6860.405405</v>
      </c>
      <c r="M40" s="70">
        <f t="shared" si="102"/>
        <v>0.1538833333</v>
      </c>
      <c r="N40" s="71">
        <f t="shared" si="103"/>
        <v>1247.702703</v>
      </c>
      <c r="O40" s="66">
        <f t="shared" si="104"/>
        <v>8108.108108</v>
      </c>
      <c r="P40" s="78">
        <v>9000.0</v>
      </c>
      <c r="Q40" s="73">
        <f t="shared" si="105"/>
        <v>9000</v>
      </c>
      <c r="R40" s="74"/>
      <c r="S40" s="75"/>
      <c r="T40" s="66">
        <f t="shared" si="106"/>
        <v>0</v>
      </c>
      <c r="U40" s="66">
        <f t="shared" si="107"/>
        <v>0</v>
      </c>
      <c r="V40" s="66">
        <f t="shared" si="108"/>
        <v>0</v>
      </c>
      <c r="W40" s="66">
        <f t="shared" si="109"/>
        <v>0</v>
      </c>
      <c r="X40" s="68">
        <v>1250.0</v>
      </c>
      <c r="Y40" s="68">
        <v>1250.0</v>
      </c>
      <c r="Z40" s="68">
        <v>1250.0</v>
      </c>
      <c r="AA40" s="70" t="str">
        <f t="shared" si="110"/>
        <v>#DIV/0!</v>
      </c>
      <c r="AB40" s="71">
        <f t="shared" si="111"/>
        <v>-1250</v>
      </c>
      <c r="AC40" s="66">
        <f t="shared" si="112"/>
        <v>0</v>
      </c>
      <c r="AD40" s="78"/>
      <c r="AE40" s="73" t="str">
        <f t="shared" si="113"/>
        <v>#DIV/0!</v>
      </c>
      <c r="AF40" s="76"/>
      <c r="AG40" s="75"/>
      <c r="AH40" s="66">
        <f t="shared" si="114"/>
        <v>0</v>
      </c>
      <c r="AI40" s="66">
        <f t="shared" si="115"/>
        <v>0</v>
      </c>
      <c r="AJ40" s="66">
        <f t="shared" si="116"/>
        <v>0</v>
      </c>
      <c r="AK40" s="66">
        <f t="shared" si="117"/>
        <v>0</v>
      </c>
      <c r="AL40" s="68">
        <v>1250.0</v>
      </c>
      <c r="AM40" s="66">
        <f t="shared" si="118"/>
        <v>0</v>
      </c>
      <c r="AN40" s="69">
        <f t="shared" si="119"/>
        <v>1250</v>
      </c>
      <c r="AO40" s="70" t="str">
        <f t="shared" si="120"/>
        <v>#DIV/0!</v>
      </c>
      <c r="AP40" s="71">
        <f t="shared" si="121"/>
        <v>-1250</v>
      </c>
      <c r="AQ40" s="66">
        <f t="shared" si="122"/>
        <v>0</v>
      </c>
      <c r="AR40" s="78"/>
      <c r="AS40" s="73" t="str">
        <f t="shared" si="123"/>
        <v>#DIV/0!</v>
      </c>
    </row>
    <row r="41">
      <c r="A41" s="98" t="s">
        <v>66</v>
      </c>
      <c r="B41" s="66">
        <f>B7+B39</f>
        <v>6900</v>
      </c>
      <c r="C41" s="65">
        <f t="shared" si="94"/>
        <v>6210</v>
      </c>
      <c r="D41" s="66">
        <f t="shared" si="95"/>
        <v>5594.594595</v>
      </c>
      <c r="E41" s="96">
        <v>1.0</v>
      </c>
      <c r="F41" s="66">
        <f t="shared" si="96"/>
        <v>1525</v>
      </c>
      <c r="G41" s="66">
        <f t="shared" si="97"/>
        <v>750</v>
      </c>
      <c r="H41" s="66">
        <f t="shared" si="98"/>
        <v>225</v>
      </c>
      <c r="I41" s="66">
        <f t="shared" si="99"/>
        <v>562.5</v>
      </c>
      <c r="J41" s="68">
        <v>1250.0</v>
      </c>
      <c r="K41" s="66">
        <f t="shared" si="100"/>
        <v>279.7297297</v>
      </c>
      <c r="L41" s="69">
        <f t="shared" si="101"/>
        <v>10186.82432</v>
      </c>
      <c r="M41" s="70">
        <f t="shared" si="102"/>
        <v>0.09541</v>
      </c>
      <c r="N41" s="71">
        <f t="shared" si="103"/>
        <v>1074.436937</v>
      </c>
      <c r="O41" s="66">
        <f t="shared" si="104"/>
        <v>11261.26126</v>
      </c>
      <c r="P41" s="78">
        <v>12500.0</v>
      </c>
      <c r="Q41" s="73">
        <f t="shared" si="105"/>
        <v>12500</v>
      </c>
      <c r="R41" s="74"/>
      <c r="S41" s="75"/>
      <c r="T41" s="66">
        <f t="shared" si="106"/>
        <v>0</v>
      </c>
      <c r="U41" s="66">
        <f t="shared" si="107"/>
        <v>0</v>
      </c>
      <c r="V41" s="66">
        <f t="shared" si="108"/>
        <v>0</v>
      </c>
      <c r="W41" s="66">
        <f t="shared" si="109"/>
        <v>0</v>
      </c>
      <c r="X41" s="68">
        <v>1250.0</v>
      </c>
      <c r="Y41" s="68">
        <v>1250.0</v>
      </c>
      <c r="Z41" s="68">
        <v>1250.0</v>
      </c>
      <c r="AA41" s="70" t="str">
        <f t="shared" si="110"/>
        <v>#DIV/0!</v>
      </c>
      <c r="AB41" s="71">
        <f t="shared" si="111"/>
        <v>-1250</v>
      </c>
      <c r="AC41" s="66">
        <f t="shared" si="112"/>
        <v>0</v>
      </c>
      <c r="AD41" s="78"/>
      <c r="AE41" s="73" t="str">
        <f t="shared" si="113"/>
        <v>#DIV/0!</v>
      </c>
      <c r="AF41" s="76"/>
      <c r="AG41" s="75"/>
      <c r="AH41" s="66">
        <f t="shared" si="114"/>
        <v>0</v>
      </c>
      <c r="AI41" s="66">
        <f t="shared" si="115"/>
        <v>0</v>
      </c>
      <c r="AJ41" s="66">
        <f t="shared" si="116"/>
        <v>0</v>
      </c>
      <c r="AK41" s="66">
        <f t="shared" si="117"/>
        <v>0</v>
      </c>
      <c r="AL41" s="68">
        <v>1250.0</v>
      </c>
      <c r="AM41" s="66">
        <f t="shared" si="118"/>
        <v>0</v>
      </c>
      <c r="AN41" s="69">
        <f t="shared" si="119"/>
        <v>1250</v>
      </c>
      <c r="AO41" s="70" t="str">
        <f t="shared" si="120"/>
        <v>#DIV/0!</v>
      </c>
      <c r="AP41" s="71">
        <f t="shared" si="121"/>
        <v>-1250</v>
      </c>
      <c r="AQ41" s="66">
        <f t="shared" si="122"/>
        <v>0</v>
      </c>
      <c r="AR41" s="78"/>
      <c r="AS41" s="73" t="str">
        <f t="shared" si="123"/>
        <v>#DIV/0!</v>
      </c>
    </row>
    <row r="42">
      <c r="A42" s="98" t="s">
        <v>67</v>
      </c>
      <c r="B42" s="66">
        <f>B7+B40</f>
        <v>7900</v>
      </c>
      <c r="C42" s="65">
        <f t="shared" si="94"/>
        <v>7110</v>
      </c>
      <c r="D42" s="66">
        <f t="shared" si="95"/>
        <v>6405.405405</v>
      </c>
      <c r="E42" s="96">
        <v>1.0</v>
      </c>
      <c r="F42" s="66">
        <f t="shared" si="96"/>
        <v>1647</v>
      </c>
      <c r="G42" s="66">
        <f t="shared" si="97"/>
        <v>810</v>
      </c>
      <c r="H42" s="66">
        <f t="shared" si="98"/>
        <v>243</v>
      </c>
      <c r="I42" s="66">
        <f t="shared" si="99"/>
        <v>607.5</v>
      </c>
      <c r="J42" s="68">
        <v>1250.0</v>
      </c>
      <c r="K42" s="66">
        <f t="shared" si="100"/>
        <v>320.2702703</v>
      </c>
      <c r="L42" s="69">
        <f t="shared" si="101"/>
        <v>11283.17568</v>
      </c>
      <c r="M42" s="70">
        <f t="shared" si="102"/>
        <v>0.07227222222</v>
      </c>
      <c r="N42" s="71">
        <f t="shared" si="103"/>
        <v>878.9864865</v>
      </c>
      <c r="O42" s="66">
        <f t="shared" si="104"/>
        <v>12162.16216</v>
      </c>
      <c r="P42" s="78">
        <v>13500.0</v>
      </c>
      <c r="Q42" s="73">
        <f t="shared" si="105"/>
        <v>13500</v>
      </c>
      <c r="R42" s="74"/>
      <c r="S42" s="75"/>
      <c r="T42" s="66">
        <f t="shared" si="106"/>
        <v>0</v>
      </c>
      <c r="U42" s="66">
        <f t="shared" si="107"/>
        <v>0</v>
      </c>
      <c r="V42" s="66">
        <f t="shared" si="108"/>
        <v>0</v>
      </c>
      <c r="W42" s="66">
        <f t="shared" si="109"/>
        <v>0</v>
      </c>
      <c r="X42" s="68">
        <v>1250.0</v>
      </c>
      <c r="Y42" s="68">
        <v>1250.0</v>
      </c>
      <c r="Z42" s="68">
        <v>1250.0</v>
      </c>
      <c r="AA42" s="70" t="str">
        <f t="shared" si="110"/>
        <v>#DIV/0!</v>
      </c>
      <c r="AB42" s="71">
        <f t="shared" si="111"/>
        <v>-1250</v>
      </c>
      <c r="AC42" s="66">
        <f t="shared" si="112"/>
        <v>0</v>
      </c>
      <c r="AD42" s="78"/>
      <c r="AE42" s="73" t="str">
        <f t="shared" si="113"/>
        <v>#DIV/0!</v>
      </c>
      <c r="AF42" s="76"/>
      <c r="AG42" s="75"/>
      <c r="AH42" s="66">
        <f t="shared" si="114"/>
        <v>0</v>
      </c>
      <c r="AI42" s="66">
        <f t="shared" si="115"/>
        <v>0</v>
      </c>
      <c r="AJ42" s="66">
        <f t="shared" si="116"/>
        <v>0</v>
      </c>
      <c r="AK42" s="66">
        <f t="shared" si="117"/>
        <v>0</v>
      </c>
      <c r="AL42" s="68">
        <v>1250.0</v>
      </c>
      <c r="AM42" s="66">
        <f t="shared" si="118"/>
        <v>0</v>
      </c>
      <c r="AN42" s="69">
        <f t="shared" si="119"/>
        <v>1250</v>
      </c>
      <c r="AO42" s="70" t="str">
        <f t="shared" si="120"/>
        <v>#DIV/0!</v>
      </c>
      <c r="AP42" s="71">
        <f t="shared" si="121"/>
        <v>-1250</v>
      </c>
      <c r="AQ42" s="66">
        <f t="shared" si="122"/>
        <v>0</v>
      </c>
      <c r="AR42" s="78"/>
      <c r="AS42" s="73" t="str">
        <f t="shared" si="123"/>
        <v>#DIV/0!</v>
      </c>
    </row>
    <row r="43">
      <c r="A43" s="98" t="s">
        <v>68</v>
      </c>
      <c r="B43" s="66">
        <f>B7*5+B39</f>
        <v>22500</v>
      </c>
      <c r="C43" s="65">
        <f t="shared" si="94"/>
        <v>20250</v>
      </c>
      <c r="D43" s="66">
        <f t="shared" si="95"/>
        <v>18243.24324</v>
      </c>
      <c r="E43" s="96">
        <v>1.0</v>
      </c>
      <c r="F43" s="66">
        <f t="shared" si="96"/>
        <v>4270</v>
      </c>
      <c r="G43" s="66">
        <f t="shared" si="97"/>
        <v>2100</v>
      </c>
      <c r="H43" s="66">
        <f t="shared" si="98"/>
        <v>630</v>
      </c>
      <c r="I43" s="66">
        <f t="shared" si="99"/>
        <v>1575</v>
      </c>
      <c r="J43" s="68">
        <v>1250.0</v>
      </c>
      <c r="K43" s="66">
        <f t="shared" si="100"/>
        <v>912.1621622</v>
      </c>
      <c r="L43" s="69">
        <f t="shared" si="101"/>
        <v>28980.40541</v>
      </c>
      <c r="M43" s="70">
        <f t="shared" si="102"/>
        <v>0.08090714286</v>
      </c>
      <c r="N43" s="71">
        <f t="shared" si="103"/>
        <v>2551.126126</v>
      </c>
      <c r="O43" s="66">
        <f t="shared" si="104"/>
        <v>31531.53153</v>
      </c>
      <c r="P43" s="78">
        <v>35000.0</v>
      </c>
      <c r="Q43" s="73">
        <f t="shared" si="105"/>
        <v>35000</v>
      </c>
      <c r="R43" s="74"/>
      <c r="S43" s="75"/>
      <c r="T43" s="66">
        <f t="shared" si="106"/>
        <v>0</v>
      </c>
      <c r="U43" s="66">
        <f t="shared" si="107"/>
        <v>0</v>
      </c>
      <c r="V43" s="66">
        <f t="shared" si="108"/>
        <v>0</v>
      </c>
      <c r="W43" s="66">
        <f t="shared" si="109"/>
        <v>0</v>
      </c>
      <c r="X43" s="68">
        <v>1250.0</v>
      </c>
      <c r="Y43" s="68">
        <v>1250.0</v>
      </c>
      <c r="Z43" s="68">
        <v>1250.0</v>
      </c>
      <c r="AA43" s="70" t="str">
        <f t="shared" si="110"/>
        <v>#DIV/0!</v>
      </c>
      <c r="AB43" s="71">
        <f t="shared" si="111"/>
        <v>-1250</v>
      </c>
      <c r="AC43" s="66">
        <f t="shared" si="112"/>
        <v>0</v>
      </c>
      <c r="AD43" s="78"/>
      <c r="AE43" s="73" t="str">
        <f t="shared" si="113"/>
        <v>#DIV/0!</v>
      </c>
      <c r="AF43" s="76"/>
      <c r="AG43" s="75"/>
      <c r="AH43" s="66">
        <f t="shared" si="114"/>
        <v>0</v>
      </c>
      <c r="AI43" s="66">
        <f t="shared" si="115"/>
        <v>0</v>
      </c>
      <c r="AJ43" s="66">
        <f t="shared" si="116"/>
        <v>0</v>
      </c>
      <c r="AK43" s="66">
        <f t="shared" si="117"/>
        <v>0</v>
      </c>
      <c r="AL43" s="68">
        <v>1250.0</v>
      </c>
      <c r="AM43" s="66">
        <f t="shared" si="118"/>
        <v>0</v>
      </c>
      <c r="AN43" s="69">
        <f t="shared" si="119"/>
        <v>1250</v>
      </c>
      <c r="AO43" s="70" t="str">
        <f t="shared" si="120"/>
        <v>#DIV/0!</v>
      </c>
      <c r="AP43" s="71">
        <f t="shared" si="121"/>
        <v>-1250</v>
      </c>
      <c r="AQ43" s="66">
        <f t="shared" si="122"/>
        <v>0</v>
      </c>
      <c r="AR43" s="78"/>
      <c r="AS43" s="73" t="str">
        <f t="shared" si="123"/>
        <v>#DIV/0!</v>
      </c>
    </row>
    <row r="44">
      <c r="A44" s="98" t="s">
        <v>69</v>
      </c>
      <c r="B44" s="66">
        <f>B7*5+B40</f>
        <v>23500</v>
      </c>
      <c r="C44" s="65">
        <f t="shared" si="94"/>
        <v>21150</v>
      </c>
      <c r="D44" s="66">
        <f t="shared" si="95"/>
        <v>19054.05405</v>
      </c>
      <c r="E44" s="96">
        <v>1.0</v>
      </c>
      <c r="F44" s="66">
        <f t="shared" si="96"/>
        <v>4514</v>
      </c>
      <c r="G44" s="66">
        <f t="shared" si="97"/>
        <v>2220</v>
      </c>
      <c r="H44" s="66">
        <f t="shared" si="98"/>
        <v>666</v>
      </c>
      <c r="I44" s="66">
        <f t="shared" si="99"/>
        <v>1665</v>
      </c>
      <c r="J44" s="68">
        <v>1250.0</v>
      </c>
      <c r="K44" s="66">
        <f t="shared" si="100"/>
        <v>952.7027027</v>
      </c>
      <c r="L44" s="69">
        <f t="shared" si="101"/>
        <v>30321.75676</v>
      </c>
      <c r="M44" s="70">
        <f t="shared" si="102"/>
        <v>0.0903472973</v>
      </c>
      <c r="N44" s="71">
        <f t="shared" si="103"/>
        <v>3011.576577</v>
      </c>
      <c r="O44" s="66">
        <f t="shared" si="104"/>
        <v>33333.33333</v>
      </c>
      <c r="P44" s="78">
        <v>37000.0</v>
      </c>
      <c r="Q44" s="73">
        <f t="shared" si="105"/>
        <v>37000</v>
      </c>
      <c r="R44" s="74"/>
      <c r="S44" s="75"/>
      <c r="T44" s="66">
        <f t="shared" si="106"/>
        <v>0</v>
      </c>
      <c r="U44" s="66">
        <f t="shared" si="107"/>
        <v>0</v>
      </c>
      <c r="V44" s="66">
        <f t="shared" si="108"/>
        <v>0</v>
      </c>
      <c r="W44" s="66">
        <f t="shared" si="109"/>
        <v>0</v>
      </c>
      <c r="X44" s="68">
        <v>1250.0</v>
      </c>
      <c r="Y44" s="68">
        <v>1250.0</v>
      </c>
      <c r="Z44" s="68">
        <v>1250.0</v>
      </c>
      <c r="AA44" s="70" t="str">
        <f t="shared" si="110"/>
        <v>#DIV/0!</v>
      </c>
      <c r="AB44" s="71">
        <f t="shared" si="111"/>
        <v>-1250</v>
      </c>
      <c r="AC44" s="66">
        <f t="shared" si="112"/>
        <v>0</v>
      </c>
      <c r="AD44" s="78"/>
      <c r="AE44" s="73" t="str">
        <f t="shared" si="113"/>
        <v>#DIV/0!</v>
      </c>
      <c r="AF44" s="76"/>
      <c r="AG44" s="75"/>
      <c r="AH44" s="66">
        <f t="shared" si="114"/>
        <v>0</v>
      </c>
      <c r="AI44" s="66">
        <f t="shared" si="115"/>
        <v>0</v>
      </c>
      <c r="AJ44" s="66">
        <f t="shared" si="116"/>
        <v>0</v>
      </c>
      <c r="AK44" s="66">
        <f t="shared" si="117"/>
        <v>0</v>
      </c>
      <c r="AL44" s="68">
        <v>1250.0</v>
      </c>
      <c r="AM44" s="66">
        <f t="shared" si="118"/>
        <v>0</v>
      </c>
      <c r="AN44" s="69">
        <f t="shared" si="119"/>
        <v>1250</v>
      </c>
      <c r="AO44" s="70" t="str">
        <f t="shared" si="120"/>
        <v>#DIV/0!</v>
      </c>
      <c r="AP44" s="71">
        <f t="shared" si="121"/>
        <v>-1250</v>
      </c>
      <c r="AQ44" s="66">
        <f t="shared" si="122"/>
        <v>0</v>
      </c>
      <c r="AR44" s="78"/>
      <c r="AS44" s="73" t="str">
        <f t="shared" si="123"/>
        <v>#DIV/0!</v>
      </c>
    </row>
    <row r="45">
      <c r="A45" s="99" t="s">
        <v>70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1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76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</row>
    <row r="46">
      <c r="A46" s="95" t="s">
        <v>71</v>
      </c>
      <c r="B46" s="66">
        <f t="shared" ref="B46:B48" si="124">B5</f>
        <v>3200</v>
      </c>
      <c r="C46" s="65">
        <f t="shared" ref="C46:C69" si="125">B46*$C$4</f>
        <v>2880</v>
      </c>
      <c r="D46" s="66">
        <f t="shared" ref="D46:D69" si="126">C46/$D$4</f>
        <v>2594.594595</v>
      </c>
      <c r="E46" s="67">
        <v>6.0</v>
      </c>
      <c r="F46" s="66">
        <f t="shared" ref="F46:F69" si="127">P46*$F$3</f>
        <v>3355</v>
      </c>
      <c r="G46" s="66">
        <f t="shared" ref="G46:G69" si="128">P46*$G$3</f>
        <v>1650</v>
      </c>
      <c r="H46" s="66">
        <f t="shared" ref="H46:H69" si="129">P46*$H$3</f>
        <v>495</v>
      </c>
      <c r="I46" s="66">
        <f t="shared" ref="I46:I69" si="130">P46*$I$3</f>
        <v>1237.5</v>
      </c>
      <c r="J46" s="68">
        <v>1250.0</v>
      </c>
      <c r="K46" s="66">
        <f t="shared" ref="K46:K69" si="131">D46*$K$3</f>
        <v>129.7297297</v>
      </c>
      <c r="L46" s="69">
        <f t="shared" ref="L46:L69" si="132">(D46*E46)+F46+G46+H46+I46+J46+K46</f>
        <v>23684.7973</v>
      </c>
      <c r="M46" s="70">
        <f t="shared" ref="M46:M69" si="133">N46/O46</f>
        <v>0.04399545455</v>
      </c>
      <c r="N46" s="71">
        <f t="shared" ref="N46:N69" si="134">O46-L46</f>
        <v>1089.977477</v>
      </c>
      <c r="O46" s="66">
        <f t="shared" ref="O46:O69" si="135">P46/$O$4</f>
        <v>24774.77477</v>
      </c>
      <c r="P46" s="78">
        <v>27500.0</v>
      </c>
      <c r="Q46" s="73">
        <f t="shared" ref="Q46:Q69" si="136">P46/E46</f>
        <v>4583.333333</v>
      </c>
      <c r="R46" s="74"/>
      <c r="S46" s="75"/>
      <c r="T46" s="66">
        <f t="shared" ref="T46:T49" si="137">AD46*$T$3</f>
        <v>0</v>
      </c>
      <c r="U46" s="66">
        <f t="shared" ref="U46:U49" si="138">AD46*$U$3</f>
        <v>0</v>
      </c>
      <c r="V46" s="66">
        <f t="shared" ref="V46:V49" si="139">AD46*$V$3</f>
        <v>0</v>
      </c>
      <c r="W46" s="66">
        <f t="shared" ref="W46:W49" si="140">AD46*$W$3</f>
        <v>0</v>
      </c>
      <c r="X46" s="68">
        <v>1250.0</v>
      </c>
      <c r="Y46" s="66">
        <f t="shared" ref="Y46:Y69" si="141">D46*$Y$3</f>
        <v>129.7297297</v>
      </c>
      <c r="Z46" s="69">
        <f t="shared" ref="Z46:Z49" si="142">(D46*S46)+T46+U46+V46+W46+X46+Y46</f>
        <v>1379.72973</v>
      </c>
      <c r="AA46" s="70" t="str">
        <f t="shared" ref="AA46:AA49" si="143">AB46/AC46</f>
        <v>#DIV/0!</v>
      </c>
      <c r="AB46" s="71">
        <f t="shared" ref="AB46:AB49" si="144">AC46-Z46</f>
        <v>-1379.72973</v>
      </c>
      <c r="AC46" s="66">
        <f t="shared" ref="AC46:AC49" si="145">AD46/$O$4</f>
        <v>0</v>
      </c>
      <c r="AD46" s="78"/>
      <c r="AE46" s="73" t="str">
        <f t="shared" ref="AE46:AE49" si="146">AD46/S46</f>
        <v>#DIV/0!</v>
      </c>
      <c r="AF46" s="76"/>
      <c r="AG46" s="75"/>
      <c r="AH46" s="66">
        <f t="shared" ref="AH46:AH49" si="147">AR46*$AH$3</f>
        <v>0</v>
      </c>
      <c r="AI46" s="66">
        <f t="shared" ref="AI46:AI49" si="148">AR46*$AI$3</f>
        <v>0</v>
      </c>
      <c r="AJ46" s="66">
        <f t="shared" ref="AJ46:AJ49" si="149">AR46*$AJ$3</f>
        <v>0</v>
      </c>
      <c r="AK46" s="66">
        <f t="shared" ref="AK46:AK49" si="150">AR46*$AK$3</f>
        <v>0</v>
      </c>
      <c r="AL46" s="68">
        <v>1250.0</v>
      </c>
      <c r="AM46" s="66">
        <f t="shared" ref="AM46:AM49" si="151">AF46*$AM$3</f>
        <v>0</v>
      </c>
      <c r="AN46" s="69">
        <f t="shared" ref="AN46:AN49" si="152">(R46*AG46)+AH46+AI46+AJ46+AK46+AL46+AM46</f>
        <v>1250</v>
      </c>
      <c r="AO46" s="70" t="str">
        <f t="shared" ref="AO46:AO49" si="153">AP46/AQ46</f>
        <v>#DIV/0!</v>
      </c>
      <c r="AP46" s="71">
        <f t="shared" ref="AP46:AP49" si="154">AQ46-AN46</f>
        <v>-1250</v>
      </c>
      <c r="AQ46" s="66">
        <f t="shared" ref="AQ46:AQ49" si="155">AR46/$O$4</f>
        <v>0</v>
      </c>
      <c r="AR46" s="78"/>
      <c r="AS46" s="73" t="str">
        <f t="shared" ref="AS46:AS49" si="156">AR46/AG46</f>
        <v>#DIV/0!</v>
      </c>
    </row>
    <row r="47">
      <c r="A47" s="95" t="s">
        <v>72</v>
      </c>
      <c r="B47" s="66">
        <f t="shared" si="124"/>
        <v>3500</v>
      </c>
      <c r="C47" s="65">
        <f t="shared" si="125"/>
        <v>3150</v>
      </c>
      <c r="D47" s="66">
        <f t="shared" si="126"/>
        <v>2837.837838</v>
      </c>
      <c r="E47" s="67">
        <v>6.0</v>
      </c>
      <c r="F47" s="66">
        <f t="shared" si="127"/>
        <v>3586.8</v>
      </c>
      <c r="G47" s="66">
        <f t="shared" si="128"/>
        <v>1764</v>
      </c>
      <c r="H47" s="66">
        <f t="shared" si="129"/>
        <v>529.2</v>
      </c>
      <c r="I47" s="66">
        <f t="shared" si="130"/>
        <v>1323</v>
      </c>
      <c r="J47" s="68">
        <v>1250.0</v>
      </c>
      <c r="K47" s="66">
        <f t="shared" si="131"/>
        <v>141.8918919</v>
      </c>
      <c r="L47" s="69">
        <f t="shared" si="132"/>
        <v>25621.91892</v>
      </c>
      <c r="M47" s="70">
        <f t="shared" si="133"/>
        <v>0.03264183673</v>
      </c>
      <c r="N47" s="71">
        <f t="shared" si="134"/>
        <v>864.5675676</v>
      </c>
      <c r="O47" s="66">
        <f t="shared" si="135"/>
        <v>26486.48649</v>
      </c>
      <c r="P47" s="78">
        <v>29400.0</v>
      </c>
      <c r="Q47" s="73">
        <f t="shared" si="136"/>
        <v>4900</v>
      </c>
      <c r="R47" s="74"/>
      <c r="S47" s="75"/>
      <c r="T47" s="66">
        <f t="shared" si="137"/>
        <v>0</v>
      </c>
      <c r="U47" s="66">
        <f t="shared" si="138"/>
        <v>0</v>
      </c>
      <c r="V47" s="66">
        <f t="shared" si="139"/>
        <v>0</v>
      </c>
      <c r="W47" s="66">
        <f t="shared" si="140"/>
        <v>0</v>
      </c>
      <c r="X47" s="68">
        <v>1250.0</v>
      </c>
      <c r="Y47" s="66">
        <f t="shared" si="141"/>
        <v>141.8918919</v>
      </c>
      <c r="Z47" s="69">
        <f t="shared" si="142"/>
        <v>1391.891892</v>
      </c>
      <c r="AA47" s="70" t="str">
        <f t="shared" si="143"/>
        <v>#DIV/0!</v>
      </c>
      <c r="AB47" s="71">
        <f t="shared" si="144"/>
        <v>-1391.891892</v>
      </c>
      <c r="AC47" s="66">
        <f t="shared" si="145"/>
        <v>0</v>
      </c>
      <c r="AD47" s="78"/>
      <c r="AE47" s="73" t="str">
        <f t="shared" si="146"/>
        <v>#DIV/0!</v>
      </c>
      <c r="AF47" s="76"/>
      <c r="AG47" s="75"/>
      <c r="AH47" s="66">
        <f t="shared" si="147"/>
        <v>0</v>
      </c>
      <c r="AI47" s="66">
        <f t="shared" si="148"/>
        <v>0</v>
      </c>
      <c r="AJ47" s="66">
        <f t="shared" si="149"/>
        <v>0</v>
      </c>
      <c r="AK47" s="66">
        <f t="shared" si="150"/>
        <v>0</v>
      </c>
      <c r="AL47" s="68">
        <v>1250.0</v>
      </c>
      <c r="AM47" s="66">
        <f t="shared" si="151"/>
        <v>0</v>
      </c>
      <c r="AN47" s="69">
        <f t="shared" si="152"/>
        <v>1250</v>
      </c>
      <c r="AO47" s="70" t="str">
        <f t="shared" si="153"/>
        <v>#DIV/0!</v>
      </c>
      <c r="AP47" s="71">
        <f t="shared" si="154"/>
        <v>-1250</v>
      </c>
      <c r="AQ47" s="66">
        <f t="shared" si="155"/>
        <v>0</v>
      </c>
      <c r="AR47" s="78"/>
      <c r="AS47" s="73" t="str">
        <f t="shared" si="156"/>
        <v>#DIV/0!</v>
      </c>
    </row>
    <row r="48">
      <c r="A48" s="95" t="s">
        <v>73</v>
      </c>
      <c r="B48" s="66">
        <f t="shared" si="124"/>
        <v>3900</v>
      </c>
      <c r="C48" s="65">
        <f t="shared" si="125"/>
        <v>3510</v>
      </c>
      <c r="D48" s="66">
        <f t="shared" si="126"/>
        <v>3162.162162</v>
      </c>
      <c r="E48" s="67">
        <v>6.0</v>
      </c>
      <c r="F48" s="66">
        <f t="shared" si="127"/>
        <v>3904</v>
      </c>
      <c r="G48" s="66">
        <f t="shared" si="128"/>
        <v>1920</v>
      </c>
      <c r="H48" s="66">
        <f t="shared" si="129"/>
        <v>576</v>
      </c>
      <c r="I48" s="66">
        <f t="shared" si="130"/>
        <v>1440</v>
      </c>
      <c r="J48" s="68">
        <v>1250.0</v>
      </c>
      <c r="K48" s="66">
        <f t="shared" si="131"/>
        <v>158.1081081</v>
      </c>
      <c r="L48" s="69">
        <f t="shared" si="132"/>
        <v>28221.08108</v>
      </c>
      <c r="M48" s="70">
        <f t="shared" si="133"/>
        <v>0.02108125</v>
      </c>
      <c r="N48" s="71">
        <f t="shared" si="134"/>
        <v>607.7477477</v>
      </c>
      <c r="O48" s="66">
        <f t="shared" si="135"/>
        <v>28828.82883</v>
      </c>
      <c r="P48" s="78">
        <v>32000.0</v>
      </c>
      <c r="Q48" s="73">
        <f t="shared" si="136"/>
        <v>5333.333333</v>
      </c>
      <c r="R48" s="74"/>
      <c r="S48" s="75"/>
      <c r="T48" s="66">
        <f t="shared" si="137"/>
        <v>0</v>
      </c>
      <c r="U48" s="66">
        <f t="shared" si="138"/>
        <v>0</v>
      </c>
      <c r="V48" s="66">
        <f t="shared" si="139"/>
        <v>0</v>
      </c>
      <c r="W48" s="66">
        <f t="shared" si="140"/>
        <v>0</v>
      </c>
      <c r="X48" s="68">
        <v>1250.0</v>
      </c>
      <c r="Y48" s="66">
        <f t="shared" si="141"/>
        <v>158.1081081</v>
      </c>
      <c r="Z48" s="69">
        <f t="shared" si="142"/>
        <v>1408.108108</v>
      </c>
      <c r="AA48" s="70" t="str">
        <f t="shared" si="143"/>
        <v>#DIV/0!</v>
      </c>
      <c r="AB48" s="71">
        <f t="shared" si="144"/>
        <v>-1408.108108</v>
      </c>
      <c r="AC48" s="66">
        <f t="shared" si="145"/>
        <v>0</v>
      </c>
      <c r="AD48" s="78"/>
      <c r="AE48" s="73" t="str">
        <f t="shared" si="146"/>
        <v>#DIV/0!</v>
      </c>
      <c r="AF48" s="76"/>
      <c r="AG48" s="75"/>
      <c r="AH48" s="66">
        <f t="shared" si="147"/>
        <v>0</v>
      </c>
      <c r="AI48" s="66">
        <f t="shared" si="148"/>
        <v>0</v>
      </c>
      <c r="AJ48" s="66">
        <f t="shared" si="149"/>
        <v>0</v>
      </c>
      <c r="AK48" s="66">
        <f t="shared" si="150"/>
        <v>0</v>
      </c>
      <c r="AL48" s="68">
        <v>1250.0</v>
      </c>
      <c r="AM48" s="66">
        <f t="shared" si="151"/>
        <v>0</v>
      </c>
      <c r="AN48" s="69">
        <f t="shared" si="152"/>
        <v>1250</v>
      </c>
      <c r="AO48" s="70" t="str">
        <f t="shared" si="153"/>
        <v>#DIV/0!</v>
      </c>
      <c r="AP48" s="71">
        <f t="shared" si="154"/>
        <v>-1250</v>
      </c>
      <c r="AQ48" s="66">
        <f t="shared" si="155"/>
        <v>0</v>
      </c>
      <c r="AR48" s="78"/>
      <c r="AS48" s="73" t="str">
        <f t="shared" si="156"/>
        <v>#DIV/0!</v>
      </c>
    </row>
    <row r="49">
      <c r="A49" s="97" t="s">
        <v>74</v>
      </c>
      <c r="B49" s="66">
        <f>B17</f>
        <v>3700</v>
      </c>
      <c r="C49" s="65">
        <f t="shared" si="125"/>
        <v>3330</v>
      </c>
      <c r="D49" s="66">
        <f t="shared" si="126"/>
        <v>3000</v>
      </c>
      <c r="E49" s="67">
        <v>6.0</v>
      </c>
      <c r="F49" s="66">
        <f t="shared" si="127"/>
        <v>3721</v>
      </c>
      <c r="G49" s="66">
        <f t="shared" si="128"/>
        <v>1830</v>
      </c>
      <c r="H49" s="66">
        <f t="shared" si="129"/>
        <v>549</v>
      </c>
      <c r="I49" s="66">
        <f t="shared" si="130"/>
        <v>1372.5</v>
      </c>
      <c r="J49" s="68">
        <v>1250.0</v>
      </c>
      <c r="K49" s="66">
        <f t="shared" si="131"/>
        <v>150</v>
      </c>
      <c r="L49" s="69">
        <f t="shared" si="132"/>
        <v>26872.5</v>
      </c>
      <c r="M49" s="70">
        <f t="shared" si="133"/>
        <v>0.02201721311</v>
      </c>
      <c r="N49" s="71">
        <f t="shared" si="134"/>
        <v>604.9774775</v>
      </c>
      <c r="O49" s="66">
        <f t="shared" si="135"/>
        <v>27477.47748</v>
      </c>
      <c r="P49" s="78">
        <v>30500.0</v>
      </c>
      <c r="Q49" s="73">
        <f t="shared" si="136"/>
        <v>5083.333333</v>
      </c>
      <c r="R49" s="74"/>
      <c r="S49" s="75"/>
      <c r="T49" s="66">
        <f t="shared" si="137"/>
        <v>0</v>
      </c>
      <c r="U49" s="66">
        <f t="shared" si="138"/>
        <v>0</v>
      </c>
      <c r="V49" s="66">
        <f t="shared" si="139"/>
        <v>0</v>
      </c>
      <c r="W49" s="66">
        <f t="shared" si="140"/>
        <v>0</v>
      </c>
      <c r="X49" s="68">
        <v>1250.0</v>
      </c>
      <c r="Y49" s="66">
        <f t="shared" si="141"/>
        <v>150</v>
      </c>
      <c r="Z49" s="69">
        <f t="shared" si="142"/>
        <v>1400</v>
      </c>
      <c r="AA49" s="70" t="str">
        <f t="shared" si="143"/>
        <v>#DIV/0!</v>
      </c>
      <c r="AB49" s="71">
        <f t="shared" si="144"/>
        <v>-1400</v>
      </c>
      <c r="AC49" s="66">
        <f t="shared" si="145"/>
        <v>0</v>
      </c>
      <c r="AD49" s="78"/>
      <c r="AE49" s="73" t="str">
        <f t="shared" si="146"/>
        <v>#DIV/0!</v>
      </c>
      <c r="AF49" s="76"/>
      <c r="AG49" s="75"/>
      <c r="AH49" s="66">
        <f t="shared" si="147"/>
        <v>0</v>
      </c>
      <c r="AI49" s="66">
        <f t="shared" si="148"/>
        <v>0</v>
      </c>
      <c r="AJ49" s="66">
        <f t="shared" si="149"/>
        <v>0</v>
      </c>
      <c r="AK49" s="66">
        <f t="shared" si="150"/>
        <v>0</v>
      </c>
      <c r="AL49" s="68">
        <v>1250.0</v>
      </c>
      <c r="AM49" s="66">
        <f t="shared" si="151"/>
        <v>0</v>
      </c>
      <c r="AN49" s="69">
        <f t="shared" si="152"/>
        <v>1250</v>
      </c>
      <c r="AO49" s="70" t="str">
        <f t="shared" si="153"/>
        <v>#DIV/0!</v>
      </c>
      <c r="AP49" s="71">
        <f t="shared" si="154"/>
        <v>-1250</v>
      </c>
      <c r="AQ49" s="66">
        <f t="shared" si="155"/>
        <v>0</v>
      </c>
      <c r="AR49" s="78"/>
      <c r="AS49" s="73" t="str">
        <f t="shared" si="156"/>
        <v>#DIV/0!</v>
      </c>
    </row>
    <row r="50">
      <c r="A50" s="103" t="s">
        <v>75</v>
      </c>
      <c r="B50" s="66">
        <f>B5*3+B6*2+B7</f>
        <v>20500</v>
      </c>
      <c r="C50" s="65">
        <f t="shared" si="125"/>
        <v>18450</v>
      </c>
      <c r="D50" s="66">
        <f t="shared" si="126"/>
        <v>16621.62162</v>
      </c>
      <c r="E50" s="67">
        <v>1.0</v>
      </c>
      <c r="F50" s="66">
        <f t="shared" si="127"/>
        <v>0</v>
      </c>
      <c r="G50" s="66">
        <f t="shared" si="128"/>
        <v>0</v>
      </c>
      <c r="H50" s="66">
        <f t="shared" si="129"/>
        <v>0</v>
      </c>
      <c r="I50" s="66">
        <f t="shared" si="130"/>
        <v>0</v>
      </c>
      <c r="J50" s="68">
        <v>1250.0</v>
      </c>
      <c r="K50" s="66">
        <f t="shared" si="131"/>
        <v>831.0810811</v>
      </c>
      <c r="L50" s="69">
        <f t="shared" si="132"/>
        <v>18702.7027</v>
      </c>
      <c r="M50" s="70" t="str">
        <f t="shared" si="133"/>
        <v>#DIV/0!</v>
      </c>
      <c r="N50" s="71">
        <f t="shared" si="134"/>
        <v>-18702.7027</v>
      </c>
      <c r="O50" s="66">
        <f t="shared" si="135"/>
        <v>0</v>
      </c>
      <c r="P50" s="78"/>
      <c r="Q50" s="73">
        <f t="shared" si="136"/>
        <v>0</v>
      </c>
      <c r="R50" s="74"/>
      <c r="S50" s="75"/>
      <c r="T50" s="66"/>
      <c r="U50" s="66"/>
      <c r="V50" s="66"/>
      <c r="W50" s="66"/>
      <c r="X50" s="68"/>
      <c r="Y50" s="66">
        <f t="shared" si="141"/>
        <v>831.0810811</v>
      </c>
      <c r="Z50" s="69"/>
      <c r="AA50" s="70"/>
      <c r="AB50" s="71"/>
      <c r="AC50" s="66"/>
      <c r="AD50" s="78"/>
      <c r="AE50" s="73"/>
      <c r="AF50" s="76"/>
      <c r="AG50" s="75"/>
      <c r="AH50" s="66"/>
      <c r="AI50" s="66"/>
      <c r="AJ50" s="66"/>
      <c r="AK50" s="66"/>
      <c r="AL50" s="68"/>
      <c r="AM50" s="66"/>
      <c r="AN50" s="69"/>
      <c r="AO50" s="70"/>
      <c r="AP50" s="71"/>
      <c r="AQ50" s="66"/>
      <c r="AR50" s="78"/>
      <c r="AS50" s="73"/>
    </row>
    <row r="51">
      <c r="A51" s="104" t="s">
        <v>76</v>
      </c>
      <c r="B51" s="66">
        <f t="shared" ref="B51:B52" si="157">B5*3+B6*3</f>
        <v>20100</v>
      </c>
      <c r="C51" s="65">
        <f t="shared" si="125"/>
        <v>18090</v>
      </c>
      <c r="D51" s="66">
        <f t="shared" si="126"/>
        <v>16297.2973</v>
      </c>
      <c r="E51" s="67">
        <v>1.0</v>
      </c>
      <c r="F51" s="66">
        <f t="shared" si="127"/>
        <v>0</v>
      </c>
      <c r="G51" s="66">
        <f t="shared" si="128"/>
        <v>0</v>
      </c>
      <c r="H51" s="66">
        <f t="shared" si="129"/>
        <v>0</v>
      </c>
      <c r="I51" s="66">
        <f t="shared" si="130"/>
        <v>0</v>
      </c>
      <c r="J51" s="68">
        <v>1250.0</v>
      </c>
      <c r="K51" s="66">
        <f t="shared" si="131"/>
        <v>814.8648649</v>
      </c>
      <c r="L51" s="69">
        <f t="shared" si="132"/>
        <v>18362.16216</v>
      </c>
      <c r="M51" s="70" t="str">
        <f t="shared" si="133"/>
        <v>#DIV/0!</v>
      </c>
      <c r="N51" s="71">
        <f t="shared" si="134"/>
        <v>-18362.16216</v>
      </c>
      <c r="O51" s="66">
        <f t="shared" si="135"/>
        <v>0</v>
      </c>
      <c r="P51" s="78"/>
      <c r="Q51" s="73">
        <f t="shared" si="136"/>
        <v>0</v>
      </c>
      <c r="R51" s="74"/>
      <c r="S51" s="75"/>
      <c r="T51" s="66"/>
      <c r="U51" s="66"/>
      <c r="V51" s="66"/>
      <c r="W51" s="66"/>
      <c r="X51" s="68"/>
      <c r="Y51" s="66">
        <f t="shared" si="141"/>
        <v>814.8648649</v>
      </c>
      <c r="Z51" s="69"/>
      <c r="AA51" s="70"/>
      <c r="AB51" s="71"/>
      <c r="AC51" s="66"/>
      <c r="AD51" s="78"/>
      <c r="AE51" s="73"/>
      <c r="AF51" s="76"/>
      <c r="AG51" s="75"/>
      <c r="AH51" s="66"/>
      <c r="AI51" s="66"/>
      <c r="AJ51" s="66"/>
      <c r="AK51" s="66"/>
      <c r="AL51" s="68"/>
      <c r="AM51" s="66"/>
      <c r="AN51" s="69"/>
      <c r="AO51" s="70"/>
      <c r="AP51" s="71"/>
      <c r="AQ51" s="66"/>
      <c r="AR51" s="78"/>
      <c r="AS51" s="73"/>
    </row>
    <row r="52">
      <c r="A52" s="104" t="s">
        <v>77</v>
      </c>
      <c r="B52" s="66">
        <f t="shared" si="157"/>
        <v>22200</v>
      </c>
      <c r="C52" s="65">
        <f t="shared" si="125"/>
        <v>19980</v>
      </c>
      <c r="D52" s="66">
        <f t="shared" si="126"/>
        <v>18000</v>
      </c>
      <c r="E52" s="67">
        <v>1.0</v>
      </c>
      <c r="F52" s="66">
        <f t="shared" si="127"/>
        <v>0</v>
      </c>
      <c r="G52" s="66">
        <f t="shared" si="128"/>
        <v>0</v>
      </c>
      <c r="H52" s="66">
        <f t="shared" si="129"/>
        <v>0</v>
      </c>
      <c r="I52" s="66">
        <f t="shared" si="130"/>
        <v>0</v>
      </c>
      <c r="J52" s="68">
        <v>1250.0</v>
      </c>
      <c r="K52" s="66">
        <f t="shared" si="131"/>
        <v>900</v>
      </c>
      <c r="L52" s="69">
        <f t="shared" si="132"/>
        <v>20150</v>
      </c>
      <c r="M52" s="70" t="str">
        <f t="shared" si="133"/>
        <v>#DIV/0!</v>
      </c>
      <c r="N52" s="71">
        <f t="shared" si="134"/>
        <v>-20150</v>
      </c>
      <c r="O52" s="66">
        <f t="shared" si="135"/>
        <v>0</v>
      </c>
      <c r="P52" s="78"/>
      <c r="Q52" s="73">
        <f t="shared" si="136"/>
        <v>0</v>
      </c>
      <c r="R52" s="74"/>
      <c r="S52" s="75"/>
      <c r="T52" s="66"/>
      <c r="U52" s="66"/>
      <c r="V52" s="66"/>
      <c r="W52" s="66"/>
      <c r="X52" s="68"/>
      <c r="Y52" s="66">
        <f t="shared" si="141"/>
        <v>900</v>
      </c>
      <c r="Z52" s="69"/>
      <c r="AA52" s="70"/>
      <c r="AB52" s="71"/>
      <c r="AC52" s="66"/>
      <c r="AD52" s="78"/>
      <c r="AE52" s="73"/>
      <c r="AF52" s="76"/>
      <c r="AG52" s="75"/>
      <c r="AH52" s="66"/>
      <c r="AI52" s="66"/>
      <c r="AJ52" s="66"/>
      <c r="AK52" s="66"/>
      <c r="AL52" s="68"/>
      <c r="AM52" s="66"/>
      <c r="AN52" s="69"/>
      <c r="AO52" s="70"/>
      <c r="AP52" s="71"/>
      <c r="AQ52" s="66"/>
      <c r="AR52" s="78"/>
      <c r="AS52" s="73"/>
    </row>
    <row r="53">
      <c r="A53" s="104" t="s">
        <v>78</v>
      </c>
      <c r="B53" s="66">
        <f>B9*3+B5*3</f>
        <v>38100</v>
      </c>
      <c r="C53" s="65">
        <f t="shared" si="125"/>
        <v>34290</v>
      </c>
      <c r="D53" s="66">
        <f t="shared" si="126"/>
        <v>30891.89189</v>
      </c>
      <c r="E53" s="67">
        <v>1.0</v>
      </c>
      <c r="F53" s="66">
        <f t="shared" si="127"/>
        <v>0</v>
      </c>
      <c r="G53" s="66">
        <f t="shared" si="128"/>
        <v>0</v>
      </c>
      <c r="H53" s="66">
        <f t="shared" si="129"/>
        <v>0</v>
      </c>
      <c r="I53" s="66">
        <f t="shared" si="130"/>
        <v>0</v>
      </c>
      <c r="J53" s="68">
        <v>1250.0</v>
      </c>
      <c r="K53" s="66">
        <f t="shared" si="131"/>
        <v>1544.594595</v>
      </c>
      <c r="L53" s="69">
        <f t="shared" si="132"/>
        <v>33686.48649</v>
      </c>
      <c r="M53" s="70" t="str">
        <f t="shared" si="133"/>
        <v>#DIV/0!</v>
      </c>
      <c r="N53" s="71">
        <f t="shared" si="134"/>
        <v>-33686.48649</v>
      </c>
      <c r="O53" s="66">
        <f t="shared" si="135"/>
        <v>0</v>
      </c>
      <c r="P53" s="78"/>
      <c r="Q53" s="73">
        <f t="shared" si="136"/>
        <v>0</v>
      </c>
      <c r="R53" s="74"/>
      <c r="S53" s="75"/>
      <c r="T53" s="66"/>
      <c r="U53" s="66"/>
      <c r="V53" s="66"/>
      <c r="W53" s="66"/>
      <c r="X53" s="68"/>
      <c r="Y53" s="66">
        <f t="shared" si="141"/>
        <v>1544.594595</v>
      </c>
      <c r="Z53" s="69"/>
      <c r="AA53" s="70"/>
      <c r="AB53" s="71"/>
      <c r="AC53" s="66"/>
      <c r="AD53" s="78"/>
      <c r="AE53" s="73"/>
      <c r="AF53" s="76"/>
      <c r="AG53" s="75"/>
      <c r="AH53" s="66"/>
      <c r="AI53" s="66"/>
      <c r="AJ53" s="66"/>
      <c r="AK53" s="66"/>
      <c r="AL53" s="68"/>
      <c r="AM53" s="66"/>
      <c r="AN53" s="69"/>
      <c r="AO53" s="70"/>
      <c r="AP53" s="71"/>
      <c r="AQ53" s="66"/>
      <c r="AR53" s="78"/>
      <c r="AS53" s="73"/>
    </row>
    <row r="54">
      <c r="A54" s="104" t="s">
        <v>79</v>
      </c>
      <c r="B54" s="66">
        <f>B9*3+B5*3</f>
        <v>38100</v>
      </c>
      <c r="C54" s="65">
        <f t="shared" si="125"/>
        <v>34290</v>
      </c>
      <c r="D54" s="66">
        <f t="shared" si="126"/>
        <v>30891.89189</v>
      </c>
      <c r="E54" s="67">
        <v>1.0</v>
      </c>
      <c r="F54" s="66">
        <f t="shared" si="127"/>
        <v>0</v>
      </c>
      <c r="G54" s="66">
        <f t="shared" si="128"/>
        <v>0</v>
      </c>
      <c r="H54" s="66">
        <f t="shared" si="129"/>
        <v>0</v>
      </c>
      <c r="I54" s="66">
        <f t="shared" si="130"/>
        <v>0</v>
      </c>
      <c r="J54" s="68">
        <v>1250.0</v>
      </c>
      <c r="K54" s="66">
        <f t="shared" si="131"/>
        <v>1544.594595</v>
      </c>
      <c r="L54" s="69">
        <f t="shared" si="132"/>
        <v>33686.48649</v>
      </c>
      <c r="M54" s="70" t="str">
        <f t="shared" si="133"/>
        <v>#DIV/0!</v>
      </c>
      <c r="N54" s="71">
        <f t="shared" si="134"/>
        <v>-33686.48649</v>
      </c>
      <c r="O54" s="66">
        <f t="shared" si="135"/>
        <v>0</v>
      </c>
      <c r="P54" s="78"/>
      <c r="Q54" s="73">
        <f t="shared" si="136"/>
        <v>0</v>
      </c>
      <c r="R54" s="74"/>
      <c r="S54" s="75"/>
      <c r="T54" s="66"/>
      <c r="U54" s="66"/>
      <c r="V54" s="66"/>
      <c r="W54" s="66"/>
      <c r="X54" s="68"/>
      <c r="Y54" s="66">
        <f t="shared" si="141"/>
        <v>1544.594595</v>
      </c>
      <c r="Z54" s="69"/>
      <c r="AA54" s="70"/>
      <c r="AB54" s="71"/>
      <c r="AC54" s="66"/>
      <c r="AD54" s="78"/>
      <c r="AE54" s="73"/>
      <c r="AF54" s="76"/>
      <c r="AG54" s="75"/>
      <c r="AH54" s="66"/>
      <c r="AI54" s="66"/>
      <c r="AJ54" s="66"/>
      <c r="AK54" s="66"/>
      <c r="AL54" s="68"/>
      <c r="AM54" s="66"/>
      <c r="AN54" s="69"/>
      <c r="AO54" s="70"/>
      <c r="AP54" s="71"/>
      <c r="AQ54" s="66"/>
      <c r="AR54" s="78"/>
      <c r="AS54" s="73"/>
    </row>
    <row r="55">
      <c r="A55" s="104" t="s">
        <v>80</v>
      </c>
      <c r="B55" s="66">
        <f>B9*3+B7*3</f>
        <v>40200</v>
      </c>
      <c r="C55" s="65">
        <f t="shared" si="125"/>
        <v>36180</v>
      </c>
      <c r="D55" s="66">
        <f t="shared" si="126"/>
        <v>32594.59459</v>
      </c>
      <c r="E55" s="67">
        <v>1.0</v>
      </c>
      <c r="F55" s="66">
        <f t="shared" si="127"/>
        <v>0</v>
      </c>
      <c r="G55" s="66">
        <f t="shared" si="128"/>
        <v>0</v>
      </c>
      <c r="H55" s="66">
        <f t="shared" si="129"/>
        <v>0</v>
      </c>
      <c r="I55" s="66">
        <f t="shared" si="130"/>
        <v>0</v>
      </c>
      <c r="J55" s="68">
        <v>1250.0</v>
      </c>
      <c r="K55" s="66">
        <f t="shared" si="131"/>
        <v>1629.72973</v>
      </c>
      <c r="L55" s="69">
        <f t="shared" si="132"/>
        <v>35474.32432</v>
      </c>
      <c r="M55" s="70" t="str">
        <f t="shared" si="133"/>
        <v>#DIV/0!</v>
      </c>
      <c r="N55" s="71">
        <f t="shared" si="134"/>
        <v>-35474.32432</v>
      </c>
      <c r="O55" s="66">
        <f t="shared" si="135"/>
        <v>0</v>
      </c>
      <c r="P55" s="78"/>
      <c r="Q55" s="73">
        <f t="shared" si="136"/>
        <v>0</v>
      </c>
      <c r="R55" s="74"/>
      <c r="S55" s="75"/>
      <c r="T55" s="66"/>
      <c r="U55" s="66"/>
      <c r="V55" s="66"/>
      <c r="W55" s="66"/>
      <c r="X55" s="68"/>
      <c r="Y55" s="66">
        <f t="shared" si="141"/>
        <v>1629.72973</v>
      </c>
      <c r="Z55" s="69"/>
      <c r="AA55" s="70"/>
      <c r="AB55" s="71"/>
      <c r="AC55" s="66"/>
      <c r="AD55" s="78"/>
      <c r="AE55" s="73"/>
      <c r="AF55" s="76"/>
      <c r="AG55" s="75"/>
      <c r="AH55" s="66"/>
      <c r="AI55" s="66"/>
      <c r="AJ55" s="66"/>
      <c r="AK55" s="66"/>
      <c r="AL55" s="68"/>
      <c r="AM55" s="66"/>
      <c r="AN55" s="69"/>
      <c r="AO55" s="70"/>
      <c r="AP55" s="71"/>
      <c r="AQ55" s="66"/>
      <c r="AR55" s="78"/>
      <c r="AS55" s="73"/>
    </row>
    <row r="56">
      <c r="A56" s="104" t="s">
        <v>81</v>
      </c>
      <c r="B56" s="66">
        <f>B9*4+B13</f>
        <v>43700</v>
      </c>
      <c r="C56" s="65">
        <f t="shared" si="125"/>
        <v>39330</v>
      </c>
      <c r="D56" s="66">
        <f t="shared" si="126"/>
        <v>35432.43243</v>
      </c>
      <c r="E56" s="67">
        <v>1.0</v>
      </c>
      <c r="F56" s="66">
        <f t="shared" si="127"/>
        <v>0</v>
      </c>
      <c r="G56" s="66">
        <f t="shared" si="128"/>
        <v>0</v>
      </c>
      <c r="H56" s="66">
        <f t="shared" si="129"/>
        <v>0</v>
      </c>
      <c r="I56" s="66">
        <f t="shared" si="130"/>
        <v>0</v>
      </c>
      <c r="J56" s="68">
        <v>1250.0</v>
      </c>
      <c r="K56" s="66">
        <f t="shared" si="131"/>
        <v>1771.621622</v>
      </c>
      <c r="L56" s="69">
        <f t="shared" si="132"/>
        <v>38454.05405</v>
      </c>
      <c r="M56" s="70" t="str">
        <f t="shared" si="133"/>
        <v>#DIV/0!</v>
      </c>
      <c r="N56" s="71">
        <f t="shared" si="134"/>
        <v>-38454.05405</v>
      </c>
      <c r="O56" s="66">
        <f t="shared" si="135"/>
        <v>0</v>
      </c>
      <c r="P56" s="78"/>
      <c r="Q56" s="73">
        <f t="shared" si="136"/>
        <v>0</v>
      </c>
      <c r="R56" s="74"/>
      <c r="S56" s="75"/>
      <c r="T56" s="66"/>
      <c r="U56" s="66"/>
      <c r="V56" s="66"/>
      <c r="W56" s="66"/>
      <c r="X56" s="68"/>
      <c r="Y56" s="66">
        <f t="shared" si="141"/>
        <v>1771.621622</v>
      </c>
      <c r="Z56" s="69"/>
      <c r="AA56" s="70"/>
      <c r="AB56" s="71"/>
      <c r="AC56" s="66"/>
      <c r="AD56" s="78"/>
      <c r="AE56" s="73"/>
      <c r="AF56" s="76"/>
      <c r="AG56" s="75"/>
      <c r="AH56" s="66"/>
      <c r="AI56" s="66"/>
      <c r="AJ56" s="66"/>
      <c r="AK56" s="66"/>
      <c r="AL56" s="68"/>
      <c r="AM56" s="66"/>
      <c r="AN56" s="69"/>
      <c r="AO56" s="70"/>
      <c r="AP56" s="71"/>
      <c r="AQ56" s="66"/>
      <c r="AR56" s="78"/>
      <c r="AS56" s="73"/>
    </row>
    <row r="57">
      <c r="A57" s="104" t="s">
        <v>82</v>
      </c>
      <c r="B57" s="66">
        <f>B8*4+B13</f>
        <v>105700</v>
      </c>
      <c r="C57" s="65">
        <f t="shared" si="125"/>
        <v>95130</v>
      </c>
      <c r="D57" s="66">
        <f t="shared" si="126"/>
        <v>85702.7027</v>
      </c>
      <c r="E57" s="67">
        <v>1.0</v>
      </c>
      <c r="F57" s="66">
        <f t="shared" si="127"/>
        <v>0</v>
      </c>
      <c r="G57" s="66">
        <f t="shared" si="128"/>
        <v>0</v>
      </c>
      <c r="H57" s="66">
        <f t="shared" si="129"/>
        <v>0</v>
      </c>
      <c r="I57" s="66">
        <f t="shared" si="130"/>
        <v>0</v>
      </c>
      <c r="J57" s="68">
        <v>1250.0</v>
      </c>
      <c r="K57" s="66">
        <f t="shared" si="131"/>
        <v>4285.135135</v>
      </c>
      <c r="L57" s="69">
        <f t="shared" si="132"/>
        <v>91237.83784</v>
      </c>
      <c r="M57" s="70" t="str">
        <f t="shared" si="133"/>
        <v>#DIV/0!</v>
      </c>
      <c r="N57" s="71">
        <f t="shared" si="134"/>
        <v>-91237.83784</v>
      </c>
      <c r="O57" s="66">
        <f t="shared" si="135"/>
        <v>0</v>
      </c>
      <c r="P57" s="78"/>
      <c r="Q57" s="73">
        <f t="shared" si="136"/>
        <v>0</v>
      </c>
      <c r="R57" s="74"/>
      <c r="S57" s="75"/>
      <c r="T57" s="66"/>
      <c r="U57" s="66"/>
      <c r="V57" s="66"/>
      <c r="W57" s="66"/>
      <c r="X57" s="68"/>
      <c r="Y57" s="66">
        <f t="shared" si="141"/>
        <v>4285.135135</v>
      </c>
      <c r="Z57" s="69"/>
      <c r="AA57" s="70"/>
      <c r="AB57" s="71"/>
      <c r="AC57" s="66"/>
      <c r="AD57" s="78"/>
      <c r="AE57" s="73"/>
      <c r="AF57" s="76"/>
      <c r="AG57" s="75"/>
      <c r="AH57" s="66"/>
      <c r="AI57" s="66"/>
      <c r="AJ57" s="66"/>
      <c r="AK57" s="66"/>
      <c r="AL57" s="68"/>
      <c r="AM57" s="66"/>
      <c r="AN57" s="69"/>
      <c r="AO57" s="70"/>
      <c r="AP57" s="71"/>
      <c r="AQ57" s="66"/>
      <c r="AR57" s="78"/>
      <c r="AS57" s="73"/>
    </row>
    <row r="58">
      <c r="A58" s="105"/>
      <c r="B58" s="66"/>
      <c r="C58" s="65">
        <f t="shared" si="125"/>
        <v>0</v>
      </c>
      <c r="D58" s="66">
        <f t="shared" si="126"/>
        <v>0</v>
      </c>
      <c r="E58" s="67">
        <v>1.0</v>
      </c>
      <c r="F58" s="66">
        <f t="shared" si="127"/>
        <v>0</v>
      </c>
      <c r="G58" s="66">
        <f t="shared" si="128"/>
        <v>0</v>
      </c>
      <c r="H58" s="66">
        <f t="shared" si="129"/>
        <v>0</v>
      </c>
      <c r="I58" s="66">
        <f t="shared" si="130"/>
        <v>0</v>
      </c>
      <c r="J58" s="68">
        <v>1250.0</v>
      </c>
      <c r="K58" s="66">
        <f t="shared" si="131"/>
        <v>0</v>
      </c>
      <c r="L58" s="69">
        <f t="shared" si="132"/>
        <v>1250</v>
      </c>
      <c r="M58" s="70" t="str">
        <f t="shared" si="133"/>
        <v>#DIV/0!</v>
      </c>
      <c r="N58" s="71">
        <f t="shared" si="134"/>
        <v>-1250</v>
      </c>
      <c r="O58" s="66">
        <f t="shared" si="135"/>
        <v>0</v>
      </c>
      <c r="P58" s="78"/>
      <c r="Q58" s="73">
        <f t="shared" si="136"/>
        <v>0</v>
      </c>
      <c r="R58" s="74"/>
      <c r="S58" s="75"/>
      <c r="T58" s="66"/>
      <c r="U58" s="66"/>
      <c r="V58" s="66"/>
      <c r="W58" s="66"/>
      <c r="X58" s="68"/>
      <c r="Y58" s="66">
        <f t="shared" si="141"/>
        <v>0</v>
      </c>
      <c r="Z58" s="69"/>
      <c r="AA58" s="70"/>
      <c r="AB58" s="71"/>
      <c r="AC58" s="66"/>
      <c r="AD58" s="78"/>
      <c r="AE58" s="73"/>
      <c r="AF58" s="76"/>
      <c r="AG58" s="75"/>
      <c r="AH58" s="66"/>
      <c r="AI58" s="66"/>
      <c r="AJ58" s="66"/>
      <c r="AK58" s="66"/>
      <c r="AL58" s="68"/>
      <c r="AM58" s="66"/>
      <c r="AN58" s="69"/>
      <c r="AO58" s="70"/>
      <c r="AP58" s="71"/>
      <c r="AQ58" s="66"/>
      <c r="AR58" s="78"/>
      <c r="AS58" s="73"/>
    </row>
    <row r="59">
      <c r="A59" s="104" t="s">
        <v>83</v>
      </c>
      <c r="B59" s="66">
        <f>B9*5+B13</f>
        <v>53200</v>
      </c>
      <c r="C59" s="65">
        <f t="shared" si="125"/>
        <v>47880</v>
      </c>
      <c r="D59" s="66">
        <f t="shared" si="126"/>
        <v>43135.13514</v>
      </c>
      <c r="E59" s="67">
        <v>1.0</v>
      </c>
      <c r="F59" s="66">
        <f t="shared" si="127"/>
        <v>0</v>
      </c>
      <c r="G59" s="66">
        <f t="shared" si="128"/>
        <v>0</v>
      </c>
      <c r="H59" s="66">
        <f t="shared" si="129"/>
        <v>0</v>
      </c>
      <c r="I59" s="66">
        <f t="shared" si="130"/>
        <v>0</v>
      </c>
      <c r="J59" s="68">
        <v>1250.0</v>
      </c>
      <c r="K59" s="66">
        <f t="shared" si="131"/>
        <v>2156.756757</v>
      </c>
      <c r="L59" s="69">
        <f t="shared" si="132"/>
        <v>46541.89189</v>
      </c>
      <c r="M59" s="70" t="str">
        <f t="shared" si="133"/>
        <v>#DIV/0!</v>
      </c>
      <c r="N59" s="71">
        <f t="shared" si="134"/>
        <v>-46541.89189</v>
      </c>
      <c r="O59" s="66">
        <f t="shared" si="135"/>
        <v>0</v>
      </c>
      <c r="P59" s="78"/>
      <c r="Q59" s="73">
        <f t="shared" si="136"/>
        <v>0</v>
      </c>
      <c r="R59" s="74"/>
      <c r="S59" s="75"/>
      <c r="T59" s="66"/>
      <c r="U59" s="66"/>
      <c r="V59" s="66"/>
      <c r="W59" s="66"/>
      <c r="X59" s="68"/>
      <c r="Y59" s="66">
        <f t="shared" si="141"/>
        <v>2156.756757</v>
      </c>
      <c r="Z59" s="69"/>
      <c r="AA59" s="70"/>
      <c r="AB59" s="71"/>
      <c r="AC59" s="66"/>
      <c r="AD59" s="78"/>
      <c r="AE59" s="73"/>
      <c r="AF59" s="76"/>
      <c r="AG59" s="75"/>
      <c r="AH59" s="66"/>
      <c r="AI59" s="66"/>
      <c r="AJ59" s="66"/>
      <c r="AK59" s="66"/>
      <c r="AL59" s="68"/>
      <c r="AM59" s="66"/>
      <c r="AN59" s="69"/>
      <c r="AO59" s="70"/>
      <c r="AP59" s="71"/>
      <c r="AQ59" s="66"/>
      <c r="AR59" s="78"/>
      <c r="AS59" s="73"/>
    </row>
    <row r="60">
      <c r="A60" s="104" t="s">
        <v>84</v>
      </c>
      <c r="B60" s="66">
        <f>B12*4+B13</f>
        <v>297700</v>
      </c>
      <c r="C60" s="65">
        <f t="shared" si="125"/>
        <v>267930</v>
      </c>
      <c r="D60" s="66">
        <f t="shared" si="126"/>
        <v>241378.3784</v>
      </c>
      <c r="E60" s="67">
        <v>1.0</v>
      </c>
      <c r="F60" s="66">
        <f t="shared" si="127"/>
        <v>0</v>
      </c>
      <c r="G60" s="66">
        <f t="shared" si="128"/>
        <v>0</v>
      </c>
      <c r="H60" s="66">
        <f t="shared" si="129"/>
        <v>0</v>
      </c>
      <c r="I60" s="66">
        <f t="shared" si="130"/>
        <v>0</v>
      </c>
      <c r="J60" s="68">
        <v>1250.0</v>
      </c>
      <c r="K60" s="66">
        <f t="shared" si="131"/>
        <v>12068.91892</v>
      </c>
      <c r="L60" s="69">
        <f t="shared" si="132"/>
        <v>254697.2973</v>
      </c>
      <c r="M60" s="70" t="str">
        <f t="shared" si="133"/>
        <v>#DIV/0!</v>
      </c>
      <c r="N60" s="71">
        <f t="shared" si="134"/>
        <v>-254697.2973</v>
      </c>
      <c r="O60" s="66">
        <f t="shared" si="135"/>
        <v>0</v>
      </c>
      <c r="P60" s="78"/>
      <c r="Q60" s="73">
        <f t="shared" si="136"/>
        <v>0</v>
      </c>
      <c r="R60" s="74"/>
      <c r="S60" s="75"/>
      <c r="T60" s="66"/>
      <c r="U60" s="66"/>
      <c r="V60" s="66"/>
      <c r="W60" s="66"/>
      <c r="X60" s="68"/>
      <c r="Y60" s="66">
        <f t="shared" si="141"/>
        <v>12068.91892</v>
      </c>
      <c r="Z60" s="69"/>
      <c r="AA60" s="70"/>
      <c r="AB60" s="71"/>
      <c r="AC60" s="66"/>
      <c r="AD60" s="78"/>
      <c r="AE60" s="73"/>
      <c r="AF60" s="76"/>
      <c r="AG60" s="75"/>
      <c r="AH60" s="66"/>
      <c r="AI60" s="66"/>
      <c r="AJ60" s="66"/>
      <c r="AK60" s="66"/>
      <c r="AL60" s="68"/>
      <c r="AM60" s="66"/>
      <c r="AN60" s="69"/>
      <c r="AO60" s="70"/>
      <c r="AP60" s="71"/>
      <c r="AQ60" s="66"/>
      <c r="AR60" s="78"/>
      <c r="AS60" s="73"/>
    </row>
    <row r="61">
      <c r="A61" s="104" t="s">
        <v>85</v>
      </c>
      <c r="B61" s="66">
        <f>B10*4+B13</f>
        <v>65700</v>
      </c>
      <c r="C61" s="65">
        <f t="shared" si="125"/>
        <v>59130</v>
      </c>
      <c r="D61" s="66">
        <f t="shared" si="126"/>
        <v>53270.27027</v>
      </c>
      <c r="E61" s="67">
        <v>1.0</v>
      </c>
      <c r="F61" s="66">
        <f t="shared" si="127"/>
        <v>0</v>
      </c>
      <c r="G61" s="66">
        <f t="shared" si="128"/>
        <v>0</v>
      </c>
      <c r="H61" s="66">
        <f t="shared" si="129"/>
        <v>0</v>
      </c>
      <c r="I61" s="66">
        <f t="shared" si="130"/>
        <v>0</v>
      </c>
      <c r="J61" s="68">
        <v>1250.0</v>
      </c>
      <c r="K61" s="66">
        <f t="shared" si="131"/>
        <v>2663.513514</v>
      </c>
      <c r="L61" s="69">
        <f t="shared" si="132"/>
        <v>57183.78378</v>
      </c>
      <c r="M61" s="70" t="str">
        <f t="shared" si="133"/>
        <v>#DIV/0!</v>
      </c>
      <c r="N61" s="71">
        <f t="shared" si="134"/>
        <v>-57183.78378</v>
      </c>
      <c r="O61" s="66">
        <f t="shared" si="135"/>
        <v>0</v>
      </c>
      <c r="P61" s="78"/>
      <c r="Q61" s="73">
        <f t="shared" si="136"/>
        <v>0</v>
      </c>
      <c r="R61" s="74"/>
      <c r="S61" s="75"/>
      <c r="T61" s="66"/>
      <c r="U61" s="66"/>
      <c r="V61" s="66"/>
      <c r="W61" s="66"/>
      <c r="X61" s="68"/>
      <c r="Y61" s="66">
        <f t="shared" si="141"/>
        <v>2663.513514</v>
      </c>
      <c r="Z61" s="69"/>
      <c r="AA61" s="70"/>
      <c r="AB61" s="71"/>
      <c r="AC61" s="66"/>
      <c r="AD61" s="78"/>
      <c r="AE61" s="73"/>
      <c r="AF61" s="76"/>
      <c r="AG61" s="75"/>
      <c r="AH61" s="66"/>
      <c r="AI61" s="66"/>
      <c r="AJ61" s="66"/>
      <c r="AK61" s="66"/>
      <c r="AL61" s="68"/>
      <c r="AM61" s="66"/>
      <c r="AN61" s="69"/>
      <c r="AO61" s="70"/>
      <c r="AP61" s="71"/>
      <c r="AQ61" s="66"/>
      <c r="AR61" s="78"/>
      <c r="AS61" s="73"/>
    </row>
    <row r="62">
      <c r="A62" s="104" t="s">
        <v>86</v>
      </c>
      <c r="B62" s="66">
        <f>B11*4+B13</f>
        <v>77700</v>
      </c>
      <c r="C62" s="65">
        <f t="shared" si="125"/>
        <v>69930</v>
      </c>
      <c r="D62" s="66">
        <f t="shared" si="126"/>
        <v>63000</v>
      </c>
      <c r="E62" s="67">
        <v>1.0</v>
      </c>
      <c r="F62" s="66">
        <f t="shared" si="127"/>
        <v>0</v>
      </c>
      <c r="G62" s="66">
        <f t="shared" si="128"/>
        <v>0</v>
      </c>
      <c r="H62" s="66">
        <f t="shared" si="129"/>
        <v>0</v>
      </c>
      <c r="I62" s="66">
        <f t="shared" si="130"/>
        <v>0</v>
      </c>
      <c r="J62" s="68">
        <v>1250.0</v>
      </c>
      <c r="K62" s="66">
        <f t="shared" si="131"/>
        <v>3150</v>
      </c>
      <c r="L62" s="69">
        <f t="shared" si="132"/>
        <v>67400</v>
      </c>
      <c r="M62" s="70" t="str">
        <f t="shared" si="133"/>
        <v>#DIV/0!</v>
      </c>
      <c r="N62" s="71">
        <f t="shared" si="134"/>
        <v>-67400</v>
      </c>
      <c r="O62" s="66">
        <f t="shared" si="135"/>
        <v>0</v>
      </c>
      <c r="P62" s="78"/>
      <c r="Q62" s="73">
        <f t="shared" si="136"/>
        <v>0</v>
      </c>
      <c r="R62" s="74"/>
      <c r="S62" s="75"/>
      <c r="T62" s="66"/>
      <c r="U62" s="66"/>
      <c r="V62" s="66"/>
      <c r="W62" s="66"/>
      <c r="X62" s="68"/>
      <c r="Y62" s="66">
        <f t="shared" si="141"/>
        <v>3150</v>
      </c>
      <c r="Z62" s="69"/>
      <c r="AA62" s="70"/>
      <c r="AB62" s="71"/>
      <c r="AC62" s="66"/>
      <c r="AD62" s="78"/>
      <c r="AE62" s="73"/>
      <c r="AF62" s="76"/>
      <c r="AG62" s="75"/>
      <c r="AH62" s="66"/>
      <c r="AI62" s="66"/>
      <c r="AJ62" s="66"/>
      <c r="AK62" s="66"/>
      <c r="AL62" s="68"/>
      <c r="AM62" s="66"/>
      <c r="AN62" s="69"/>
      <c r="AO62" s="70"/>
      <c r="AP62" s="71"/>
      <c r="AQ62" s="66"/>
      <c r="AR62" s="78"/>
      <c r="AS62" s="73"/>
    </row>
    <row r="63">
      <c r="A63" s="104"/>
      <c r="B63" s="66"/>
      <c r="C63" s="65">
        <f t="shared" si="125"/>
        <v>0</v>
      </c>
      <c r="D63" s="66">
        <f t="shared" si="126"/>
        <v>0</v>
      </c>
      <c r="E63" s="67">
        <v>1.0</v>
      </c>
      <c r="F63" s="66">
        <f t="shared" si="127"/>
        <v>0</v>
      </c>
      <c r="G63" s="66">
        <f t="shared" si="128"/>
        <v>0</v>
      </c>
      <c r="H63" s="66">
        <f t="shared" si="129"/>
        <v>0</v>
      </c>
      <c r="I63" s="66">
        <f t="shared" si="130"/>
        <v>0</v>
      </c>
      <c r="J63" s="68">
        <v>1250.0</v>
      </c>
      <c r="K63" s="66">
        <f t="shared" si="131"/>
        <v>0</v>
      </c>
      <c r="L63" s="69">
        <f t="shared" si="132"/>
        <v>1250</v>
      </c>
      <c r="M63" s="70" t="str">
        <f t="shared" si="133"/>
        <v>#DIV/0!</v>
      </c>
      <c r="N63" s="71">
        <f t="shared" si="134"/>
        <v>-1250</v>
      </c>
      <c r="O63" s="66">
        <f t="shared" si="135"/>
        <v>0</v>
      </c>
      <c r="P63" s="78"/>
      <c r="Q63" s="73">
        <f t="shared" si="136"/>
        <v>0</v>
      </c>
      <c r="R63" s="74"/>
      <c r="S63" s="75"/>
      <c r="T63" s="66"/>
      <c r="U63" s="66"/>
      <c r="V63" s="66"/>
      <c r="W63" s="66"/>
      <c r="X63" s="68"/>
      <c r="Y63" s="66">
        <f t="shared" si="141"/>
        <v>0</v>
      </c>
      <c r="Z63" s="69"/>
      <c r="AA63" s="70"/>
      <c r="AB63" s="71"/>
      <c r="AC63" s="66"/>
      <c r="AD63" s="78"/>
      <c r="AE63" s="73"/>
      <c r="AF63" s="76"/>
      <c r="AG63" s="75"/>
      <c r="AH63" s="66"/>
      <c r="AI63" s="66"/>
      <c r="AJ63" s="66"/>
      <c r="AK63" s="66"/>
      <c r="AL63" s="68"/>
      <c r="AM63" s="66"/>
      <c r="AN63" s="69"/>
      <c r="AO63" s="70"/>
      <c r="AP63" s="71"/>
      <c r="AQ63" s="66"/>
      <c r="AR63" s="78"/>
      <c r="AS63" s="73"/>
    </row>
    <row r="64">
      <c r="A64" s="104"/>
      <c r="B64" s="66"/>
      <c r="C64" s="65">
        <f t="shared" si="125"/>
        <v>0</v>
      </c>
      <c r="D64" s="66">
        <f t="shared" si="126"/>
        <v>0</v>
      </c>
      <c r="E64" s="67">
        <v>1.0</v>
      </c>
      <c r="F64" s="66">
        <f t="shared" si="127"/>
        <v>0</v>
      </c>
      <c r="G64" s="66">
        <f t="shared" si="128"/>
        <v>0</v>
      </c>
      <c r="H64" s="66">
        <f t="shared" si="129"/>
        <v>0</v>
      </c>
      <c r="I64" s="66">
        <f t="shared" si="130"/>
        <v>0</v>
      </c>
      <c r="J64" s="68">
        <v>1250.0</v>
      </c>
      <c r="K64" s="66">
        <f t="shared" si="131"/>
        <v>0</v>
      </c>
      <c r="L64" s="69">
        <f t="shared" si="132"/>
        <v>1250</v>
      </c>
      <c r="M64" s="70" t="str">
        <f t="shared" si="133"/>
        <v>#DIV/0!</v>
      </c>
      <c r="N64" s="71">
        <f t="shared" si="134"/>
        <v>-1250</v>
      </c>
      <c r="O64" s="66">
        <f t="shared" si="135"/>
        <v>0</v>
      </c>
      <c r="P64" s="78"/>
      <c r="Q64" s="73">
        <f t="shared" si="136"/>
        <v>0</v>
      </c>
      <c r="R64" s="74"/>
      <c r="S64" s="75"/>
      <c r="T64" s="66">
        <f t="shared" ref="T64:T68" si="158">AD64*$T$3</f>
        <v>0</v>
      </c>
      <c r="U64" s="66">
        <f t="shared" ref="U64:U68" si="159">AD64*$U$3</f>
        <v>0</v>
      </c>
      <c r="V64" s="66">
        <f t="shared" ref="V64:V68" si="160">AD64*$V$3</f>
        <v>0</v>
      </c>
      <c r="W64" s="66">
        <f t="shared" ref="W64:W68" si="161">AD64*$W$3</f>
        <v>0</v>
      </c>
      <c r="X64" s="68">
        <v>1250.0</v>
      </c>
      <c r="Y64" s="66">
        <f t="shared" si="141"/>
        <v>0</v>
      </c>
      <c r="Z64" s="69">
        <f t="shared" ref="Z64:Z68" si="162">(D64*S64)+T64+U64+V64+W64+X64+Y64</f>
        <v>1250</v>
      </c>
      <c r="AA64" s="70" t="str">
        <f t="shared" ref="AA64:AA68" si="163">AB64/AC64</f>
        <v>#DIV/0!</v>
      </c>
      <c r="AB64" s="71">
        <f t="shared" ref="AB64:AB68" si="164">AC64-Z64</f>
        <v>-1250</v>
      </c>
      <c r="AC64" s="66">
        <f t="shared" ref="AC64:AC68" si="165">AD64/$O$4</f>
        <v>0</v>
      </c>
      <c r="AD64" s="78"/>
      <c r="AE64" s="73" t="str">
        <f t="shared" ref="AE64:AE68" si="166">AD64/S64</f>
        <v>#DIV/0!</v>
      </c>
      <c r="AF64" s="76"/>
      <c r="AG64" s="75"/>
      <c r="AH64" s="66">
        <f t="shared" ref="AH64:AH69" si="167">AR64*$AH$3</f>
        <v>0</v>
      </c>
      <c r="AI64" s="66">
        <f t="shared" ref="AI64:AI69" si="168">AR64*$AI$3</f>
        <v>0</v>
      </c>
      <c r="AJ64" s="66">
        <f t="shared" ref="AJ64:AJ69" si="169">AR64*$AJ$3</f>
        <v>0</v>
      </c>
      <c r="AK64" s="66">
        <f t="shared" ref="AK64:AK69" si="170">AR64*$AK$3</f>
        <v>0</v>
      </c>
      <c r="AL64" s="68">
        <v>1250.0</v>
      </c>
      <c r="AM64" s="66">
        <f t="shared" ref="AM64:AM69" si="171">AF64*$AM$3</f>
        <v>0</v>
      </c>
      <c r="AN64" s="69">
        <f t="shared" ref="AN64:AN69" si="172">(R64*AG64)+AH64+AI64+AJ64+AK64+AL64+AM64</f>
        <v>1250</v>
      </c>
      <c r="AO64" s="70" t="str">
        <f t="shared" ref="AO64:AO69" si="173">AP64/AQ64</f>
        <v>#DIV/0!</v>
      </c>
      <c r="AP64" s="71">
        <f t="shared" ref="AP64:AP69" si="174">AQ64-AN64</f>
        <v>-1250</v>
      </c>
      <c r="AQ64" s="66">
        <f t="shared" ref="AQ64:AQ69" si="175">AR64/$O$4</f>
        <v>0</v>
      </c>
      <c r="AR64" s="78"/>
      <c r="AS64" s="73" t="str">
        <f t="shared" ref="AS64:AS69" si="176">AR64/AG64</f>
        <v>#DIV/0!</v>
      </c>
    </row>
    <row r="65">
      <c r="A65" s="106" t="s">
        <v>87</v>
      </c>
      <c r="B65" s="108">
        <f>B6*1</f>
        <v>3500</v>
      </c>
      <c r="C65" s="65">
        <f t="shared" si="125"/>
        <v>3150</v>
      </c>
      <c r="D65" s="66">
        <f t="shared" si="126"/>
        <v>2837.837838</v>
      </c>
      <c r="E65" s="107">
        <v>55.0</v>
      </c>
      <c r="F65" s="66">
        <f t="shared" si="127"/>
        <v>30378</v>
      </c>
      <c r="G65" s="66">
        <f t="shared" si="128"/>
        <v>14940</v>
      </c>
      <c r="H65" s="66">
        <f t="shared" si="129"/>
        <v>4482</v>
      </c>
      <c r="I65" s="66">
        <f t="shared" si="130"/>
        <v>11205</v>
      </c>
      <c r="J65" s="68">
        <v>1250.0</v>
      </c>
      <c r="K65" s="66">
        <f t="shared" si="131"/>
        <v>141.8918919</v>
      </c>
      <c r="L65" s="69">
        <f t="shared" si="132"/>
        <v>218477.973</v>
      </c>
      <c r="M65" s="70">
        <f t="shared" si="133"/>
        <v>0.02606204819</v>
      </c>
      <c r="N65" s="71">
        <f t="shared" si="134"/>
        <v>5846.351351</v>
      </c>
      <c r="O65" s="66">
        <f t="shared" si="135"/>
        <v>224324.3243</v>
      </c>
      <c r="P65" s="78">
        <v>249000.0</v>
      </c>
      <c r="Q65" s="73">
        <f t="shared" si="136"/>
        <v>4527.272727</v>
      </c>
      <c r="R65" s="74"/>
      <c r="S65" s="75"/>
      <c r="T65" s="66">
        <f t="shared" si="158"/>
        <v>0</v>
      </c>
      <c r="U65" s="66">
        <f t="shared" si="159"/>
        <v>0</v>
      </c>
      <c r="V65" s="66">
        <f t="shared" si="160"/>
        <v>0</v>
      </c>
      <c r="W65" s="66">
        <f t="shared" si="161"/>
        <v>0</v>
      </c>
      <c r="X65" s="68">
        <v>1250.0</v>
      </c>
      <c r="Y65" s="66">
        <f t="shared" si="141"/>
        <v>141.8918919</v>
      </c>
      <c r="Z65" s="69">
        <f t="shared" si="162"/>
        <v>1391.891892</v>
      </c>
      <c r="AA65" s="70" t="str">
        <f t="shared" si="163"/>
        <v>#DIV/0!</v>
      </c>
      <c r="AB65" s="71">
        <f t="shared" si="164"/>
        <v>-1391.891892</v>
      </c>
      <c r="AC65" s="66">
        <f t="shared" si="165"/>
        <v>0</v>
      </c>
      <c r="AD65" s="78"/>
      <c r="AE65" s="73" t="str">
        <f t="shared" si="166"/>
        <v>#DIV/0!</v>
      </c>
      <c r="AF65" s="76"/>
      <c r="AG65" s="75"/>
      <c r="AH65" s="66">
        <f t="shared" si="167"/>
        <v>0</v>
      </c>
      <c r="AI65" s="66">
        <f t="shared" si="168"/>
        <v>0</v>
      </c>
      <c r="AJ65" s="66">
        <f t="shared" si="169"/>
        <v>0</v>
      </c>
      <c r="AK65" s="66">
        <f t="shared" si="170"/>
        <v>0</v>
      </c>
      <c r="AL65" s="68">
        <v>1250.0</v>
      </c>
      <c r="AM65" s="66">
        <f t="shared" si="171"/>
        <v>0</v>
      </c>
      <c r="AN65" s="69">
        <f t="shared" si="172"/>
        <v>1250</v>
      </c>
      <c r="AO65" s="70" t="str">
        <f t="shared" si="173"/>
        <v>#DIV/0!</v>
      </c>
      <c r="AP65" s="71">
        <f t="shared" si="174"/>
        <v>-1250</v>
      </c>
      <c r="AQ65" s="66">
        <f t="shared" si="175"/>
        <v>0</v>
      </c>
      <c r="AR65" s="78"/>
      <c r="AS65" s="73" t="str">
        <f t="shared" si="176"/>
        <v>#DIV/0!</v>
      </c>
    </row>
    <row r="66">
      <c r="A66" s="106" t="s">
        <v>88</v>
      </c>
      <c r="B66" s="108">
        <f>B7*25+B13*2</f>
        <v>108900</v>
      </c>
      <c r="C66" s="65">
        <f t="shared" si="125"/>
        <v>98010</v>
      </c>
      <c r="D66" s="66">
        <f t="shared" si="126"/>
        <v>88297.2973</v>
      </c>
      <c r="E66" s="109">
        <v>1.0</v>
      </c>
      <c r="F66" s="66">
        <f t="shared" si="127"/>
        <v>19154</v>
      </c>
      <c r="G66" s="66">
        <f t="shared" si="128"/>
        <v>9420</v>
      </c>
      <c r="H66" s="66">
        <f t="shared" si="129"/>
        <v>2826</v>
      </c>
      <c r="I66" s="66">
        <f t="shared" si="130"/>
        <v>7065</v>
      </c>
      <c r="J66" s="68">
        <v>1250.0</v>
      </c>
      <c r="K66" s="66">
        <f t="shared" si="131"/>
        <v>4414.864865</v>
      </c>
      <c r="L66" s="69">
        <f t="shared" si="132"/>
        <v>132427.1622</v>
      </c>
      <c r="M66" s="70">
        <f t="shared" si="133"/>
        <v>0.06373152866</v>
      </c>
      <c r="N66" s="71">
        <f t="shared" si="134"/>
        <v>9014.279279</v>
      </c>
      <c r="O66" s="66">
        <f t="shared" si="135"/>
        <v>141441.4414</v>
      </c>
      <c r="P66" s="78">
        <v>157000.0</v>
      </c>
      <c r="Q66" s="73">
        <f t="shared" si="136"/>
        <v>157000</v>
      </c>
      <c r="R66" s="74"/>
      <c r="S66" s="75"/>
      <c r="T66" s="66">
        <f t="shared" si="158"/>
        <v>0</v>
      </c>
      <c r="U66" s="66">
        <f t="shared" si="159"/>
        <v>0</v>
      </c>
      <c r="V66" s="66">
        <f t="shared" si="160"/>
        <v>0</v>
      </c>
      <c r="W66" s="66">
        <f t="shared" si="161"/>
        <v>0</v>
      </c>
      <c r="X66" s="68">
        <v>1250.0</v>
      </c>
      <c r="Y66" s="66">
        <f t="shared" si="141"/>
        <v>4414.864865</v>
      </c>
      <c r="Z66" s="69">
        <f t="shared" si="162"/>
        <v>5664.864865</v>
      </c>
      <c r="AA66" s="70" t="str">
        <f t="shared" si="163"/>
        <v>#DIV/0!</v>
      </c>
      <c r="AB66" s="71">
        <f t="shared" si="164"/>
        <v>-5664.864865</v>
      </c>
      <c r="AC66" s="66">
        <f t="shared" si="165"/>
        <v>0</v>
      </c>
      <c r="AD66" s="78"/>
      <c r="AE66" s="73" t="str">
        <f t="shared" si="166"/>
        <v>#DIV/0!</v>
      </c>
      <c r="AF66" s="76"/>
      <c r="AG66" s="75"/>
      <c r="AH66" s="66">
        <f t="shared" si="167"/>
        <v>0</v>
      </c>
      <c r="AI66" s="66">
        <f t="shared" si="168"/>
        <v>0</v>
      </c>
      <c r="AJ66" s="66">
        <f t="shared" si="169"/>
        <v>0</v>
      </c>
      <c r="AK66" s="66">
        <f t="shared" si="170"/>
        <v>0</v>
      </c>
      <c r="AL66" s="68">
        <v>1250.0</v>
      </c>
      <c r="AM66" s="66">
        <f t="shared" si="171"/>
        <v>0</v>
      </c>
      <c r="AN66" s="69">
        <f t="shared" si="172"/>
        <v>1250</v>
      </c>
      <c r="AO66" s="70" t="str">
        <f t="shared" si="173"/>
        <v>#DIV/0!</v>
      </c>
      <c r="AP66" s="71">
        <f t="shared" si="174"/>
        <v>-1250</v>
      </c>
      <c r="AQ66" s="66">
        <f t="shared" si="175"/>
        <v>0</v>
      </c>
      <c r="AR66" s="78"/>
      <c r="AS66" s="73" t="str">
        <f t="shared" si="176"/>
        <v>#DIV/0!</v>
      </c>
    </row>
    <row r="67">
      <c r="A67" s="106" t="s">
        <v>89</v>
      </c>
      <c r="B67" s="108">
        <f>B15*55</f>
        <v>192500</v>
      </c>
      <c r="C67" s="65">
        <f t="shared" si="125"/>
        <v>173250</v>
      </c>
      <c r="D67" s="66">
        <f t="shared" si="126"/>
        <v>156081.0811</v>
      </c>
      <c r="E67" s="109">
        <v>1.0</v>
      </c>
      <c r="F67" s="66">
        <f t="shared" si="127"/>
        <v>31024.6</v>
      </c>
      <c r="G67" s="66">
        <f t="shared" si="128"/>
        <v>15258</v>
      </c>
      <c r="H67" s="66">
        <f t="shared" si="129"/>
        <v>4577.4</v>
      </c>
      <c r="I67" s="66">
        <f t="shared" si="130"/>
        <v>11443.5</v>
      </c>
      <c r="J67" s="68">
        <v>1250.0</v>
      </c>
      <c r="K67" s="66">
        <f t="shared" si="131"/>
        <v>7804.054054</v>
      </c>
      <c r="L67" s="69">
        <f t="shared" si="132"/>
        <v>227438.6351</v>
      </c>
      <c r="M67" s="70">
        <f t="shared" si="133"/>
        <v>0.007247797877</v>
      </c>
      <c r="N67" s="71">
        <f t="shared" si="134"/>
        <v>1660.463964</v>
      </c>
      <c r="O67" s="66">
        <f t="shared" si="135"/>
        <v>229099.0991</v>
      </c>
      <c r="P67" s="78">
        <v>254300.0</v>
      </c>
      <c r="Q67" s="73">
        <f t="shared" si="136"/>
        <v>254300</v>
      </c>
      <c r="R67" s="74"/>
      <c r="S67" s="75"/>
      <c r="T67" s="66">
        <f t="shared" si="158"/>
        <v>0</v>
      </c>
      <c r="U67" s="66">
        <f t="shared" si="159"/>
        <v>0</v>
      </c>
      <c r="V67" s="66">
        <f t="shared" si="160"/>
        <v>0</v>
      </c>
      <c r="W67" s="66">
        <f t="shared" si="161"/>
        <v>0</v>
      </c>
      <c r="X67" s="68">
        <v>1250.0</v>
      </c>
      <c r="Y67" s="66">
        <f t="shared" si="141"/>
        <v>7804.054054</v>
      </c>
      <c r="Z67" s="69">
        <f t="shared" si="162"/>
        <v>9054.054054</v>
      </c>
      <c r="AA67" s="70" t="str">
        <f t="shared" si="163"/>
        <v>#DIV/0!</v>
      </c>
      <c r="AB67" s="71">
        <f t="shared" si="164"/>
        <v>-9054.054054</v>
      </c>
      <c r="AC67" s="66">
        <f t="shared" si="165"/>
        <v>0</v>
      </c>
      <c r="AD67" s="78"/>
      <c r="AE67" s="73" t="str">
        <f t="shared" si="166"/>
        <v>#DIV/0!</v>
      </c>
      <c r="AF67" s="76"/>
      <c r="AG67" s="75"/>
      <c r="AH67" s="66">
        <f t="shared" si="167"/>
        <v>0</v>
      </c>
      <c r="AI67" s="66">
        <f t="shared" si="168"/>
        <v>0</v>
      </c>
      <c r="AJ67" s="66">
        <f t="shared" si="169"/>
        <v>0</v>
      </c>
      <c r="AK67" s="66">
        <f t="shared" si="170"/>
        <v>0</v>
      </c>
      <c r="AL67" s="68">
        <v>1250.0</v>
      </c>
      <c r="AM67" s="66">
        <f t="shared" si="171"/>
        <v>0</v>
      </c>
      <c r="AN67" s="69">
        <f t="shared" si="172"/>
        <v>1250</v>
      </c>
      <c r="AO67" s="70" t="str">
        <f t="shared" si="173"/>
        <v>#DIV/0!</v>
      </c>
      <c r="AP67" s="71">
        <f t="shared" si="174"/>
        <v>-1250</v>
      </c>
      <c r="AQ67" s="66">
        <f t="shared" si="175"/>
        <v>0</v>
      </c>
      <c r="AR67" s="78"/>
      <c r="AS67" s="73" t="str">
        <f t="shared" si="176"/>
        <v>#DIV/0!</v>
      </c>
    </row>
    <row r="68">
      <c r="A68" s="106" t="s">
        <v>90</v>
      </c>
      <c r="B68" s="66">
        <f>B14</f>
        <v>3500</v>
      </c>
      <c r="C68" s="65">
        <f t="shared" si="125"/>
        <v>3150</v>
      </c>
      <c r="D68" s="66">
        <f t="shared" si="126"/>
        <v>2837.837838</v>
      </c>
      <c r="E68" s="107">
        <v>55.0</v>
      </c>
      <c r="F68" s="66">
        <f t="shared" si="127"/>
        <v>30365.8</v>
      </c>
      <c r="G68" s="66">
        <f t="shared" si="128"/>
        <v>14934</v>
      </c>
      <c r="H68" s="66">
        <f t="shared" si="129"/>
        <v>4480.2</v>
      </c>
      <c r="I68" s="66">
        <f t="shared" si="130"/>
        <v>11200.5</v>
      </c>
      <c r="J68" s="68">
        <v>1250.0</v>
      </c>
      <c r="K68" s="66">
        <f t="shared" si="131"/>
        <v>141.8918919</v>
      </c>
      <c r="L68" s="69">
        <f t="shared" si="132"/>
        <v>218453.473</v>
      </c>
      <c r="M68" s="70">
        <f t="shared" si="133"/>
        <v>0.02578001205</v>
      </c>
      <c r="N68" s="71">
        <f t="shared" si="134"/>
        <v>5780.761261</v>
      </c>
      <c r="O68" s="66">
        <f t="shared" si="135"/>
        <v>224234.2342</v>
      </c>
      <c r="P68" s="78">
        <v>248900.0</v>
      </c>
      <c r="Q68" s="73">
        <f t="shared" si="136"/>
        <v>4525.454545</v>
      </c>
      <c r="R68" s="74"/>
      <c r="S68" s="75"/>
      <c r="T68" s="66">
        <f t="shared" si="158"/>
        <v>0</v>
      </c>
      <c r="U68" s="66">
        <f t="shared" si="159"/>
        <v>0</v>
      </c>
      <c r="V68" s="66">
        <f t="shared" si="160"/>
        <v>0</v>
      </c>
      <c r="W68" s="66">
        <f t="shared" si="161"/>
        <v>0</v>
      </c>
      <c r="X68" s="68">
        <v>1250.0</v>
      </c>
      <c r="Y68" s="66">
        <f t="shared" si="141"/>
        <v>141.8918919</v>
      </c>
      <c r="Z68" s="69">
        <f t="shared" si="162"/>
        <v>1391.891892</v>
      </c>
      <c r="AA68" s="70" t="str">
        <f t="shared" si="163"/>
        <v>#DIV/0!</v>
      </c>
      <c r="AB68" s="71">
        <f t="shared" si="164"/>
        <v>-1391.891892</v>
      </c>
      <c r="AC68" s="66">
        <f t="shared" si="165"/>
        <v>0</v>
      </c>
      <c r="AD68" s="78"/>
      <c r="AE68" s="73" t="str">
        <f t="shared" si="166"/>
        <v>#DIV/0!</v>
      </c>
      <c r="AF68" s="76"/>
      <c r="AG68" s="75"/>
      <c r="AH68" s="66">
        <f t="shared" si="167"/>
        <v>0</v>
      </c>
      <c r="AI68" s="66">
        <f t="shared" si="168"/>
        <v>0</v>
      </c>
      <c r="AJ68" s="66">
        <f t="shared" si="169"/>
        <v>0</v>
      </c>
      <c r="AK68" s="66">
        <f t="shared" si="170"/>
        <v>0</v>
      </c>
      <c r="AL68" s="68">
        <v>1250.0</v>
      </c>
      <c r="AM68" s="66">
        <f t="shared" si="171"/>
        <v>0</v>
      </c>
      <c r="AN68" s="69">
        <f t="shared" si="172"/>
        <v>1250</v>
      </c>
      <c r="AO68" s="70" t="str">
        <f t="shared" si="173"/>
        <v>#DIV/0!</v>
      </c>
      <c r="AP68" s="71">
        <f t="shared" si="174"/>
        <v>-1250</v>
      </c>
      <c r="AQ68" s="66">
        <f t="shared" si="175"/>
        <v>0</v>
      </c>
      <c r="AR68" s="78"/>
      <c r="AS68" s="73" t="str">
        <f t="shared" si="176"/>
        <v>#DIV/0!</v>
      </c>
    </row>
    <row r="69">
      <c r="A69" s="178"/>
      <c r="C69" s="65">
        <f t="shared" si="125"/>
        <v>0</v>
      </c>
      <c r="D69" s="66">
        <f t="shared" si="126"/>
        <v>0</v>
      </c>
      <c r="E69" s="109"/>
      <c r="F69" s="66">
        <f t="shared" si="127"/>
        <v>0</v>
      </c>
      <c r="G69" s="66">
        <f t="shared" si="128"/>
        <v>0</v>
      </c>
      <c r="H69" s="66">
        <f t="shared" si="129"/>
        <v>0</v>
      </c>
      <c r="I69" s="66">
        <f t="shared" si="130"/>
        <v>0</v>
      </c>
      <c r="J69" s="68">
        <v>1250.0</v>
      </c>
      <c r="K69" s="66">
        <f t="shared" si="131"/>
        <v>0</v>
      </c>
      <c r="L69" s="69">
        <f t="shared" si="132"/>
        <v>1250</v>
      </c>
      <c r="M69" s="70" t="str">
        <f t="shared" si="133"/>
        <v>#DIV/0!</v>
      </c>
      <c r="N69" s="71">
        <f t="shared" si="134"/>
        <v>-1250</v>
      </c>
      <c r="O69" s="66">
        <f t="shared" si="135"/>
        <v>0</v>
      </c>
      <c r="P69" s="152"/>
      <c r="Q69" s="73" t="str">
        <f t="shared" si="136"/>
        <v>#DIV/0!</v>
      </c>
      <c r="R69" s="74"/>
      <c r="S69" s="112"/>
      <c r="Y69" s="66">
        <f t="shared" si="141"/>
        <v>0</v>
      </c>
      <c r="AF69" s="76"/>
      <c r="AG69" s="75"/>
      <c r="AH69" s="66">
        <f t="shared" si="167"/>
        <v>0</v>
      </c>
      <c r="AI69" s="66">
        <f t="shared" si="168"/>
        <v>0</v>
      </c>
      <c r="AJ69" s="66">
        <f t="shared" si="169"/>
        <v>0</v>
      </c>
      <c r="AK69" s="66">
        <f t="shared" si="170"/>
        <v>0</v>
      </c>
      <c r="AL69" s="68">
        <v>1250.0</v>
      </c>
      <c r="AM69" s="66">
        <f t="shared" si="171"/>
        <v>0</v>
      </c>
      <c r="AN69" s="69">
        <f t="shared" si="172"/>
        <v>1250</v>
      </c>
      <c r="AO69" s="70" t="str">
        <f t="shared" si="173"/>
        <v>#DIV/0!</v>
      </c>
      <c r="AP69" s="71">
        <f t="shared" si="174"/>
        <v>-1250</v>
      </c>
      <c r="AQ69" s="66">
        <f t="shared" si="175"/>
        <v>0</v>
      </c>
      <c r="AR69" s="78"/>
      <c r="AS69" s="73" t="str">
        <f t="shared" si="176"/>
        <v>#DIV/0!</v>
      </c>
    </row>
    <row r="70" ht="25.5" customHeight="1">
      <c r="A70" s="130" t="s">
        <v>97</v>
      </c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74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76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</row>
    <row r="71">
      <c r="A71" s="106" t="s">
        <v>98</v>
      </c>
      <c r="B71" s="65">
        <v>1825.0</v>
      </c>
      <c r="C71" s="65">
        <f t="shared" ref="C71:C76" si="177">B71*$C$4</f>
        <v>1642.5</v>
      </c>
      <c r="D71" s="66">
        <f t="shared" ref="D71:D76" si="178">C71/$D$4</f>
        <v>1479.72973</v>
      </c>
      <c r="E71" s="124">
        <v>5.0</v>
      </c>
      <c r="F71" s="66">
        <f t="shared" ref="F71:F76" si="179">P71*$F$3</f>
        <v>1952</v>
      </c>
      <c r="G71" s="66">
        <f t="shared" ref="G71:G76" si="180">P71*$G$3</f>
        <v>960</v>
      </c>
      <c r="H71" s="66">
        <f t="shared" ref="H71:H76" si="181">P71*$H$3</f>
        <v>288</v>
      </c>
      <c r="I71" s="66">
        <f t="shared" ref="I71:I76" si="182">P71*$I$3</f>
        <v>720</v>
      </c>
      <c r="J71" s="68">
        <v>1250.0</v>
      </c>
      <c r="K71" s="66">
        <f t="shared" ref="K71:K76" si="183">D71*$K$3</f>
        <v>73.98648649</v>
      </c>
      <c r="L71" s="69">
        <f t="shared" ref="L71:L76" si="184">(D71*E71)+F71+G71+H71+I71+J71+K71</f>
        <v>12642.63514</v>
      </c>
      <c r="M71" s="70">
        <f t="shared" ref="M71:M76" si="185">N71/O71</f>
        <v>0.1229171875</v>
      </c>
      <c r="N71" s="71">
        <f t="shared" ref="N71:N76" si="186">O71-L71</f>
        <v>1771.779279</v>
      </c>
      <c r="O71" s="66">
        <f t="shared" ref="O71:O76" si="187">P71/$O$4</f>
        <v>14414.41441</v>
      </c>
      <c r="P71" s="78">
        <v>16000.0</v>
      </c>
      <c r="Q71" s="73">
        <f t="shared" ref="Q71:Q76" si="188">P71/E71</f>
        <v>3200</v>
      </c>
      <c r="R71" s="74"/>
      <c r="S71" s="75">
        <v>50.0</v>
      </c>
      <c r="T71" s="66">
        <f t="shared" ref="T71:T76" si="189">AD71*$T$3</f>
        <v>18178</v>
      </c>
      <c r="U71" s="66">
        <f t="shared" ref="U71:U76" si="190">AD71*$U$3</f>
        <v>8940</v>
      </c>
      <c r="V71" s="66">
        <f t="shared" ref="V71:V76" si="191">AD71*$V$3</f>
        <v>2682</v>
      </c>
      <c r="W71" s="66">
        <f t="shared" ref="W71:W76" si="192">AD71*$W$3</f>
        <v>6705</v>
      </c>
      <c r="X71" s="68">
        <v>1250.0</v>
      </c>
      <c r="Y71" s="66">
        <f t="shared" ref="Y71:Y76" si="193">R71*$Y$3</f>
        <v>0</v>
      </c>
      <c r="Z71" s="69">
        <f t="shared" ref="Z71:Z76" si="194">(D71*S71)+T71+U71+V71+W71+X71+Y71</f>
        <v>111741.4865</v>
      </c>
      <c r="AA71" s="70">
        <f t="shared" ref="AA71:AA76" si="195">AB71/AC71</f>
        <v>0.1675634228</v>
      </c>
      <c r="AB71" s="71">
        <f t="shared" ref="AB71:AB76" si="196">AC71-Z71</f>
        <v>22492.74775</v>
      </c>
      <c r="AC71" s="66">
        <f t="shared" ref="AC71:AC76" si="197">AD71/$O$4</f>
        <v>134234.2342</v>
      </c>
      <c r="AD71" s="78">
        <v>149000.0</v>
      </c>
      <c r="AE71" s="73">
        <f t="shared" ref="AE71:AE76" si="198">AD71/S71</f>
        <v>2980</v>
      </c>
      <c r="AF71" s="76"/>
      <c r="AG71" s="75"/>
      <c r="AH71" s="66">
        <f t="shared" ref="AH71:AH76" si="199">AR71*$AH$3</f>
        <v>0</v>
      </c>
      <c r="AI71" s="66">
        <f t="shared" ref="AI71:AI76" si="200">AR71*$AI$3</f>
        <v>0</v>
      </c>
      <c r="AJ71" s="66">
        <f t="shared" ref="AJ71:AJ76" si="201">AR71*$AJ$3</f>
        <v>0</v>
      </c>
      <c r="AK71" s="66">
        <f t="shared" ref="AK71:AK76" si="202">AR71*$AK$3</f>
        <v>0</v>
      </c>
      <c r="AL71" s="68">
        <v>1250.0</v>
      </c>
      <c r="AM71" s="66">
        <f t="shared" ref="AM71:AM76" si="203">AF71*$AM$3</f>
        <v>0</v>
      </c>
      <c r="AN71" s="69">
        <f t="shared" ref="AN71:AN76" si="204">(R71*AG71)+AH71+AI71+AJ71+AK71+AL71+AM71</f>
        <v>1250</v>
      </c>
      <c r="AO71" s="70" t="str">
        <f t="shared" ref="AO71:AO76" si="205">AP71/AQ71</f>
        <v>#DIV/0!</v>
      </c>
      <c r="AP71" s="71">
        <f t="shared" ref="AP71:AP76" si="206">AQ71-AN71</f>
        <v>-1250</v>
      </c>
      <c r="AQ71" s="66">
        <f t="shared" ref="AQ71:AQ76" si="207">AR71/$O$4</f>
        <v>0</v>
      </c>
      <c r="AR71" s="78"/>
      <c r="AS71" s="73" t="str">
        <f t="shared" ref="AS71:AS76" si="208">AR71/AG71</f>
        <v>#DIV/0!</v>
      </c>
    </row>
    <row r="72">
      <c r="A72" s="106" t="s">
        <v>99</v>
      </c>
      <c r="B72" s="65">
        <v>2200.0</v>
      </c>
      <c r="C72" s="65">
        <f t="shared" si="177"/>
        <v>1980</v>
      </c>
      <c r="D72" s="66">
        <f t="shared" si="178"/>
        <v>1783.783784</v>
      </c>
      <c r="E72" s="124">
        <v>5.0</v>
      </c>
      <c r="F72" s="66">
        <f t="shared" si="179"/>
        <v>2196</v>
      </c>
      <c r="G72" s="66">
        <f t="shared" si="180"/>
        <v>1080</v>
      </c>
      <c r="H72" s="66">
        <f t="shared" si="181"/>
        <v>324</v>
      </c>
      <c r="I72" s="66">
        <f t="shared" si="182"/>
        <v>810</v>
      </c>
      <c r="J72" s="68">
        <v>1250.0</v>
      </c>
      <c r="K72" s="66">
        <f t="shared" si="183"/>
        <v>89.18918919</v>
      </c>
      <c r="L72" s="69">
        <f t="shared" si="184"/>
        <v>14668.10811</v>
      </c>
      <c r="M72" s="70">
        <f t="shared" si="185"/>
        <v>0.09546666667</v>
      </c>
      <c r="N72" s="71">
        <f t="shared" si="186"/>
        <v>1548.108108</v>
      </c>
      <c r="O72" s="66">
        <f t="shared" si="187"/>
        <v>16216.21622</v>
      </c>
      <c r="P72" s="78">
        <v>18000.0</v>
      </c>
      <c r="Q72" s="73">
        <f t="shared" si="188"/>
        <v>3600</v>
      </c>
      <c r="R72" s="74"/>
      <c r="S72" s="75"/>
      <c r="T72" s="66">
        <f t="shared" si="189"/>
        <v>0</v>
      </c>
      <c r="U72" s="66">
        <f t="shared" si="190"/>
        <v>0</v>
      </c>
      <c r="V72" s="66">
        <f t="shared" si="191"/>
        <v>0</v>
      </c>
      <c r="W72" s="66">
        <f t="shared" si="192"/>
        <v>0</v>
      </c>
      <c r="X72" s="68">
        <v>1250.0</v>
      </c>
      <c r="Y72" s="66">
        <f t="shared" si="193"/>
        <v>0</v>
      </c>
      <c r="Z72" s="69">
        <f t="shared" si="194"/>
        <v>1250</v>
      </c>
      <c r="AA72" s="70" t="str">
        <f t="shared" si="195"/>
        <v>#DIV/0!</v>
      </c>
      <c r="AB72" s="71">
        <f t="shared" si="196"/>
        <v>-1250</v>
      </c>
      <c r="AC72" s="66">
        <f t="shared" si="197"/>
        <v>0</v>
      </c>
      <c r="AD72" s="78"/>
      <c r="AE72" s="73" t="str">
        <f t="shared" si="198"/>
        <v>#DIV/0!</v>
      </c>
      <c r="AF72" s="76"/>
      <c r="AG72" s="75"/>
      <c r="AH72" s="66">
        <f t="shared" si="199"/>
        <v>0</v>
      </c>
      <c r="AI72" s="66">
        <f t="shared" si="200"/>
        <v>0</v>
      </c>
      <c r="AJ72" s="66">
        <f t="shared" si="201"/>
        <v>0</v>
      </c>
      <c r="AK72" s="66">
        <f t="shared" si="202"/>
        <v>0</v>
      </c>
      <c r="AL72" s="68">
        <v>1250.0</v>
      </c>
      <c r="AM72" s="66">
        <f t="shared" si="203"/>
        <v>0</v>
      </c>
      <c r="AN72" s="69">
        <f t="shared" si="204"/>
        <v>1250</v>
      </c>
      <c r="AO72" s="70" t="str">
        <f t="shared" si="205"/>
        <v>#DIV/0!</v>
      </c>
      <c r="AP72" s="71">
        <f t="shared" si="206"/>
        <v>-1250</v>
      </c>
      <c r="AQ72" s="66">
        <f t="shared" si="207"/>
        <v>0</v>
      </c>
      <c r="AR72" s="78"/>
      <c r="AS72" s="73" t="str">
        <f t="shared" si="208"/>
        <v>#DIV/0!</v>
      </c>
    </row>
    <row r="73">
      <c r="A73" s="106" t="s">
        <v>100</v>
      </c>
      <c r="B73" s="65">
        <v>2900.0</v>
      </c>
      <c r="C73" s="65">
        <f t="shared" si="177"/>
        <v>2610</v>
      </c>
      <c r="D73" s="66">
        <f t="shared" si="178"/>
        <v>2351.351351</v>
      </c>
      <c r="E73" s="124">
        <v>3.0</v>
      </c>
      <c r="F73" s="66">
        <f t="shared" si="179"/>
        <v>2171.6</v>
      </c>
      <c r="G73" s="66">
        <f t="shared" si="180"/>
        <v>1068</v>
      </c>
      <c r="H73" s="66">
        <f t="shared" si="181"/>
        <v>320.4</v>
      </c>
      <c r="I73" s="66">
        <f t="shared" si="182"/>
        <v>801</v>
      </c>
      <c r="J73" s="68">
        <v>1250.0</v>
      </c>
      <c r="K73" s="66">
        <f t="shared" si="183"/>
        <v>117.5675676</v>
      </c>
      <c r="L73" s="69">
        <f t="shared" si="184"/>
        <v>12782.62162</v>
      </c>
      <c r="M73" s="70">
        <f t="shared" si="185"/>
        <v>0.2028814607</v>
      </c>
      <c r="N73" s="71">
        <f t="shared" si="186"/>
        <v>3253.414414</v>
      </c>
      <c r="O73" s="66">
        <f t="shared" si="187"/>
        <v>16036.03604</v>
      </c>
      <c r="P73" s="78">
        <v>17800.0</v>
      </c>
      <c r="Q73" s="73">
        <f t="shared" si="188"/>
        <v>5933.333333</v>
      </c>
      <c r="R73" s="74"/>
      <c r="S73" s="75">
        <v>50.0</v>
      </c>
      <c r="T73" s="66">
        <f t="shared" si="189"/>
        <v>27450</v>
      </c>
      <c r="U73" s="66">
        <f t="shared" si="190"/>
        <v>13500</v>
      </c>
      <c r="V73" s="66">
        <f t="shared" si="191"/>
        <v>4050</v>
      </c>
      <c r="W73" s="66">
        <f t="shared" si="192"/>
        <v>10125</v>
      </c>
      <c r="X73" s="68">
        <v>1250.0</v>
      </c>
      <c r="Y73" s="66">
        <f t="shared" si="193"/>
        <v>0</v>
      </c>
      <c r="Z73" s="69">
        <f t="shared" si="194"/>
        <v>173942.5676</v>
      </c>
      <c r="AA73" s="70">
        <f t="shared" si="195"/>
        <v>0.1418833333</v>
      </c>
      <c r="AB73" s="71">
        <f t="shared" si="196"/>
        <v>28760.13514</v>
      </c>
      <c r="AC73" s="66">
        <f t="shared" si="197"/>
        <v>202702.7027</v>
      </c>
      <c r="AD73" s="78">
        <v>225000.0</v>
      </c>
      <c r="AE73" s="73">
        <f t="shared" si="198"/>
        <v>4500</v>
      </c>
      <c r="AF73" s="76"/>
      <c r="AG73" s="75"/>
      <c r="AH73" s="66">
        <f t="shared" si="199"/>
        <v>0</v>
      </c>
      <c r="AI73" s="66">
        <f t="shared" si="200"/>
        <v>0</v>
      </c>
      <c r="AJ73" s="66">
        <f t="shared" si="201"/>
        <v>0</v>
      </c>
      <c r="AK73" s="66">
        <f t="shared" si="202"/>
        <v>0</v>
      </c>
      <c r="AL73" s="68">
        <v>1250.0</v>
      </c>
      <c r="AM73" s="66">
        <f t="shared" si="203"/>
        <v>0</v>
      </c>
      <c r="AN73" s="69">
        <f t="shared" si="204"/>
        <v>1250</v>
      </c>
      <c r="AO73" s="70" t="str">
        <f t="shared" si="205"/>
        <v>#DIV/0!</v>
      </c>
      <c r="AP73" s="71">
        <f t="shared" si="206"/>
        <v>-1250</v>
      </c>
      <c r="AQ73" s="66">
        <f t="shared" si="207"/>
        <v>0</v>
      </c>
      <c r="AR73" s="78"/>
      <c r="AS73" s="73" t="str">
        <f t="shared" si="208"/>
        <v>#DIV/0!</v>
      </c>
    </row>
    <row r="74">
      <c r="A74" s="106" t="s">
        <v>101</v>
      </c>
      <c r="B74" s="65">
        <f>B73+200</f>
        <v>3100</v>
      </c>
      <c r="C74" s="65">
        <f t="shared" si="177"/>
        <v>2790</v>
      </c>
      <c r="D74" s="66">
        <f t="shared" si="178"/>
        <v>2513.513514</v>
      </c>
      <c r="E74" s="124">
        <v>5.0</v>
      </c>
      <c r="F74" s="66">
        <f t="shared" si="179"/>
        <v>5490</v>
      </c>
      <c r="G74" s="66">
        <f t="shared" si="180"/>
        <v>2700</v>
      </c>
      <c r="H74" s="66">
        <f t="shared" si="181"/>
        <v>810</v>
      </c>
      <c r="I74" s="66">
        <f t="shared" si="182"/>
        <v>2025</v>
      </c>
      <c r="J74" s="68">
        <v>1250.0</v>
      </c>
      <c r="K74" s="66">
        <f t="shared" si="183"/>
        <v>125.6756757</v>
      </c>
      <c r="L74" s="69">
        <f t="shared" si="184"/>
        <v>24968.24324</v>
      </c>
      <c r="M74" s="70">
        <f t="shared" si="185"/>
        <v>0.3841166667</v>
      </c>
      <c r="N74" s="71">
        <f t="shared" si="186"/>
        <v>15572.2973</v>
      </c>
      <c r="O74" s="66">
        <f t="shared" si="187"/>
        <v>40540.54054</v>
      </c>
      <c r="P74" s="78">
        <v>45000.0</v>
      </c>
      <c r="Q74" s="73">
        <f t="shared" si="188"/>
        <v>9000</v>
      </c>
      <c r="R74" s="74"/>
      <c r="S74" s="75"/>
      <c r="T74" s="66">
        <f t="shared" si="189"/>
        <v>0</v>
      </c>
      <c r="U74" s="66">
        <f t="shared" si="190"/>
        <v>0</v>
      </c>
      <c r="V74" s="66">
        <f t="shared" si="191"/>
        <v>0</v>
      </c>
      <c r="W74" s="66">
        <f t="shared" si="192"/>
        <v>0</v>
      </c>
      <c r="X74" s="68">
        <v>1250.0</v>
      </c>
      <c r="Y74" s="66">
        <f t="shared" si="193"/>
        <v>0</v>
      </c>
      <c r="Z74" s="69">
        <f t="shared" si="194"/>
        <v>1250</v>
      </c>
      <c r="AA74" s="70" t="str">
        <f t="shared" si="195"/>
        <v>#DIV/0!</v>
      </c>
      <c r="AB74" s="71">
        <f t="shared" si="196"/>
        <v>-1250</v>
      </c>
      <c r="AC74" s="66">
        <f t="shared" si="197"/>
        <v>0</v>
      </c>
      <c r="AD74" s="78"/>
      <c r="AE74" s="73" t="str">
        <f t="shared" si="198"/>
        <v>#DIV/0!</v>
      </c>
      <c r="AF74" s="76"/>
      <c r="AG74" s="75"/>
      <c r="AH74" s="66">
        <f t="shared" si="199"/>
        <v>0</v>
      </c>
      <c r="AI74" s="66">
        <f t="shared" si="200"/>
        <v>0</v>
      </c>
      <c r="AJ74" s="66">
        <f t="shared" si="201"/>
        <v>0</v>
      </c>
      <c r="AK74" s="66">
        <f t="shared" si="202"/>
        <v>0</v>
      </c>
      <c r="AL74" s="68">
        <v>1250.0</v>
      </c>
      <c r="AM74" s="66">
        <f t="shared" si="203"/>
        <v>0</v>
      </c>
      <c r="AN74" s="69">
        <f t="shared" si="204"/>
        <v>1250</v>
      </c>
      <c r="AO74" s="70" t="str">
        <f t="shared" si="205"/>
        <v>#DIV/0!</v>
      </c>
      <c r="AP74" s="71">
        <f t="shared" si="206"/>
        <v>-1250</v>
      </c>
      <c r="AQ74" s="66">
        <f t="shared" si="207"/>
        <v>0</v>
      </c>
      <c r="AR74" s="78"/>
      <c r="AS74" s="73" t="str">
        <f t="shared" si="208"/>
        <v>#DIV/0!</v>
      </c>
    </row>
    <row r="75">
      <c r="A75" s="106" t="s">
        <v>102</v>
      </c>
      <c r="B75" s="65">
        <v>5500.0</v>
      </c>
      <c r="C75" s="65">
        <f t="shared" si="177"/>
        <v>4950</v>
      </c>
      <c r="D75" s="66">
        <f t="shared" si="178"/>
        <v>4459.459459</v>
      </c>
      <c r="E75" s="124">
        <v>1.0</v>
      </c>
      <c r="F75" s="66">
        <f t="shared" si="179"/>
        <v>1220</v>
      </c>
      <c r="G75" s="66">
        <f t="shared" si="180"/>
        <v>600</v>
      </c>
      <c r="H75" s="66">
        <f t="shared" si="181"/>
        <v>180</v>
      </c>
      <c r="I75" s="66">
        <f t="shared" si="182"/>
        <v>450</v>
      </c>
      <c r="J75" s="68">
        <v>1250.0</v>
      </c>
      <c r="K75" s="66">
        <f t="shared" si="183"/>
        <v>222.972973</v>
      </c>
      <c r="L75" s="69">
        <f t="shared" si="184"/>
        <v>8382.432432</v>
      </c>
      <c r="M75" s="70">
        <f t="shared" si="185"/>
        <v>0.06955</v>
      </c>
      <c r="N75" s="71">
        <f t="shared" si="186"/>
        <v>626.5765766</v>
      </c>
      <c r="O75" s="66">
        <f t="shared" si="187"/>
        <v>9009.009009</v>
      </c>
      <c r="P75" s="78">
        <v>10000.0</v>
      </c>
      <c r="Q75" s="73">
        <f t="shared" si="188"/>
        <v>10000</v>
      </c>
      <c r="R75" s="74"/>
      <c r="S75" s="75">
        <v>25.0</v>
      </c>
      <c r="T75" s="66">
        <f t="shared" si="189"/>
        <v>21838</v>
      </c>
      <c r="U75" s="66">
        <f t="shared" si="190"/>
        <v>10740</v>
      </c>
      <c r="V75" s="66">
        <f t="shared" si="191"/>
        <v>3222</v>
      </c>
      <c r="W75" s="66">
        <f t="shared" si="192"/>
        <v>8055</v>
      </c>
      <c r="X75" s="68">
        <v>1250.0</v>
      </c>
      <c r="Y75" s="66">
        <f t="shared" si="193"/>
        <v>0</v>
      </c>
      <c r="Z75" s="69">
        <f t="shared" si="194"/>
        <v>156591.4865</v>
      </c>
      <c r="AA75" s="70">
        <f t="shared" si="195"/>
        <v>0.02895782123</v>
      </c>
      <c r="AB75" s="71">
        <f t="shared" si="196"/>
        <v>4669.774775</v>
      </c>
      <c r="AC75" s="66">
        <f t="shared" si="197"/>
        <v>161261.2613</v>
      </c>
      <c r="AD75" s="78">
        <v>179000.0</v>
      </c>
      <c r="AE75" s="73">
        <f t="shared" si="198"/>
        <v>7160</v>
      </c>
      <c r="AF75" s="76"/>
      <c r="AG75" s="75"/>
      <c r="AH75" s="66">
        <f t="shared" si="199"/>
        <v>0</v>
      </c>
      <c r="AI75" s="66">
        <f t="shared" si="200"/>
        <v>0</v>
      </c>
      <c r="AJ75" s="66">
        <f t="shared" si="201"/>
        <v>0</v>
      </c>
      <c r="AK75" s="66">
        <f t="shared" si="202"/>
        <v>0</v>
      </c>
      <c r="AL75" s="68">
        <v>1250.0</v>
      </c>
      <c r="AM75" s="66">
        <f t="shared" si="203"/>
        <v>0</v>
      </c>
      <c r="AN75" s="69">
        <f t="shared" si="204"/>
        <v>1250</v>
      </c>
      <c r="AO75" s="70" t="str">
        <f t="shared" si="205"/>
        <v>#DIV/0!</v>
      </c>
      <c r="AP75" s="71">
        <f t="shared" si="206"/>
        <v>-1250</v>
      </c>
      <c r="AQ75" s="66">
        <f t="shared" si="207"/>
        <v>0</v>
      </c>
      <c r="AR75" s="78"/>
      <c r="AS75" s="73" t="str">
        <f t="shared" si="208"/>
        <v>#DIV/0!</v>
      </c>
    </row>
    <row r="76">
      <c r="A76" s="106" t="s">
        <v>103</v>
      </c>
      <c r="B76" s="65">
        <v>10500.0</v>
      </c>
      <c r="C76" s="65">
        <f t="shared" si="177"/>
        <v>9450</v>
      </c>
      <c r="D76" s="66">
        <f t="shared" si="178"/>
        <v>8513.513514</v>
      </c>
      <c r="E76" s="124">
        <v>1.0</v>
      </c>
      <c r="F76" s="66">
        <f t="shared" si="179"/>
        <v>1647</v>
      </c>
      <c r="G76" s="66">
        <f t="shared" si="180"/>
        <v>810</v>
      </c>
      <c r="H76" s="66">
        <f t="shared" si="181"/>
        <v>243</v>
      </c>
      <c r="I76" s="66">
        <f t="shared" si="182"/>
        <v>607.5</v>
      </c>
      <c r="J76" s="68">
        <v>1250.0</v>
      </c>
      <c r="K76" s="66">
        <f t="shared" si="183"/>
        <v>425.6756757</v>
      </c>
      <c r="L76" s="69">
        <f t="shared" si="184"/>
        <v>13496.68919</v>
      </c>
      <c r="M76" s="70">
        <f t="shared" si="185"/>
        <v>-0.1097277778</v>
      </c>
      <c r="N76" s="71">
        <f t="shared" si="186"/>
        <v>-1334.527027</v>
      </c>
      <c r="O76" s="66">
        <f t="shared" si="187"/>
        <v>12162.16216</v>
      </c>
      <c r="P76" s="78">
        <v>13500.0</v>
      </c>
      <c r="Q76" s="73">
        <f t="shared" si="188"/>
        <v>13500</v>
      </c>
      <c r="R76" s="74"/>
      <c r="S76" s="75"/>
      <c r="T76" s="66">
        <f t="shared" si="189"/>
        <v>0</v>
      </c>
      <c r="U76" s="66">
        <f t="shared" si="190"/>
        <v>0</v>
      </c>
      <c r="V76" s="66">
        <f t="shared" si="191"/>
        <v>0</v>
      </c>
      <c r="W76" s="66">
        <f t="shared" si="192"/>
        <v>0</v>
      </c>
      <c r="X76" s="68">
        <v>1250.0</v>
      </c>
      <c r="Y76" s="66">
        <f t="shared" si="193"/>
        <v>0</v>
      </c>
      <c r="Z76" s="69">
        <f t="shared" si="194"/>
        <v>1250</v>
      </c>
      <c r="AA76" s="70" t="str">
        <f t="shared" si="195"/>
        <v>#DIV/0!</v>
      </c>
      <c r="AB76" s="71">
        <f t="shared" si="196"/>
        <v>-1250</v>
      </c>
      <c r="AC76" s="66">
        <f t="shared" si="197"/>
        <v>0</v>
      </c>
      <c r="AD76" s="78"/>
      <c r="AE76" s="73" t="str">
        <f t="shared" si="198"/>
        <v>#DIV/0!</v>
      </c>
      <c r="AF76" s="76"/>
      <c r="AG76" s="75"/>
      <c r="AH76" s="66">
        <f t="shared" si="199"/>
        <v>0</v>
      </c>
      <c r="AI76" s="66">
        <f t="shared" si="200"/>
        <v>0</v>
      </c>
      <c r="AJ76" s="66">
        <f t="shared" si="201"/>
        <v>0</v>
      </c>
      <c r="AK76" s="66">
        <f t="shared" si="202"/>
        <v>0</v>
      </c>
      <c r="AL76" s="68">
        <v>1250.0</v>
      </c>
      <c r="AM76" s="66">
        <f t="shared" si="203"/>
        <v>0</v>
      </c>
      <c r="AN76" s="69">
        <f t="shared" si="204"/>
        <v>1250</v>
      </c>
      <c r="AO76" s="70" t="str">
        <f t="shared" si="205"/>
        <v>#DIV/0!</v>
      </c>
      <c r="AP76" s="71">
        <f t="shared" si="206"/>
        <v>-1250</v>
      </c>
      <c r="AQ76" s="66">
        <f t="shared" si="207"/>
        <v>0</v>
      </c>
      <c r="AR76" s="78"/>
      <c r="AS76" s="73" t="str">
        <f t="shared" si="208"/>
        <v>#DIV/0!</v>
      </c>
    </row>
    <row r="77">
      <c r="A77" s="132"/>
      <c r="B77" s="133"/>
      <c r="C77" s="133"/>
      <c r="D77" s="66"/>
      <c r="E77" s="124"/>
      <c r="F77" s="66"/>
      <c r="G77" s="66"/>
      <c r="H77" s="66"/>
      <c r="I77" s="66"/>
      <c r="J77" s="68"/>
      <c r="K77" s="66"/>
      <c r="L77" s="69"/>
      <c r="M77" s="70"/>
      <c r="N77" s="71"/>
      <c r="O77" s="66"/>
      <c r="P77" s="78"/>
      <c r="Q77" s="73"/>
      <c r="R77" s="74"/>
      <c r="S77" s="75"/>
      <c r="T77" s="66"/>
      <c r="U77" s="66"/>
      <c r="V77" s="66"/>
      <c r="W77" s="66"/>
      <c r="X77" s="68"/>
      <c r="Y77" s="66"/>
      <c r="Z77" s="69"/>
      <c r="AA77" s="70"/>
      <c r="AB77" s="71"/>
      <c r="AC77" s="66"/>
      <c r="AD77" s="78"/>
      <c r="AE77" s="73"/>
      <c r="AF77" s="76"/>
      <c r="AG77" s="75"/>
      <c r="AH77" s="66"/>
      <c r="AI77" s="66"/>
      <c r="AJ77" s="66"/>
      <c r="AK77" s="66"/>
      <c r="AL77" s="68"/>
      <c r="AM77" s="66"/>
      <c r="AN77" s="69"/>
      <c r="AO77" s="70"/>
      <c r="AP77" s="71"/>
      <c r="AQ77" s="66"/>
      <c r="AR77" s="78"/>
      <c r="AS77" s="73"/>
    </row>
    <row r="78">
      <c r="A78" s="106" t="s">
        <v>104</v>
      </c>
      <c r="B78" s="133">
        <f t="shared" ref="B78:B80" si="209">B71*6</f>
        <v>10950</v>
      </c>
      <c r="C78" s="65">
        <f t="shared" ref="C78:C84" si="210">B78*$C$4</f>
        <v>9855</v>
      </c>
      <c r="D78" s="66">
        <f t="shared" ref="D78:D84" si="211">C78/$D$4</f>
        <v>8878.378378</v>
      </c>
      <c r="E78" s="124">
        <v>1.0</v>
      </c>
      <c r="F78" s="66">
        <f t="shared" ref="F78:F84" si="212">P78*$F$3</f>
        <v>0</v>
      </c>
      <c r="G78" s="66">
        <f t="shared" ref="G78:G84" si="213">P78*$G$3</f>
        <v>0</v>
      </c>
      <c r="H78" s="66">
        <f t="shared" ref="H78:H84" si="214">P78*$H$3</f>
        <v>0</v>
      </c>
      <c r="I78" s="66">
        <f t="shared" ref="I78:I84" si="215">P78*$I$3</f>
        <v>0</v>
      </c>
      <c r="J78" s="68">
        <v>1250.0</v>
      </c>
      <c r="K78" s="66">
        <f t="shared" ref="K78:K84" si="216">D78*$K$3</f>
        <v>443.9189189</v>
      </c>
      <c r="L78" s="69">
        <f t="shared" ref="L78:L84" si="217">(D78*E78)+F78+G78+H78+I78+J78+K78</f>
        <v>10572.2973</v>
      </c>
      <c r="M78" s="70" t="str">
        <f t="shared" ref="M78:M84" si="218">N78/O78</f>
        <v>#DIV/0!</v>
      </c>
      <c r="N78" s="71">
        <f t="shared" ref="N78:N84" si="219">O78-L78</f>
        <v>-10572.2973</v>
      </c>
      <c r="O78" s="66">
        <f t="shared" ref="O78:O84" si="220">P78/$O$4</f>
        <v>0</v>
      </c>
      <c r="P78" s="78"/>
      <c r="Q78" s="73">
        <f t="shared" ref="Q78:Q84" si="221">P78/E78</f>
        <v>0</v>
      </c>
      <c r="R78" s="74"/>
      <c r="S78" s="75"/>
      <c r="T78" s="66"/>
      <c r="U78" s="66"/>
      <c r="V78" s="66"/>
      <c r="W78" s="66"/>
      <c r="X78" s="68"/>
      <c r="Y78" s="66"/>
      <c r="Z78" s="69"/>
      <c r="AA78" s="70"/>
      <c r="AB78" s="71"/>
      <c r="AC78" s="66"/>
      <c r="AD78" s="78"/>
      <c r="AE78" s="73"/>
      <c r="AF78" s="76"/>
      <c r="AG78" s="75"/>
      <c r="AH78" s="66"/>
      <c r="AI78" s="66"/>
      <c r="AJ78" s="66"/>
      <c r="AK78" s="66"/>
      <c r="AL78" s="68"/>
      <c r="AM78" s="66"/>
      <c r="AN78" s="69"/>
      <c r="AO78" s="70"/>
      <c r="AP78" s="71"/>
      <c r="AQ78" s="66"/>
      <c r="AR78" s="78"/>
      <c r="AS78" s="73"/>
    </row>
    <row r="79">
      <c r="A79" s="106" t="s">
        <v>105</v>
      </c>
      <c r="B79" s="133">
        <f t="shared" si="209"/>
        <v>13200</v>
      </c>
      <c r="C79" s="65">
        <f t="shared" si="210"/>
        <v>11880</v>
      </c>
      <c r="D79" s="66">
        <f t="shared" si="211"/>
        <v>10702.7027</v>
      </c>
      <c r="E79" s="124">
        <v>1.0</v>
      </c>
      <c r="F79" s="66">
        <f t="shared" si="212"/>
        <v>2928</v>
      </c>
      <c r="G79" s="66">
        <f t="shared" si="213"/>
        <v>1440</v>
      </c>
      <c r="H79" s="66">
        <f t="shared" si="214"/>
        <v>432</v>
      </c>
      <c r="I79" s="66">
        <f t="shared" si="215"/>
        <v>1080</v>
      </c>
      <c r="J79" s="68">
        <v>1250.0</v>
      </c>
      <c r="K79" s="66">
        <f t="shared" si="216"/>
        <v>535.1351351</v>
      </c>
      <c r="L79" s="69">
        <f t="shared" si="217"/>
        <v>18367.83784</v>
      </c>
      <c r="M79" s="70">
        <f t="shared" si="218"/>
        <v>0.1504875</v>
      </c>
      <c r="N79" s="71">
        <f t="shared" si="219"/>
        <v>3253.783784</v>
      </c>
      <c r="O79" s="66">
        <f t="shared" si="220"/>
        <v>21621.62162</v>
      </c>
      <c r="P79" s="78">
        <v>24000.0</v>
      </c>
      <c r="Q79" s="73">
        <f t="shared" si="221"/>
        <v>24000</v>
      </c>
      <c r="R79" s="74"/>
      <c r="S79" s="75"/>
      <c r="T79" s="66"/>
      <c r="U79" s="66"/>
      <c r="V79" s="66"/>
      <c r="W79" s="66"/>
      <c r="X79" s="68"/>
      <c r="Y79" s="66"/>
      <c r="Z79" s="69"/>
      <c r="AA79" s="70"/>
      <c r="AB79" s="71"/>
      <c r="AC79" s="66"/>
      <c r="AD79" s="78"/>
      <c r="AE79" s="73"/>
      <c r="AF79" s="76"/>
      <c r="AG79" s="75"/>
      <c r="AH79" s="66"/>
      <c r="AI79" s="66"/>
      <c r="AJ79" s="66"/>
      <c r="AK79" s="66"/>
      <c r="AL79" s="68"/>
      <c r="AM79" s="66"/>
      <c r="AN79" s="69"/>
      <c r="AO79" s="70"/>
      <c r="AP79" s="71"/>
      <c r="AQ79" s="66"/>
      <c r="AR79" s="78"/>
      <c r="AS79" s="73"/>
    </row>
    <row r="80">
      <c r="A80" s="106" t="s">
        <v>106</v>
      </c>
      <c r="B80" s="133">
        <f t="shared" si="209"/>
        <v>17400</v>
      </c>
      <c r="C80" s="65">
        <f t="shared" si="210"/>
        <v>15660</v>
      </c>
      <c r="D80" s="66">
        <f t="shared" si="211"/>
        <v>14108.10811</v>
      </c>
      <c r="E80" s="124">
        <v>1.0</v>
      </c>
      <c r="F80" s="66">
        <f t="shared" si="212"/>
        <v>0</v>
      </c>
      <c r="G80" s="66">
        <f t="shared" si="213"/>
        <v>0</v>
      </c>
      <c r="H80" s="66">
        <f t="shared" si="214"/>
        <v>0</v>
      </c>
      <c r="I80" s="66">
        <f t="shared" si="215"/>
        <v>0</v>
      </c>
      <c r="J80" s="68">
        <v>1250.0</v>
      </c>
      <c r="K80" s="66">
        <f t="shared" si="216"/>
        <v>705.4054054</v>
      </c>
      <c r="L80" s="69">
        <f t="shared" si="217"/>
        <v>16063.51351</v>
      </c>
      <c r="M80" s="70" t="str">
        <f t="shared" si="218"/>
        <v>#DIV/0!</v>
      </c>
      <c r="N80" s="71">
        <f t="shared" si="219"/>
        <v>-16063.51351</v>
      </c>
      <c r="O80" s="66">
        <f t="shared" si="220"/>
        <v>0</v>
      </c>
      <c r="P80" s="78"/>
      <c r="Q80" s="73">
        <f t="shared" si="221"/>
        <v>0</v>
      </c>
      <c r="R80" s="74"/>
      <c r="S80" s="75"/>
      <c r="T80" s="66"/>
      <c r="U80" s="66"/>
      <c r="V80" s="66"/>
      <c r="W80" s="66"/>
      <c r="X80" s="68"/>
      <c r="Y80" s="66"/>
      <c r="Z80" s="69"/>
      <c r="AA80" s="70"/>
      <c r="AB80" s="71"/>
      <c r="AC80" s="66"/>
      <c r="AD80" s="78"/>
      <c r="AE80" s="73"/>
      <c r="AF80" s="76"/>
      <c r="AG80" s="75"/>
      <c r="AH80" s="66"/>
      <c r="AI80" s="66"/>
      <c r="AJ80" s="66"/>
      <c r="AK80" s="66"/>
      <c r="AL80" s="68"/>
      <c r="AM80" s="66"/>
      <c r="AN80" s="69"/>
      <c r="AO80" s="70"/>
      <c r="AP80" s="71"/>
      <c r="AQ80" s="66"/>
      <c r="AR80" s="78"/>
      <c r="AS80" s="73"/>
    </row>
    <row r="81">
      <c r="A81" s="135"/>
      <c r="B81" s="133"/>
      <c r="C81" s="65">
        <f t="shared" si="210"/>
        <v>0</v>
      </c>
      <c r="D81" s="66">
        <f t="shared" si="211"/>
        <v>0</v>
      </c>
      <c r="E81" s="124">
        <v>1.0</v>
      </c>
      <c r="F81" s="66">
        <f t="shared" si="212"/>
        <v>0</v>
      </c>
      <c r="G81" s="66">
        <f t="shared" si="213"/>
        <v>0</v>
      </c>
      <c r="H81" s="66">
        <f t="shared" si="214"/>
        <v>0</v>
      </c>
      <c r="I81" s="66">
        <f t="shared" si="215"/>
        <v>0</v>
      </c>
      <c r="J81" s="68">
        <v>1250.0</v>
      </c>
      <c r="K81" s="66">
        <f t="shared" si="216"/>
        <v>0</v>
      </c>
      <c r="L81" s="69">
        <f t="shared" si="217"/>
        <v>1250</v>
      </c>
      <c r="M81" s="70" t="str">
        <f t="shared" si="218"/>
        <v>#DIV/0!</v>
      </c>
      <c r="N81" s="71">
        <f t="shared" si="219"/>
        <v>-1250</v>
      </c>
      <c r="O81" s="66">
        <f t="shared" si="220"/>
        <v>0</v>
      </c>
      <c r="P81" s="78"/>
      <c r="Q81" s="73">
        <f t="shared" si="221"/>
        <v>0</v>
      </c>
      <c r="R81" s="74"/>
      <c r="S81" s="75"/>
      <c r="T81" s="66"/>
      <c r="U81" s="66"/>
      <c r="V81" s="66"/>
      <c r="W81" s="66"/>
      <c r="X81" s="68"/>
      <c r="Y81" s="66"/>
      <c r="Z81" s="69"/>
      <c r="AA81" s="70"/>
      <c r="AB81" s="71"/>
      <c r="AC81" s="66"/>
      <c r="AD81" s="78"/>
      <c r="AE81" s="73"/>
      <c r="AF81" s="76"/>
      <c r="AG81" s="75"/>
      <c r="AH81" s="66"/>
      <c r="AI81" s="66"/>
      <c r="AJ81" s="66"/>
      <c r="AK81" s="66"/>
      <c r="AL81" s="68"/>
      <c r="AM81" s="66"/>
      <c r="AN81" s="69"/>
      <c r="AO81" s="70"/>
      <c r="AP81" s="71"/>
      <c r="AQ81" s="66"/>
      <c r="AR81" s="78"/>
      <c r="AS81" s="73"/>
    </row>
    <row r="82">
      <c r="A82" s="106" t="s">
        <v>107</v>
      </c>
      <c r="B82" s="133">
        <f>B76*3+B75*3</f>
        <v>48000</v>
      </c>
      <c r="C82" s="65">
        <f t="shared" si="210"/>
        <v>43200</v>
      </c>
      <c r="D82" s="66">
        <f t="shared" si="211"/>
        <v>38918.91892</v>
      </c>
      <c r="E82" s="124">
        <v>1.0</v>
      </c>
      <c r="F82" s="66">
        <f t="shared" si="212"/>
        <v>0</v>
      </c>
      <c r="G82" s="66">
        <f t="shared" si="213"/>
        <v>0</v>
      </c>
      <c r="H82" s="66">
        <f t="shared" si="214"/>
        <v>0</v>
      </c>
      <c r="I82" s="66">
        <f t="shared" si="215"/>
        <v>0</v>
      </c>
      <c r="J82" s="68">
        <v>1250.0</v>
      </c>
      <c r="K82" s="66">
        <f t="shared" si="216"/>
        <v>1945.945946</v>
      </c>
      <c r="L82" s="69">
        <f t="shared" si="217"/>
        <v>42114.86486</v>
      </c>
      <c r="M82" s="70" t="str">
        <f t="shared" si="218"/>
        <v>#DIV/0!</v>
      </c>
      <c r="N82" s="71">
        <f t="shared" si="219"/>
        <v>-42114.86486</v>
      </c>
      <c r="O82" s="66">
        <f t="shared" si="220"/>
        <v>0</v>
      </c>
      <c r="P82" s="78"/>
      <c r="Q82" s="73">
        <f t="shared" si="221"/>
        <v>0</v>
      </c>
      <c r="R82" s="74"/>
      <c r="S82" s="75"/>
      <c r="T82" s="66"/>
      <c r="U82" s="66"/>
      <c r="V82" s="66"/>
      <c r="W82" s="66"/>
      <c r="X82" s="68"/>
      <c r="Y82" s="66"/>
      <c r="Z82" s="69"/>
      <c r="AA82" s="70"/>
      <c r="AB82" s="71"/>
      <c r="AC82" s="66"/>
      <c r="AD82" s="78"/>
      <c r="AE82" s="73"/>
      <c r="AF82" s="76"/>
      <c r="AG82" s="75"/>
      <c r="AH82" s="66"/>
      <c r="AI82" s="66"/>
      <c r="AJ82" s="66"/>
      <c r="AK82" s="66"/>
      <c r="AL82" s="68"/>
      <c r="AM82" s="66"/>
      <c r="AN82" s="69"/>
      <c r="AO82" s="70"/>
      <c r="AP82" s="71"/>
      <c r="AQ82" s="66"/>
      <c r="AR82" s="78"/>
      <c r="AS82" s="73"/>
    </row>
    <row r="83">
      <c r="A83" s="106" t="s">
        <v>108</v>
      </c>
      <c r="B83" s="133">
        <f>B75*3+B71*3</f>
        <v>21975</v>
      </c>
      <c r="C83" s="65">
        <f t="shared" si="210"/>
        <v>19777.5</v>
      </c>
      <c r="D83" s="66">
        <f t="shared" si="211"/>
        <v>17817.56757</v>
      </c>
      <c r="E83" s="124">
        <v>1.0</v>
      </c>
      <c r="F83" s="66">
        <f t="shared" si="212"/>
        <v>0</v>
      </c>
      <c r="G83" s="66">
        <f t="shared" si="213"/>
        <v>0</v>
      </c>
      <c r="H83" s="66">
        <f t="shared" si="214"/>
        <v>0</v>
      </c>
      <c r="I83" s="66">
        <f t="shared" si="215"/>
        <v>0</v>
      </c>
      <c r="J83" s="68">
        <v>1250.0</v>
      </c>
      <c r="K83" s="66">
        <f t="shared" si="216"/>
        <v>890.8783784</v>
      </c>
      <c r="L83" s="69">
        <f t="shared" si="217"/>
        <v>19958.44595</v>
      </c>
      <c r="M83" s="70" t="str">
        <f t="shared" si="218"/>
        <v>#DIV/0!</v>
      </c>
      <c r="N83" s="71">
        <f t="shared" si="219"/>
        <v>-19958.44595</v>
      </c>
      <c r="O83" s="66">
        <f t="shared" si="220"/>
        <v>0</v>
      </c>
      <c r="P83" s="78"/>
      <c r="Q83" s="73">
        <f t="shared" si="221"/>
        <v>0</v>
      </c>
      <c r="R83" s="74"/>
      <c r="S83" s="75"/>
      <c r="T83" s="66"/>
      <c r="U83" s="66"/>
      <c r="V83" s="66"/>
      <c r="W83" s="66"/>
      <c r="X83" s="68"/>
      <c r="Y83" s="66"/>
      <c r="Z83" s="69"/>
      <c r="AA83" s="70"/>
      <c r="AB83" s="71"/>
      <c r="AC83" s="66"/>
      <c r="AD83" s="78"/>
      <c r="AE83" s="73"/>
      <c r="AF83" s="76"/>
      <c r="AG83" s="75"/>
      <c r="AH83" s="66"/>
      <c r="AI83" s="66"/>
      <c r="AJ83" s="66"/>
      <c r="AK83" s="66"/>
      <c r="AL83" s="68"/>
      <c r="AM83" s="66"/>
      <c r="AN83" s="69"/>
      <c r="AO83" s="70"/>
      <c r="AP83" s="71"/>
      <c r="AQ83" s="66"/>
      <c r="AR83" s="78"/>
      <c r="AS83" s="73"/>
    </row>
    <row r="84">
      <c r="A84" s="106" t="s">
        <v>109</v>
      </c>
      <c r="B84" s="133">
        <f>B75*3+B72*3</f>
        <v>23100</v>
      </c>
      <c r="C84" s="65">
        <f t="shared" si="210"/>
        <v>20790</v>
      </c>
      <c r="D84" s="66">
        <f t="shared" si="211"/>
        <v>18729.72973</v>
      </c>
      <c r="E84" s="124">
        <v>1.0</v>
      </c>
      <c r="F84" s="66">
        <f t="shared" si="212"/>
        <v>0</v>
      </c>
      <c r="G84" s="66">
        <f t="shared" si="213"/>
        <v>0</v>
      </c>
      <c r="H84" s="66">
        <f t="shared" si="214"/>
        <v>0</v>
      </c>
      <c r="I84" s="66">
        <f t="shared" si="215"/>
        <v>0</v>
      </c>
      <c r="J84" s="68">
        <v>1250.0</v>
      </c>
      <c r="K84" s="66">
        <f t="shared" si="216"/>
        <v>936.4864865</v>
      </c>
      <c r="L84" s="69">
        <f t="shared" si="217"/>
        <v>20916.21622</v>
      </c>
      <c r="M84" s="70" t="str">
        <f t="shared" si="218"/>
        <v>#DIV/0!</v>
      </c>
      <c r="N84" s="71">
        <f t="shared" si="219"/>
        <v>-20916.21622</v>
      </c>
      <c r="O84" s="66">
        <f t="shared" si="220"/>
        <v>0</v>
      </c>
      <c r="P84" s="78"/>
      <c r="Q84" s="73">
        <f t="shared" si="221"/>
        <v>0</v>
      </c>
      <c r="R84" s="74"/>
      <c r="S84" s="75"/>
      <c r="T84" s="66"/>
      <c r="U84" s="66"/>
      <c r="V84" s="66"/>
      <c r="W84" s="66"/>
      <c r="X84" s="68"/>
      <c r="Y84" s="66"/>
      <c r="Z84" s="69"/>
      <c r="AA84" s="70"/>
      <c r="AB84" s="71"/>
      <c r="AC84" s="66"/>
      <c r="AD84" s="78"/>
      <c r="AE84" s="73"/>
      <c r="AF84" s="76"/>
      <c r="AG84" s="75"/>
      <c r="AH84" s="66"/>
      <c r="AI84" s="66"/>
      <c r="AJ84" s="66"/>
      <c r="AK84" s="66"/>
      <c r="AL84" s="68"/>
      <c r="AM84" s="66"/>
      <c r="AN84" s="69"/>
      <c r="AO84" s="70"/>
      <c r="AP84" s="71"/>
      <c r="AQ84" s="66"/>
      <c r="AR84" s="78"/>
      <c r="AS84" s="73"/>
    </row>
    <row r="85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6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76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</row>
    <row r="86">
      <c r="A86" s="106" t="s">
        <v>110</v>
      </c>
      <c r="B86" s="65">
        <f t="shared" ref="B86:B88" si="222">B71*55</f>
        <v>100375</v>
      </c>
      <c r="C86" s="65">
        <f t="shared" ref="C86:C90" si="223">B86*$C$4</f>
        <v>90337.5</v>
      </c>
      <c r="D86" s="66">
        <f t="shared" ref="D86:D90" si="224">C86/$D$4</f>
        <v>81385.13514</v>
      </c>
      <c r="E86" s="124">
        <v>1.0</v>
      </c>
      <c r="F86" s="66">
        <f t="shared" ref="F86:F90" si="225">P86*$F$3</f>
        <v>17690</v>
      </c>
      <c r="G86" s="66">
        <f t="shared" ref="G86:G90" si="226">P86*$G$3</f>
        <v>8700</v>
      </c>
      <c r="H86" s="66">
        <f t="shared" ref="H86:H90" si="227">P86*$H$3</f>
        <v>2610</v>
      </c>
      <c r="I86" s="66">
        <f t="shared" ref="I86:I90" si="228">P86*$I$3</f>
        <v>6525</v>
      </c>
      <c r="J86" s="68">
        <v>1250.0</v>
      </c>
      <c r="K86" s="66">
        <f t="shared" ref="K86:K90" si="229">D86*$K$3</f>
        <v>4069.256757</v>
      </c>
      <c r="L86" s="69">
        <f t="shared" ref="L86:L90" si="230">(D86*E86)+F86+G86+H86+I86+J86+K86</f>
        <v>122229.3919</v>
      </c>
      <c r="M86" s="70">
        <f t="shared" ref="M86:M90" si="231">N86/O86</f>
        <v>0.06431293103</v>
      </c>
      <c r="N86" s="71">
        <f t="shared" ref="N86:N90" si="232">O86-L86</f>
        <v>8401.238739</v>
      </c>
      <c r="O86" s="66">
        <f t="shared" ref="O86:O90" si="233">P86/$O$4</f>
        <v>130630.6306</v>
      </c>
      <c r="P86" s="78">
        <v>145000.0</v>
      </c>
      <c r="Q86" s="73">
        <f t="shared" ref="Q86:Q90" si="234">P86/E86</f>
        <v>145000</v>
      </c>
      <c r="R86" s="74"/>
      <c r="S86" s="75"/>
      <c r="T86" s="66">
        <f t="shared" ref="T86:T90" si="235">AD86*$T$3</f>
        <v>0</v>
      </c>
      <c r="U86" s="66">
        <f t="shared" ref="U86:U90" si="236">AD86*$U$3</f>
        <v>0</v>
      </c>
      <c r="V86" s="66">
        <f t="shared" ref="V86:V90" si="237">AD86*$V$3</f>
        <v>0</v>
      </c>
      <c r="W86" s="66">
        <f t="shared" ref="W86:W90" si="238">AD86*$W$3</f>
        <v>0</v>
      </c>
      <c r="X86" s="68">
        <v>1250.0</v>
      </c>
      <c r="Y86" s="66">
        <f t="shared" ref="Y86:Y90" si="239">R86*$Y$3</f>
        <v>0</v>
      </c>
      <c r="Z86" s="69">
        <f t="shared" ref="Z86:Z90" si="240">(D86*S86)+T86+U86+V86+W86+X86+Y86</f>
        <v>1250</v>
      </c>
      <c r="AA86" s="70" t="str">
        <f t="shared" ref="AA86:AA90" si="241">AB86/AC86</f>
        <v>#DIV/0!</v>
      </c>
      <c r="AB86" s="71">
        <f t="shared" ref="AB86:AB90" si="242">AC86-Z86</f>
        <v>-1250</v>
      </c>
      <c r="AC86" s="66">
        <f t="shared" ref="AC86:AC90" si="243">AD86/$O$4</f>
        <v>0</v>
      </c>
      <c r="AD86" s="78"/>
      <c r="AE86" s="73" t="str">
        <f t="shared" ref="AE86:AE90" si="244">AD86/S86</f>
        <v>#DIV/0!</v>
      </c>
      <c r="AF86" s="76"/>
      <c r="AG86" s="75"/>
      <c r="AH86" s="66">
        <f t="shared" ref="AH86:AH90" si="245">AR86*$AH$3</f>
        <v>0</v>
      </c>
      <c r="AI86" s="66">
        <f t="shared" ref="AI86:AI90" si="246">AR86*$AI$3</f>
        <v>0</v>
      </c>
      <c r="AJ86" s="66">
        <f t="shared" ref="AJ86:AJ90" si="247">AR86*$AJ$3</f>
        <v>0</v>
      </c>
      <c r="AK86" s="66">
        <f t="shared" ref="AK86:AK90" si="248">AR86*$AK$3</f>
        <v>0</v>
      </c>
      <c r="AL86" s="68">
        <v>1250.0</v>
      </c>
      <c r="AM86" s="66">
        <f t="shared" ref="AM86:AM90" si="249">AF86*$AM$3</f>
        <v>0</v>
      </c>
      <c r="AN86" s="69">
        <f t="shared" ref="AN86:AN90" si="250">(R86*AG86)+AH86+AI86+AJ86+AK86+AL86+AM86</f>
        <v>1250</v>
      </c>
      <c r="AO86" s="70" t="str">
        <f t="shared" ref="AO86:AO90" si="251">AP86/AQ86</f>
        <v>#DIV/0!</v>
      </c>
      <c r="AP86" s="71">
        <f t="shared" ref="AP86:AP90" si="252">AQ86-AN86</f>
        <v>-1250</v>
      </c>
      <c r="AQ86" s="66">
        <f t="shared" ref="AQ86:AQ90" si="253">AR86/$O$4</f>
        <v>0</v>
      </c>
      <c r="AR86" s="78"/>
      <c r="AS86" s="73" t="str">
        <f t="shared" ref="AS86:AS90" si="254">AR86/AG86</f>
        <v>#DIV/0!</v>
      </c>
    </row>
    <row r="87">
      <c r="A87" s="106" t="s">
        <v>111</v>
      </c>
      <c r="B87" s="65">
        <f t="shared" si="222"/>
        <v>121000</v>
      </c>
      <c r="C87" s="65">
        <f t="shared" si="223"/>
        <v>108900</v>
      </c>
      <c r="D87" s="66">
        <f t="shared" si="224"/>
        <v>98108.10811</v>
      </c>
      <c r="E87" s="124">
        <v>1.0</v>
      </c>
      <c r="F87" s="66">
        <f t="shared" si="225"/>
        <v>21350</v>
      </c>
      <c r="G87" s="66">
        <f t="shared" si="226"/>
        <v>10500</v>
      </c>
      <c r="H87" s="66">
        <f t="shared" si="227"/>
        <v>3150</v>
      </c>
      <c r="I87" s="66">
        <f t="shared" si="228"/>
        <v>7875</v>
      </c>
      <c r="J87" s="68">
        <v>1250.0</v>
      </c>
      <c r="K87" s="66">
        <f t="shared" si="229"/>
        <v>4905.405405</v>
      </c>
      <c r="L87" s="69">
        <f t="shared" si="230"/>
        <v>147138.5135</v>
      </c>
      <c r="M87" s="70">
        <f t="shared" si="231"/>
        <v>0.06672142857</v>
      </c>
      <c r="N87" s="71">
        <f t="shared" si="232"/>
        <v>10519.14414</v>
      </c>
      <c r="O87" s="66">
        <f t="shared" si="233"/>
        <v>157657.6577</v>
      </c>
      <c r="P87" s="78">
        <v>175000.0</v>
      </c>
      <c r="Q87" s="73">
        <f t="shared" si="234"/>
        <v>175000</v>
      </c>
      <c r="R87" s="74"/>
      <c r="S87" s="75"/>
      <c r="T87" s="66">
        <f t="shared" si="235"/>
        <v>0</v>
      </c>
      <c r="U87" s="66">
        <f t="shared" si="236"/>
        <v>0</v>
      </c>
      <c r="V87" s="66">
        <f t="shared" si="237"/>
        <v>0</v>
      </c>
      <c r="W87" s="66">
        <f t="shared" si="238"/>
        <v>0</v>
      </c>
      <c r="X87" s="68">
        <v>1250.0</v>
      </c>
      <c r="Y87" s="66">
        <f t="shared" si="239"/>
        <v>0</v>
      </c>
      <c r="Z87" s="69">
        <f t="shared" si="240"/>
        <v>1250</v>
      </c>
      <c r="AA87" s="70" t="str">
        <f t="shared" si="241"/>
        <v>#DIV/0!</v>
      </c>
      <c r="AB87" s="71">
        <f t="shared" si="242"/>
        <v>-1250</v>
      </c>
      <c r="AC87" s="66">
        <f t="shared" si="243"/>
        <v>0</v>
      </c>
      <c r="AD87" s="78"/>
      <c r="AE87" s="73" t="str">
        <f t="shared" si="244"/>
        <v>#DIV/0!</v>
      </c>
      <c r="AF87" s="76"/>
      <c r="AG87" s="75"/>
      <c r="AH87" s="66">
        <f t="shared" si="245"/>
        <v>0</v>
      </c>
      <c r="AI87" s="66">
        <f t="shared" si="246"/>
        <v>0</v>
      </c>
      <c r="AJ87" s="66">
        <f t="shared" si="247"/>
        <v>0</v>
      </c>
      <c r="AK87" s="66">
        <f t="shared" si="248"/>
        <v>0</v>
      </c>
      <c r="AL87" s="68">
        <v>1250.0</v>
      </c>
      <c r="AM87" s="66">
        <f t="shared" si="249"/>
        <v>0</v>
      </c>
      <c r="AN87" s="69">
        <f t="shared" si="250"/>
        <v>1250</v>
      </c>
      <c r="AO87" s="70" t="str">
        <f t="shared" si="251"/>
        <v>#DIV/0!</v>
      </c>
      <c r="AP87" s="71">
        <f t="shared" si="252"/>
        <v>-1250</v>
      </c>
      <c r="AQ87" s="66">
        <f t="shared" si="253"/>
        <v>0</v>
      </c>
      <c r="AR87" s="78"/>
      <c r="AS87" s="73" t="str">
        <f t="shared" si="254"/>
        <v>#DIV/0!</v>
      </c>
    </row>
    <row r="88">
      <c r="A88" s="106" t="s">
        <v>112</v>
      </c>
      <c r="B88" s="65">
        <f t="shared" si="222"/>
        <v>159500</v>
      </c>
      <c r="C88" s="65">
        <f t="shared" si="223"/>
        <v>143550</v>
      </c>
      <c r="D88" s="66">
        <f t="shared" si="224"/>
        <v>129324.3243</v>
      </c>
      <c r="E88" s="124">
        <v>1.0</v>
      </c>
      <c r="F88" s="66">
        <f t="shared" si="225"/>
        <v>31110</v>
      </c>
      <c r="G88" s="66">
        <f t="shared" si="226"/>
        <v>15300</v>
      </c>
      <c r="H88" s="66">
        <f t="shared" si="227"/>
        <v>4590</v>
      </c>
      <c r="I88" s="66">
        <f t="shared" si="228"/>
        <v>11475</v>
      </c>
      <c r="J88" s="68">
        <v>1250.0</v>
      </c>
      <c r="K88" s="66">
        <f t="shared" si="229"/>
        <v>6466.216216</v>
      </c>
      <c r="L88" s="69">
        <f t="shared" si="230"/>
        <v>199515.5405</v>
      </c>
      <c r="M88" s="70">
        <f t="shared" si="231"/>
        <v>0.1315205882</v>
      </c>
      <c r="N88" s="71">
        <f t="shared" si="232"/>
        <v>30214.18919</v>
      </c>
      <c r="O88" s="66">
        <f t="shared" si="233"/>
        <v>229729.7297</v>
      </c>
      <c r="P88" s="78">
        <v>255000.0</v>
      </c>
      <c r="Q88" s="73">
        <f t="shared" si="234"/>
        <v>255000</v>
      </c>
      <c r="R88" s="74"/>
      <c r="S88" s="75"/>
      <c r="T88" s="66">
        <f t="shared" si="235"/>
        <v>0</v>
      </c>
      <c r="U88" s="66">
        <f t="shared" si="236"/>
        <v>0</v>
      </c>
      <c r="V88" s="66">
        <f t="shared" si="237"/>
        <v>0</v>
      </c>
      <c r="W88" s="66">
        <f t="shared" si="238"/>
        <v>0</v>
      </c>
      <c r="X88" s="68">
        <v>1250.0</v>
      </c>
      <c r="Y88" s="66">
        <f t="shared" si="239"/>
        <v>0</v>
      </c>
      <c r="Z88" s="69">
        <f t="shared" si="240"/>
        <v>1250</v>
      </c>
      <c r="AA88" s="70" t="str">
        <f t="shared" si="241"/>
        <v>#DIV/0!</v>
      </c>
      <c r="AB88" s="71">
        <f t="shared" si="242"/>
        <v>-1250</v>
      </c>
      <c r="AC88" s="66">
        <f t="shared" si="243"/>
        <v>0</v>
      </c>
      <c r="AD88" s="78"/>
      <c r="AE88" s="73" t="str">
        <f t="shared" si="244"/>
        <v>#DIV/0!</v>
      </c>
      <c r="AF88" s="76"/>
      <c r="AG88" s="75"/>
      <c r="AH88" s="66">
        <f t="shared" si="245"/>
        <v>0</v>
      </c>
      <c r="AI88" s="66">
        <f t="shared" si="246"/>
        <v>0</v>
      </c>
      <c r="AJ88" s="66">
        <f t="shared" si="247"/>
        <v>0</v>
      </c>
      <c r="AK88" s="66">
        <f t="shared" si="248"/>
        <v>0</v>
      </c>
      <c r="AL88" s="68">
        <v>1250.0</v>
      </c>
      <c r="AM88" s="66">
        <f t="shared" si="249"/>
        <v>0</v>
      </c>
      <c r="AN88" s="69">
        <f t="shared" si="250"/>
        <v>1250</v>
      </c>
      <c r="AO88" s="70" t="str">
        <f t="shared" si="251"/>
        <v>#DIV/0!</v>
      </c>
      <c r="AP88" s="71">
        <f t="shared" si="252"/>
        <v>-1250</v>
      </c>
      <c r="AQ88" s="66">
        <f t="shared" si="253"/>
        <v>0</v>
      </c>
      <c r="AR88" s="78"/>
      <c r="AS88" s="73" t="str">
        <f t="shared" si="254"/>
        <v>#DIV/0!</v>
      </c>
    </row>
    <row r="89">
      <c r="A89" s="106" t="s">
        <v>113</v>
      </c>
      <c r="B89" s="65">
        <f>B75*30</f>
        <v>165000</v>
      </c>
      <c r="C89" s="65">
        <f t="shared" si="223"/>
        <v>148500</v>
      </c>
      <c r="D89" s="66">
        <f t="shared" si="224"/>
        <v>133783.7838</v>
      </c>
      <c r="E89" s="124">
        <v>1.0</v>
      </c>
      <c r="F89" s="66">
        <f t="shared" si="225"/>
        <v>27450</v>
      </c>
      <c r="G89" s="66">
        <f t="shared" si="226"/>
        <v>13500</v>
      </c>
      <c r="H89" s="66">
        <f t="shared" si="227"/>
        <v>4050</v>
      </c>
      <c r="I89" s="66">
        <f t="shared" si="228"/>
        <v>10125</v>
      </c>
      <c r="J89" s="68">
        <v>1250.0</v>
      </c>
      <c r="K89" s="66">
        <f t="shared" si="229"/>
        <v>6689.189189</v>
      </c>
      <c r="L89" s="69">
        <f t="shared" si="230"/>
        <v>196847.973</v>
      </c>
      <c r="M89" s="70">
        <f t="shared" si="231"/>
        <v>0.02888333333</v>
      </c>
      <c r="N89" s="71">
        <f t="shared" si="232"/>
        <v>5854.72973</v>
      </c>
      <c r="O89" s="66">
        <f t="shared" si="233"/>
        <v>202702.7027</v>
      </c>
      <c r="P89" s="78">
        <v>225000.0</v>
      </c>
      <c r="Q89" s="73">
        <f t="shared" si="234"/>
        <v>225000</v>
      </c>
      <c r="R89" s="74"/>
      <c r="S89" s="75"/>
      <c r="T89" s="66">
        <f t="shared" si="235"/>
        <v>0</v>
      </c>
      <c r="U89" s="66">
        <f t="shared" si="236"/>
        <v>0</v>
      </c>
      <c r="V89" s="66">
        <f t="shared" si="237"/>
        <v>0</v>
      </c>
      <c r="W89" s="66">
        <f t="shared" si="238"/>
        <v>0</v>
      </c>
      <c r="X89" s="68">
        <v>1250.0</v>
      </c>
      <c r="Y89" s="66">
        <f t="shared" si="239"/>
        <v>0</v>
      </c>
      <c r="Z89" s="69">
        <f t="shared" si="240"/>
        <v>1250</v>
      </c>
      <c r="AA89" s="70" t="str">
        <f t="shared" si="241"/>
        <v>#DIV/0!</v>
      </c>
      <c r="AB89" s="71">
        <f t="shared" si="242"/>
        <v>-1250</v>
      </c>
      <c r="AC89" s="66">
        <f t="shared" si="243"/>
        <v>0</v>
      </c>
      <c r="AD89" s="78"/>
      <c r="AE89" s="73" t="str">
        <f t="shared" si="244"/>
        <v>#DIV/0!</v>
      </c>
      <c r="AF89" s="76"/>
      <c r="AG89" s="75"/>
      <c r="AH89" s="66">
        <f t="shared" si="245"/>
        <v>0</v>
      </c>
      <c r="AI89" s="66">
        <f t="shared" si="246"/>
        <v>0</v>
      </c>
      <c r="AJ89" s="66">
        <f t="shared" si="247"/>
        <v>0</v>
      </c>
      <c r="AK89" s="66">
        <f t="shared" si="248"/>
        <v>0</v>
      </c>
      <c r="AL89" s="68">
        <v>1250.0</v>
      </c>
      <c r="AM89" s="66">
        <f t="shared" si="249"/>
        <v>0</v>
      </c>
      <c r="AN89" s="69">
        <f t="shared" si="250"/>
        <v>1250</v>
      </c>
      <c r="AO89" s="70" t="str">
        <f t="shared" si="251"/>
        <v>#DIV/0!</v>
      </c>
      <c r="AP89" s="71">
        <f t="shared" si="252"/>
        <v>-1250</v>
      </c>
      <c r="AQ89" s="66">
        <f t="shared" si="253"/>
        <v>0</v>
      </c>
      <c r="AR89" s="78"/>
      <c r="AS89" s="73" t="str">
        <f t="shared" si="254"/>
        <v>#DIV/0!</v>
      </c>
    </row>
    <row r="90">
      <c r="A90" s="106" t="s">
        <v>114</v>
      </c>
      <c r="B90" s="81">
        <f>B76*4</f>
        <v>42000</v>
      </c>
      <c r="C90" s="65">
        <f t="shared" si="223"/>
        <v>37800</v>
      </c>
      <c r="D90" s="66">
        <f t="shared" si="224"/>
        <v>34054.05405</v>
      </c>
      <c r="E90" s="142">
        <v>1.0</v>
      </c>
      <c r="F90" s="66">
        <f t="shared" si="225"/>
        <v>7686</v>
      </c>
      <c r="G90" s="66">
        <f t="shared" si="226"/>
        <v>3780</v>
      </c>
      <c r="H90" s="66">
        <f t="shared" si="227"/>
        <v>1134</v>
      </c>
      <c r="I90" s="66">
        <f t="shared" si="228"/>
        <v>2835</v>
      </c>
      <c r="J90" s="68">
        <v>1250.0</v>
      </c>
      <c r="K90" s="66">
        <f t="shared" si="229"/>
        <v>1702.702703</v>
      </c>
      <c r="L90" s="69">
        <f t="shared" si="230"/>
        <v>52441.75676</v>
      </c>
      <c r="M90" s="70">
        <f t="shared" si="231"/>
        <v>0.07602619048</v>
      </c>
      <c r="N90" s="71">
        <f t="shared" si="232"/>
        <v>4315</v>
      </c>
      <c r="O90" s="66">
        <f t="shared" si="233"/>
        <v>56756.75676</v>
      </c>
      <c r="P90" s="78">
        <v>63000.0</v>
      </c>
      <c r="Q90" s="73">
        <f t="shared" si="234"/>
        <v>63000</v>
      </c>
      <c r="R90" s="74"/>
      <c r="S90" s="75"/>
      <c r="T90" s="66">
        <f t="shared" si="235"/>
        <v>0</v>
      </c>
      <c r="U90" s="66">
        <f t="shared" si="236"/>
        <v>0</v>
      </c>
      <c r="V90" s="66">
        <f t="shared" si="237"/>
        <v>0</v>
      </c>
      <c r="W90" s="66">
        <f t="shared" si="238"/>
        <v>0</v>
      </c>
      <c r="X90" s="68">
        <v>1250.0</v>
      </c>
      <c r="Y90" s="66">
        <f t="shared" si="239"/>
        <v>0</v>
      </c>
      <c r="Z90" s="69">
        <f t="shared" si="240"/>
        <v>1250</v>
      </c>
      <c r="AA90" s="70" t="str">
        <f t="shared" si="241"/>
        <v>#DIV/0!</v>
      </c>
      <c r="AB90" s="71">
        <f t="shared" si="242"/>
        <v>-1250</v>
      </c>
      <c r="AC90" s="66">
        <f t="shared" si="243"/>
        <v>0</v>
      </c>
      <c r="AD90" s="78"/>
      <c r="AE90" s="73" t="str">
        <f t="shared" si="244"/>
        <v>#DIV/0!</v>
      </c>
      <c r="AF90" s="76"/>
      <c r="AG90" s="75"/>
      <c r="AH90" s="66">
        <f t="shared" si="245"/>
        <v>0</v>
      </c>
      <c r="AI90" s="66">
        <f t="shared" si="246"/>
        <v>0</v>
      </c>
      <c r="AJ90" s="66">
        <f t="shared" si="247"/>
        <v>0</v>
      </c>
      <c r="AK90" s="66">
        <f t="shared" si="248"/>
        <v>0</v>
      </c>
      <c r="AL90" s="68">
        <v>1250.0</v>
      </c>
      <c r="AM90" s="66">
        <f t="shared" si="249"/>
        <v>0</v>
      </c>
      <c r="AN90" s="69">
        <f t="shared" si="250"/>
        <v>1250</v>
      </c>
      <c r="AO90" s="70" t="str">
        <f t="shared" si="251"/>
        <v>#DIV/0!</v>
      </c>
      <c r="AP90" s="71">
        <f t="shared" si="252"/>
        <v>-1250</v>
      </c>
      <c r="AQ90" s="66">
        <f t="shared" si="253"/>
        <v>0</v>
      </c>
      <c r="AR90" s="78"/>
      <c r="AS90" s="73" t="str">
        <f t="shared" si="254"/>
        <v>#DIV/0!</v>
      </c>
    </row>
    <row r="91">
      <c r="A91" s="139" t="s">
        <v>115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140"/>
      <c r="S91" s="94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76"/>
      <c r="AG91" s="141"/>
      <c r="AH91" s="141"/>
      <c r="AI91" s="141"/>
      <c r="AJ91" s="141"/>
      <c r="AK91" s="141"/>
      <c r="AL91" s="141"/>
      <c r="AM91" s="141"/>
      <c r="AN91" s="141"/>
      <c r="AO91" s="141"/>
      <c r="AP91" s="141"/>
      <c r="AQ91" s="141"/>
      <c r="AR91" s="141"/>
      <c r="AS91" s="141"/>
      <c r="AT91" s="141"/>
      <c r="AU91" s="141"/>
      <c r="AV91" s="141"/>
      <c r="AW91" s="141"/>
      <c r="AX91" s="141"/>
      <c r="AY91" s="141"/>
      <c r="AZ91" s="141"/>
      <c r="BA91" s="141"/>
      <c r="BB91" s="141"/>
      <c r="BC91" s="141"/>
    </row>
    <row r="92">
      <c r="A92" s="106" t="s">
        <v>116</v>
      </c>
      <c r="B92" s="82">
        <f>B71+1000</f>
        <v>2825</v>
      </c>
      <c r="C92" s="65">
        <f>B92*$C$4</f>
        <v>2542.5</v>
      </c>
      <c r="D92" s="66">
        <f>C92/$D$4</f>
        <v>2290.540541</v>
      </c>
      <c r="E92" s="142">
        <v>1.0</v>
      </c>
      <c r="F92" s="66">
        <f>P92*$F$3</f>
        <v>4050.4</v>
      </c>
      <c r="G92" s="66">
        <f>P92*$G$3</f>
        <v>1992</v>
      </c>
      <c r="H92" s="66">
        <f>P92*$H$3</f>
        <v>597.6</v>
      </c>
      <c r="I92" s="66">
        <f>P92*$I$3</f>
        <v>1494</v>
      </c>
      <c r="J92" s="68">
        <v>1250.0</v>
      </c>
      <c r="K92" s="66">
        <f>D92*$K$3</f>
        <v>114.527027</v>
      </c>
      <c r="L92" s="69">
        <f>(D92*E92)+F92+G92+H92+I92+J92+K92</f>
        <v>11789.06757</v>
      </c>
      <c r="M92" s="70">
        <f>N92/O92</f>
        <v>0.6058474398</v>
      </c>
      <c r="N92" s="71">
        <f>O92-L92</f>
        <v>18120.84234</v>
      </c>
      <c r="O92" s="66">
        <f>P92/$O$4</f>
        <v>29909.90991</v>
      </c>
      <c r="P92" s="78">
        <v>33200.0</v>
      </c>
      <c r="Q92" s="73">
        <f>P92/E92</f>
        <v>33200</v>
      </c>
      <c r="R92" s="74"/>
      <c r="AF92" s="76"/>
      <c r="AG92" s="75"/>
      <c r="AH92" s="66">
        <f>AR92*$AH$3</f>
        <v>0</v>
      </c>
      <c r="AI92" s="66">
        <f>AR92*$AI$3</f>
        <v>0</v>
      </c>
      <c r="AJ92" s="66">
        <f>AR92*$AJ$3</f>
        <v>0</v>
      </c>
      <c r="AK92" s="66">
        <f>AR92*$AK$3</f>
        <v>0</v>
      </c>
      <c r="AL92" s="68">
        <v>1250.0</v>
      </c>
      <c r="AM92" s="66">
        <f>AF92*$AM$3</f>
        <v>0</v>
      </c>
      <c r="AN92" s="69">
        <f>(R92*AG92)+AH92+AI92+AJ92+AK92+AL92+AM92</f>
        <v>1250</v>
      </c>
      <c r="AO92" s="70" t="str">
        <f>AP92/AQ92</f>
        <v>#DIV/0!</v>
      </c>
      <c r="AP92" s="71">
        <f>AQ92-AN92</f>
        <v>-1250</v>
      </c>
      <c r="AQ92" s="66">
        <f>AR92/$O$4</f>
        <v>0</v>
      </c>
      <c r="AR92" s="78"/>
      <c r="AS92" s="73" t="str">
        <f>AR92/AG92</f>
        <v>#DIV/0!</v>
      </c>
    </row>
    <row r="93" ht="33.75" customHeight="1">
      <c r="A93" s="182" t="s">
        <v>117</v>
      </c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37"/>
      <c r="S93" s="183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76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  <c r="BC93" s="184"/>
    </row>
    <row r="94">
      <c r="A94" s="106" t="s">
        <v>118</v>
      </c>
      <c r="B94" s="111">
        <v>3000.0</v>
      </c>
      <c r="C94" s="65">
        <f t="shared" ref="C94:C103" si="255">B94*$C$4</f>
        <v>2700</v>
      </c>
      <c r="D94" s="66">
        <f t="shared" ref="D94:D103" si="256">C94/$D$4</f>
        <v>2432.432432</v>
      </c>
      <c r="E94" s="124">
        <v>4.0</v>
      </c>
      <c r="F94" s="66">
        <f t="shared" ref="F94:F103" si="257">P94*$F$3</f>
        <v>2196</v>
      </c>
      <c r="G94" s="66">
        <f t="shared" ref="G94:G103" si="258">P94*$G$3</f>
        <v>1080</v>
      </c>
      <c r="H94" s="66">
        <f t="shared" ref="H94:H103" si="259">P94*$H$3</f>
        <v>324</v>
      </c>
      <c r="I94" s="66">
        <f t="shared" ref="I94:I103" si="260">P94*$I$3</f>
        <v>810</v>
      </c>
      <c r="J94" s="68">
        <v>1250.0</v>
      </c>
      <c r="K94" s="66">
        <f t="shared" ref="K94:K103" si="261">D94*$K$3</f>
        <v>121.6216216</v>
      </c>
      <c r="L94" s="69">
        <f t="shared" ref="L94:L103" si="262">(D94*E94)+F94+G94+H94+I94+J94+K94</f>
        <v>15511.35135</v>
      </c>
      <c r="M94" s="70">
        <f t="shared" ref="M94:M103" si="263">N94/O94</f>
        <v>0.04346666667</v>
      </c>
      <c r="N94" s="71">
        <f t="shared" ref="N94:N103" si="264">O94-L94</f>
        <v>704.8648649</v>
      </c>
      <c r="O94" s="66">
        <f t="shared" ref="O94:O103" si="265">P94/$O$4</f>
        <v>16216.21622</v>
      </c>
      <c r="P94" s="78">
        <v>18000.0</v>
      </c>
      <c r="Q94" s="73">
        <f t="shared" ref="Q94:Q103" si="266">P94/E94</f>
        <v>4500</v>
      </c>
      <c r="R94" s="74"/>
      <c r="S94" s="75">
        <v>50.0</v>
      </c>
      <c r="T94" s="66">
        <f t="shared" ref="T94:T103" si="267">AD94*$T$3</f>
        <v>25620</v>
      </c>
      <c r="U94" s="66">
        <f t="shared" ref="U94:U103" si="268">AD94*$U$3</f>
        <v>12600</v>
      </c>
      <c r="V94" s="66">
        <f t="shared" ref="V94:V103" si="269">AD94*$V$3</f>
        <v>3780</v>
      </c>
      <c r="W94" s="66">
        <f t="shared" ref="W94:W103" si="270">AD94*$W$3</f>
        <v>9450</v>
      </c>
      <c r="X94" s="68">
        <v>1250.0</v>
      </c>
      <c r="Y94" s="66">
        <f t="shared" ref="Y94:Y101" si="271">R94*$Y$3</f>
        <v>0</v>
      </c>
      <c r="Z94" s="69">
        <f t="shared" ref="Z94:Z103" si="272">(D94*S94)+T94+U94+V94+W94+X94+Y94</f>
        <v>174321.6216</v>
      </c>
      <c r="AA94" s="70">
        <f t="shared" ref="AA94:AA103" si="273">AB94/AC94</f>
        <v>0.07858571429</v>
      </c>
      <c r="AB94" s="71">
        <f t="shared" ref="AB94:AB103" si="274">AC94-Z94</f>
        <v>14867.56757</v>
      </c>
      <c r="AC94" s="66">
        <f t="shared" ref="AC94:AC103" si="275">AD94/$O$4</f>
        <v>189189.1892</v>
      </c>
      <c r="AD94" s="78">
        <v>210000.0</v>
      </c>
      <c r="AE94" s="73">
        <f t="shared" ref="AE94:AE103" si="276">AD94/S94</f>
        <v>4200</v>
      </c>
      <c r="AF94" s="76"/>
      <c r="AG94" s="75"/>
      <c r="AH94" s="66">
        <f t="shared" ref="AH94:AH103" si="277">AR94*$AH$3</f>
        <v>0</v>
      </c>
      <c r="AI94" s="66">
        <f t="shared" ref="AI94:AI103" si="278">AR94*$AI$3</f>
        <v>0</v>
      </c>
      <c r="AJ94" s="66">
        <f t="shared" ref="AJ94:AJ103" si="279">AR94*$AJ$3</f>
        <v>0</v>
      </c>
      <c r="AK94" s="66">
        <f t="shared" ref="AK94:AK103" si="280">AR94*$AK$3</f>
        <v>0</v>
      </c>
      <c r="AL94" s="68">
        <v>1250.0</v>
      </c>
      <c r="AM94" s="66">
        <f t="shared" ref="AM94:AM103" si="281">AF94*$AM$3</f>
        <v>0</v>
      </c>
      <c r="AN94" s="69">
        <f t="shared" ref="AN94:AN103" si="282">(R94*AG94)+AH94+AI94+AJ94+AK94+AL94+AM94</f>
        <v>1250</v>
      </c>
      <c r="AO94" s="70" t="str">
        <f t="shared" ref="AO94:AO103" si="283">AP94/AQ94</f>
        <v>#DIV/0!</v>
      </c>
      <c r="AP94" s="71">
        <f t="shared" ref="AP94:AP103" si="284">AQ94-AN94</f>
        <v>-1250</v>
      </c>
      <c r="AQ94" s="66">
        <f t="shared" ref="AQ94:AQ103" si="285">AR94/$O$4</f>
        <v>0</v>
      </c>
      <c r="AR94" s="78"/>
      <c r="AS94" s="73" t="str">
        <f t="shared" ref="AS94:AS103" si="286">AR94/AG94</f>
        <v>#DIV/0!</v>
      </c>
    </row>
    <row r="95">
      <c r="A95" s="106" t="s">
        <v>119</v>
      </c>
      <c r="B95" s="111">
        <v>3000.0</v>
      </c>
      <c r="C95" s="65">
        <f t="shared" si="255"/>
        <v>2700</v>
      </c>
      <c r="D95" s="66">
        <f t="shared" si="256"/>
        <v>2432.432432</v>
      </c>
      <c r="E95" s="124">
        <v>4.0</v>
      </c>
      <c r="F95" s="66">
        <f t="shared" si="257"/>
        <v>2196</v>
      </c>
      <c r="G95" s="66">
        <f t="shared" si="258"/>
        <v>1080</v>
      </c>
      <c r="H95" s="66">
        <f t="shared" si="259"/>
        <v>324</v>
      </c>
      <c r="I95" s="66">
        <f t="shared" si="260"/>
        <v>810</v>
      </c>
      <c r="J95" s="68">
        <v>1250.0</v>
      </c>
      <c r="K95" s="66">
        <f t="shared" si="261"/>
        <v>121.6216216</v>
      </c>
      <c r="L95" s="69">
        <f t="shared" si="262"/>
        <v>15511.35135</v>
      </c>
      <c r="M95" s="70">
        <f t="shared" si="263"/>
        <v>0.04346666667</v>
      </c>
      <c r="N95" s="71">
        <f t="shared" si="264"/>
        <v>704.8648649</v>
      </c>
      <c r="O95" s="66">
        <f t="shared" si="265"/>
        <v>16216.21622</v>
      </c>
      <c r="P95" s="78">
        <v>18000.0</v>
      </c>
      <c r="Q95" s="73">
        <f t="shared" si="266"/>
        <v>4500</v>
      </c>
      <c r="R95" s="74"/>
      <c r="S95" s="75"/>
      <c r="T95" s="66">
        <f t="shared" si="267"/>
        <v>0</v>
      </c>
      <c r="U95" s="66">
        <f t="shared" si="268"/>
        <v>0</v>
      </c>
      <c r="V95" s="66">
        <f t="shared" si="269"/>
        <v>0</v>
      </c>
      <c r="W95" s="66">
        <f t="shared" si="270"/>
        <v>0</v>
      </c>
      <c r="X95" s="68">
        <v>1250.0</v>
      </c>
      <c r="Y95" s="66">
        <f t="shared" si="271"/>
        <v>0</v>
      </c>
      <c r="Z95" s="69">
        <f t="shared" si="272"/>
        <v>1250</v>
      </c>
      <c r="AA95" s="70" t="str">
        <f t="shared" si="273"/>
        <v>#DIV/0!</v>
      </c>
      <c r="AB95" s="71">
        <f t="shared" si="274"/>
        <v>-1250</v>
      </c>
      <c r="AC95" s="66">
        <f t="shared" si="275"/>
        <v>0</v>
      </c>
      <c r="AD95" s="78"/>
      <c r="AE95" s="73" t="str">
        <f t="shared" si="276"/>
        <v>#DIV/0!</v>
      </c>
      <c r="AF95" s="76"/>
      <c r="AG95" s="75"/>
      <c r="AH95" s="66">
        <f t="shared" si="277"/>
        <v>0</v>
      </c>
      <c r="AI95" s="66">
        <f t="shared" si="278"/>
        <v>0</v>
      </c>
      <c r="AJ95" s="66">
        <f t="shared" si="279"/>
        <v>0</v>
      </c>
      <c r="AK95" s="66">
        <f t="shared" si="280"/>
        <v>0</v>
      </c>
      <c r="AL95" s="68">
        <v>1250.0</v>
      </c>
      <c r="AM95" s="66">
        <f t="shared" si="281"/>
        <v>0</v>
      </c>
      <c r="AN95" s="69">
        <f t="shared" si="282"/>
        <v>1250</v>
      </c>
      <c r="AO95" s="70" t="str">
        <f t="shared" si="283"/>
        <v>#DIV/0!</v>
      </c>
      <c r="AP95" s="71">
        <f t="shared" si="284"/>
        <v>-1250</v>
      </c>
      <c r="AQ95" s="66">
        <f t="shared" si="285"/>
        <v>0</v>
      </c>
      <c r="AR95" s="78"/>
      <c r="AS95" s="73" t="str">
        <f t="shared" si="286"/>
        <v>#DIV/0!</v>
      </c>
    </row>
    <row r="96">
      <c r="A96" s="106" t="s">
        <v>120</v>
      </c>
      <c r="B96" s="111">
        <v>3100.0</v>
      </c>
      <c r="C96" s="65">
        <f t="shared" si="255"/>
        <v>2790</v>
      </c>
      <c r="D96" s="66">
        <f t="shared" si="256"/>
        <v>2513.513514</v>
      </c>
      <c r="E96" s="134">
        <v>5.0</v>
      </c>
      <c r="F96" s="66">
        <f t="shared" si="257"/>
        <v>2806</v>
      </c>
      <c r="G96" s="66">
        <f t="shared" si="258"/>
        <v>1380</v>
      </c>
      <c r="H96" s="66">
        <f t="shared" si="259"/>
        <v>414</v>
      </c>
      <c r="I96" s="66">
        <f t="shared" si="260"/>
        <v>1035</v>
      </c>
      <c r="J96" s="68">
        <v>1250.0</v>
      </c>
      <c r="K96" s="66">
        <f t="shared" si="261"/>
        <v>125.6756757</v>
      </c>
      <c r="L96" s="69">
        <f t="shared" si="262"/>
        <v>19578.24324</v>
      </c>
      <c r="M96" s="70">
        <f t="shared" si="263"/>
        <v>0.05513695652</v>
      </c>
      <c r="N96" s="71">
        <f t="shared" si="264"/>
        <v>1142.477477</v>
      </c>
      <c r="O96" s="66">
        <f t="shared" si="265"/>
        <v>20720.72072</v>
      </c>
      <c r="P96" s="78">
        <v>23000.0</v>
      </c>
      <c r="Q96" s="73">
        <f t="shared" si="266"/>
        <v>4600</v>
      </c>
      <c r="R96" s="74"/>
      <c r="S96" s="75"/>
      <c r="T96" s="66">
        <f t="shared" si="267"/>
        <v>0</v>
      </c>
      <c r="U96" s="66">
        <f t="shared" si="268"/>
        <v>0</v>
      </c>
      <c r="V96" s="66">
        <f t="shared" si="269"/>
        <v>0</v>
      </c>
      <c r="W96" s="66">
        <f t="shared" si="270"/>
        <v>0</v>
      </c>
      <c r="X96" s="68">
        <v>1250.0</v>
      </c>
      <c r="Y96" s="66">
        <f t="shared" si="271"/>
        <v>0</v>
      </c>
      <c r="Z96" s="69">
        <f t="shared" si="272"/>
        <v>1250</v>
      </c>
      <c r="AA96" s="70" t="str">
        <f t="shared" si="273"/>
        <v>#DIV/0!</v>
      </c>
      <c r="AB96" s="71">
        <f t="shared" si="274"/>
        <v>-1250</v>
      </c>
      <c r="AC96" s="66">
        <f t="shared" si="275"/>
        <v>0</v>
      </c>
      <c r="AD96" s="78"/>
      <c r="AE96" s="73" t="str">
        <f t="shared" si="276"/>
        <v>#DIV/0!</v>
      </c>
      <c r="AF96" s="76"/>
      <c r="AG96" s="75"/>
      <c r="AH96" s="66">
        <f t="shared" si="277"/>
        <v>0</v>
      </c>
      <c r="AI96" s="66">
        <f t="shared" si="278"/>
        <v>0</v>
      </c>
      <c r="AJ96" s="66">
        <f t="shared" si="279"/>
        <v>0</v>
      </c>
      <c r="AK96" s="66">
        <f t="shared" si="280"/>
        <v>0</v>
      </c>
      <c r="AL96" s="68">
        <v>1250.0</v>
      </c>
      <c r="AM96" s="66">
        <f t="shared" si="281"/>
        <v>0</v>
      </c>
      <c r="AN96" s="69">
        <f t="shared" si="282"/>
        <v>1250</v>
      </c>
      <c r="AO96" s="70" t="str">
        <f t="shared" si="283"/>
        <v>#DIV/0!</v>
      </c>
      <c r="AP96" s="71">
        <f t="shared" si="284"/>
        <v>-1250</v>
      </c>
      <c r="AQ96" s="66">
        <f t="shared" si="285"/>
        <v>0</v>
      </c>
      <c r="AR96" s="78"/>
      <c r="AS96" s="73" t="str">
        <f t="shared" si="286"/>
        <v>#DIV/0!</v>
      </c>
    </row>
    <row r="97">
      <c r="A97" s="106" t="s">
        <v>121</v>
      </c>
      <c r="B97" s="111">
        <v>3800.0</v>
      </c>
      <c r="C97" s="65">
        <f t="shared" si="255"/>
        <v>3420</v>
      </c>
      <c r="D97" s="66">
        <f t="shared" si="256"/>
        <v>3081.081081</v>
      </c>
      <c r="E97" s="124">
        <v>1.0</v>
      </c>
      <c r="F97" s="66">
        <f t="shared" si="257"/>
        <v>854</v>
      </c>
      <c r="G97" s="66">
        <f t="shared" si="258"/>
        <v>420</v>
      </c>
      <c r="H97" s="66">
        <f t="shared" si="259"/>
        <v>126</v>
      </c>
      <c r="I97" s="66">
        <f t="shared" si="260"/>
        <v>315</v>
      </c>
      <c r="J97" s="68">
        <v>1250.0</v>
      </c>
      <c r="K97" s="66">
        <f t="shared" si="261"/>
        <v>154.0540541</v>
      </c>
      <c r="L97" s="69">
        <f t="shared" si="262"/>
        <v>6200.135135</v>
      </c>
      <c r="M97" s="70">
        <f t="shared" si="263"/>
        <v>0.01683571429</v>
      </c>
      <c r="N97" s="71">
        <f t="shared" si="264"/>
        <v>106.1711712</v>
      </c>
      <c r="O97" s="66">
        <f t="shared" si="265"/>
        <v>6306.306306</v>
      </c>
      <c r="P97" s="78">
        <v>7000.0</v>
      </c>
      <c r="Q97" s="73">
        <f t="shared" si="266"/>
        <v>7000</v>
      </c>
      <c r="R97" s="74"/>
      <c r="S97" s="75"/>
      <c r="T97" s="66">
        <f t="shared" si="267"/>
        <v>0</v>
      </c>
      <c r="U97" s="66">
        <f t="shared" si="268"/>
        <v>0</v>
      </c>
      <c r="V97" s="66">
        <f t="shared" si="269"/>
        <v>0</v>
      </c>
      <c r="W97" s="66">
        <f t="shared" si="270"/>
        <v>0</v>
      </c>
      <c r="X97" s="68">
        <v>1250.0</v>
      </c>
      <c r="Y97" s="66">
        <f t="shared" si="271"/>
        <v>0</v>
      </c>
      <c r="Z97" s="69">
        <f t="shared" si="272"/>
        <v>1250</v>
      </c>
      <c r="AA97" s="70" t="str">
        <f t="shared" si="273"/>
        <v>#DIV/0!</v>
      </c>
      <c r="AB97" s="71">
        <f t="shared" si="274"/>
        <v>-1250</v>
      </c>
      <c r="AC97" s="66">
        <f t="shared" si="275"/>
        <v>0</v>
      </c>
      <c r="AD97" s="78"/>
      <c r="AE97" s="73" t="str">
        <f t="shared" si="276"/>
        <v>#DIV/0!</v>
      </c>
      <c r="AF97" s="76"/>
      <c r="AG97" s="75"/>
      <c r="AH97" s="66">
        <f t="shared" si="277"/>
        <v>0</v>
      </c>
      <c r="AI97" s="66">
        <f t="shared" si="278"/>
        <v>0</v>
      </c>
      <c r="AJ97" s="66">
        <f t="shared" si="279"/>
        <v>0</v>
      </c>
      <c r="AK97" s="66">
        <f t="shared" si="280"/>
        <v>0</v>
      </c>
      <c r="AL97" s="68">
        <v>1250.0</v>
      </c>
      <c r="AM97" s="66">
        <f t="shared" si="281"/>
        <v>0</v>
      </c>
      <c r="AN97" s="69">
        <f t="shared" si="282"/>
        <v>1250</v>
      </c>
      <c r="AO97" s="70" t="str">
        <f t="shared" si="283"/>
        <v>#DIV/0!</v>
      </c>
      <c r="AP97" s="71">
        <f t="shared" si="284"/>
        <v>-1250</v>
      </c>
      <c r="AQ97" s="66">
        <f t="shared" si="285"/>
        <v>0</v>
      </c>
      <c r="AR97" s="78"/>
      <c r="AS97" s="73" t="str">
        <f t="shared" si="286"/>
        <v>#DIV/0!</v>
      </c>
    </row>
    <row r="98">
      <c r="A98" s="106" t="s">
        <v>122</v>
      </c>
      <c r="B98" s="111">
        <v>5000.0</v>
      </c>
      <c r="C98" s="65">
        <f t="shared" si="255"/>
        <v>4500</v>
      </c>
      <c r="D98" s="66">
        <f t="shared" si="256"/>
        <v>4054.054054</v>
      </c>
      <c r="E98" s="134">
        <v>3.0</v>
      </c>
      <c r="F98" s="66">
        <f t="shared" si="257"/>
        <v>2635.2</v>
      </c>
      <c r="G98" s="66">
        <f t="shared" si="258"/>
        <v>1296</v>
      </c>
      <c r="H98" s="66">
        <f t="shared" si="259"/>
        <v>388.8</v>
      </c>
      <c r="I98" s="66">
        <f t="shared" si="260"/>
        <v>972</v>
      </c>
      <c r="J98" s="68">
        <v>1250.0</v>
      </c>
      <c r="K98" s="66">
        <f t="shared" si="261"/>
        <v>202.7027027</v>
      </c>
      <c r="L98" s="69">
        <f t="shared" si="262"/>
        <v>18906.86486</v>
      </c>
      <c r="M98" s="70">
        <f t="shared" si="263"/>
        <v>0.02839722222</v>
      </c>
      <c r="N98" s="71">
        <f t="shared" si="264"/>
        <v>552.5945946</v>
      </c>
      <c r="O98" s="66">
        <f t="shared" si="265"/>
        <v>19459.45946</v>
      </c>
      <c r="P98" s="78">
        <v>21600.0</v>
      </c>
      <c r="Q98" s="73">
        <f t="shared" si="266"/>
        <v>7200</v>
      </c>
      <c r="R98" s="74"/>
      <c r="S98" s="75"/>
      <c r="T98" s="66">
        <f t="shared" si="267"/>
        <v>0</v>
      </c>
      <c r="U98" s="66">
        <f t="shared" si="268"/>
        <v>0</v>
      </c>
      <c r="V98" s="66">
        <f t="shared" si="269"/>
        <v>0</v>
      </c>
      <c r="W98" s="66">
        <f t="shared" si="270"/>
        <v>0</v>
      </c>
      <c r="X98" s="68">
        <v>1250.0</v>
      </c>
      <c r="Y98" s="66">
        <f t="shared" si="271"/>
        <v>0</v>
      </c>
      <c r="Z98" s="69">
        <f t="shared" si="272"/>
        <v>1250</v>
      </c>
      <c r="AA98" s="70" t="str">
        <f t="shared" si="273"/>
        <v>#DIV/0!</v>
      </c>
      <c r="AB98" s="71">
        <f t="shared" si="274"/>
        <v>-1250</v>
      </c>
      <c r="AC98" s="66">
        <f t="shared" si="275"/>
        <v>0</v>
      </c>
      <c r="AD98" s="78"/>
      <c r="AE98" s="73" t="str">
        <f t="shared" si="276"/>
        <v>#DIV/0!</v>
      </c>
      <c r="AF98" s="76"/>
      <c r="AG98" s="75"/>
      <c r="AH98" s="66">
        <f t="shared" si="277"/>
        <v>0</v>
      </c>
      <c r="AI98" s="66">
        <f t="shared" si="278"/>
        <v>0</v>
      </c>
      <c r="AJ98" s="66">
        <f t="shared" si="279"/>
        <v>0</v>
      </c>
      <c r="AK98" s="66">
        <f t="shared" si="280"/>
        <v>0</v>
      </c>
      <c r="AL98" s="68">
        <v>1250.0</v>
      </c>
      <c r="AM98" s="66">
        <f t="shared" si="281"/>
        <v>0</v>
      </c>
      <c r="AN98" s="69">
        <f t="shared" si="282"/>
        <v>1250</v>
      </c>
      <c r="AO98" s="70" t="str">
        <f t="shared" si="283"/>
        <v>#DIV/0!</v>
      </c>
      <c r="AP98" s="71">
        <f t="shared" si="284"/>
        <v>-1250</v>
      </c>
      <c r="AQ98" s="66">
        <f t="shared" si="285"/>
        <v>0</v>
      </c>
      <c r="AR98" s="78"/>
      <c r="AS98" s="73" t="str">
        <f t="shared" si="286"/>
        <v>#DIV/0!</v>
      </c>
    </row>
    <row r="99">
      <c r="A99" s="106" t="s">
        <v>123</v>
      </c>
      <c r="B99" s="111">
        <v>5500.0</v>
      </c>
      <c r="C99" s="65">
        <f t="shared" si="255"/>
        <v>4950</v>
      </c>
      <c r="D99" s="66">
        <f t="shared" si="256"/>
        <v>4459.459459</v>
      </c>
      <c r="E99" s="124">
        <v>1.0</v>
      </c>
      <c r="F99" s="66">
        <f t="shared" si="257"/>
        <v>1126.426</v>
      </c>
      <c r="G99" s="66">
        <f t="shared" si="258"/>
        <v>553.98</v>
      </c>
      <c r="H99" s="66">
        <f t="shared" si="259"/>
        <v>166.194</v>
      </c>
      <c r="I99" s="66">
        <f t="shared" si="260"/>
        <v>415.485</v>
      </c>
      <c r="J99" s="68">
        <v>1250.0</v>
      </c>
      <c r="K99" s="66">
        <f t="shared" si="261"/>
        <v>222.972973</v>
      </c>
      <c r="L99" s="69">
        <f t="shared" si="262"/>
        <v>8194.517432</v>
      </c>
      <c r="M99" s="70">
        <f t="shared" si="263"/>
        <v>0.01484735731</v>
      </c>
      <c r="N99" s="71">
        <f t="shared" si="264"/>
        <v>123.5005856</v>
      </c>
      <c r="O99" s="66">
        <f t="shared" si="265"/>
        <v>8318.018018</v>
      </c>
      <c r="P99" s="78">
        <v>9233.0</v>
      </c>
      <c r="Q99" s="73">
        <f t="shared" si="266"/>
        <v>9233</v>
      </c>
      <c r="R99" s="74"/>
      <c r="S99" s="75"/>
      <c r="T99" s="66">
        <f t="shared" si="267"/>
        <v>0</v>
      </c>
      <c r="U99" s="66">
        <f t="shared" si="268"/>
        <v>0</v>
      </c>
      <c r="V99" s="66">
        <f t="shared" si="269"/>
        <v>0</v>
      </c>
      <c r="W99" s="66">
        <f t="shared" si="270"/>
        <v>0</v>
      </c>
      <c r="X99" s="68">
        <v>1250.0</v>
      </c>
      <c r="Y99" s="66">
        <f t="shared" si="271"/>
        <v>0</v>
      </c>
      <c r="Z99" s="69">
        <f t="shared" si="272"/>
        <v>1250</v>
      </c>
      <c r="AA99" s="70" t="str">
        <f t="shared" si="273"/>
        <v>#DIV/0!</v>
      </c>
      <c r="AB99" s="71">
        <f t="shared" si="274"/>
        <v>-1250</v>
      </c>
      <c r="AC99" s="66">
        <f t="shared" si="275"/>
        <v>0</v>
      </c>
      <c r="AD99" s="78"/>
      <c r="AE99" s="73" t="str">
        <f t="shared" si="276"/>
        <v>#DIV/0!</v>
      </c>
      <c r="AF99" s="76"/>
      <c r="AG99" s="75"/>
      <c r="AH99" s="66">
        <f t="shared" si="277"/>
        <v>0</v>
      </c>
      <c r="AI99" s="66">
        <f t="shared" si="278"/>
        <v>0</v>
      </c>
      <c r="AJ99" s="66">
        <f t="shared" si="279"/>
        <v>0</v>
      </c>
      <c r="AK99" s="66">
        <f t="shared" si="280"/>
        <v>0</v>
      </c>
      <c r="AL99" s="68">
        <v>1250.0</v>
      </c>
      <c r="AM99" s="66">
        <f t="shared" si="281"/>
        <v>0</v>
      </c>
      <c r="AN99" s="69">
        <f t="shared" si="282"/>
        <v>1250</v>
      </c>
      <c r="AO99" s="70" t="str">
        <f t="shared" si="283"/>
        <v>#DIV/0!</v>
      </c>
      <c r="AP99" s="71">
        <f t="shared" si="284"/>
        <v>-1250</v>
      </c>
      <c r="AQ99" s="66">
        <f t="shared" si="285"/>
        <v>0</v>
      </c>
      <c r="AR99" s="78"/>
      <c r="AS99" s="73" t="str">
        <f t="shared" si="286"/>
        <v>#DIV/0!</v>
      </c>
    </row>
    <row r="100">
      <c r="A100" s="106" t="s">
        <v>124</v>
      </c>
      <c r="B100" s="111">
        <v>8500.0</v>
      </c>
      <c r="C100" s="65">
        <f t="shared" si="255"/>
        <v>7650</v>
      </c>
      <c r="D100" s="66">
        <f t="shared" si="256"/>
        <v>6891.891892</v>
      </c>
      <c r="E100" s="124">
        <v>1.0</v>
      </c>
      <c r="F100" s="66">
        <f t="shared" si="257"/>
        <v>1647</v>
      </c>
      <c r="G100" s="66">
        <f t="shared" si="258"/>
        <v>810</v>
      </c>
      <c r="H100" s="66">
        <f t="shared" si="259"/>
        <v>243</v>
      </c>
      <c r="I100" s="66">
        <f t="shared" si="260"/>
        <v>607.5</v>
      </c>
      <c r="J100" s="68">
        <v>1250.0</v>
      </c>
      <c r="K100" s="66">
        <f t="shared" si="261"/>
        <v>344.5945946</v>
      </c>
      <c r="L100" s="69">
        <f t="shared" si="262"/>
        <v>11793.98649</v>
      </c>
      <c r="M100" s="70">
        <f t="shared" si="263"/>
        <v>0.03027222222</v>
      </c>
      <c r="N100" s="71">
        <f t="shared" si="264"/>
        <v>368.1756757</v>
      </c>
      <c r="O100" s="66">
        <f t="shared" si="265"/>
        <v>12162.16216</v>
      </c>
      <c r="P100" s="78">
        <v>13500.0</v>
      </c>
      <c r="Q100" s="73">
        <f t="shared" si="266"/>
        <v>13500</v>
      </c>
      <c r="R100" s="74"/>
      <c r="S100" s="75"/>
      <c r="T100" s="66">
        <f t="shared" si="267"/>
        <v>0</v>
      </c>
      <c r="U100" s="66">
        <f t="shared" si="268"/>
        <v>0</v>
      </c>
      <c r="V100" s="66">
        <f t="shared" si="269"/>
        <v>0</v>
      </c>
      <c r="W100" s="66">
        <f t="shared" si="270"/>
        <v>0</v>
      </c>
      <c r="X100" s="68">
        <v>1250.0</v>
      </c>
      <c r="Y100" s="66">
        <f t="shared" si="271"/>
        <v>0</v>
      </c>
      <c r="Z100" s="69">
        <f t="shared" si="272"/>
        <v>1250</v>
      </c>
      <c r="AA100" s="70" t="str">
        <f t="shared" si="273"/>
        <v>#DIV/0!</v>
      </c>
      <c r="AB100" s="71">
        <f t="shared" si="274"/>
        <v>-1250</v>
      </c>
      <c r="AC100" s="66">
        <f t="shared" si="275"/>
        <v>0</v>
      </c>
      <c r="AD100" s="78"/>
      <c r="AE100" s="73" t="str">
        <f t="shared" si="276"/>
        <v>#DIV/0!</v>
      </c>
      <c r="AF100" s="76"/>
      <c r="AG100" s="75"/>
      <c r="AH100" s="66">
        <f t="shared" si="277"/>
        <v>0</v>
      </c>
      <c r="AI100" s="66">
        <f t="shared" si="278"/>
        <v>0</v>
      </c>
      <c r="AJ100" s="66">
        <f t="shared" si="279"/>
        <v>0</v>
      </c>
      <c r="AK100" s="66">
        <f t="shared" si="280"/>
        <v>0</v>
      </c>
      <c r="AL100" s="68">
        <v>1250.0</v>
      </c>
      <c r="AM100" s="66">
        <f t="shared" si="281"/>
        <v>0</v>
      </c>
      <c r="AN100" s="69">
        <f t="shared" si="282"/>
        <v>1250</v>
      </c>
      <c r="AO100" s="70" t="str">
        <f t="shared" si="283"/>
        <v>#DIV/0!</v>
      </c>
      <c r="AP100" s="71">
        <f t="shared" si="284"/>
        <v>-1250</v>
      </c>
      <c r="AQ100" s="66">
        <f t="shared" si="285"/>
        <v>0</v>
      </c>
      <c r="AR100" s="78"/>
      <c r="AS100" s="73" t="str">
        <f t="shared" si="286"/>
        <v>#DIV/0!</v>
      </c>
    </row>
    <row r="101">
      <c r="A101" s="106" t="s">
        <v>125</v>
      </c>
      <c r="B101" s="111">
        <v>10000.0</v>
      </c>
      <c r="C101" s="65">
        <f t="shared" si="255"/>
        <v>9000</v>
      </c>
      <c r="D101" s="66">
        <f t="shared" si="256"/>
        <v>8108.108108</v>
      </c>
      <c r="E101" s="124">
        <v>1.0</v>
      </c>
      <c r="F101" s="66">
        <f t="shared" si="257"/>
        <v>1952</v>
      </c>
      <c r="G101" s="66">
        <f t="shared" si="258"/>
        <v>960</v>
      </c>
      <c r="H101" s="66">
        <f t="shared" si="259"/>
        <v>288</v>
      </c>
      <c r="I101" s="66">
        <f t="shared" si="260"/>
        <v>720</v>
      </c>
      <c r="J101" s="68">
        <v>1250.0</v>
      </c>
      <c r="K101" s="66">
        <f t="shared" si="261"/>
        <v>405.4054054</v>
      </c>
      <c r="L101" s="69">
        <f t="shared" si="262"/>
        <v>13683.51351</v>
      </c>
      <c r="M101" s="70">
        <f t="shared" si="263"/>
        <v>0.05070625</v>
      </c>
      <c r="N101" s="71">
        <f t="shared" si="264"/>
        <v>730.9009009</v>
      </c>
      <c r="O101" s="66">
        <f t="shared" si="265"/>
        <v>14414.41441</v>
      </c>
      <c r="P101" s="78">
        <v>16000.0</v>
      </c>
      <c r="Q101" s="73">
        <f t="shared" si="266"/>
        <v>16000</v>
      </c>
      <c r="R101" s="74"/>
      <c r="S101" s="75"/>
      <c r="T101" s="66">
        <f t="shared" si="267"/>
        <v>0</v>
      </c>
      <c r="U101" s="66">
        <f t="shared" si="268"/>
        <v>0</v>
      </c>
      <c r="V101" s="66">
        <f t="shared" si="269"/>
        <v>0</v>
      </c>
      <c r="W101" s="66">
        <f t="shared" si="270"/>
        <v>0</v>
      </c>
      <c r="X101" s="68">
        <v>1250.0</v>
      </c>
      <c r="Y101" s="66">
        <f t="shared" si="271"/>
        <v>0</v>
      </c>
      <c r="Z101" s="69">
        <f t="shared" si="272"/>
        <v>1250</v>
      </c>
      <c r="AA101" s="70" t="str">
        <f t="shared" si="273"/>
        <v>#DIV/0!</v>
      </c>
      <c r="AB101" s="71">
        <f t="shared" si="274"/>
        <v>-1250</v>
      </c>
      <c r="AC101" s="66">
        <f t="shared" si="275"/>
        <v>0</v>
      </c>
      <c r="AD101" s="78"/>
      <c r="AE101" s="73" t="str">
        <f t="shared" si="276"/>
        <v>#DIV/0!</v>
      </c>
      <c r="AF101" s="76"/>
      <c r="AG101" s="75"/>
      <c r="AH101" s="66">
        <f t="shared" si="277"/>
        <v>0</v>
      </c>
      <c r="AI101" s="66">
        <f t="shared" si="278"/>
        <v>0</v>
      </c>
      <c r="AJ101" s="66">
        <f t="shared" si="279"/>
        <v>0</v>
      </c>
      <c r="AK101" s="66">
        <f t="shared" si="280"/>
        <v>0</v>
      </c>
      <c r="AL101" s="68">
        <v>1250.0</v>
      </c>
      <c r="AM101" s="66">
        <f t="shared" si="281"/>
        <v>0</v>
      </c>
      <c r="AN101" s="69">
        <f t="shared" si="282"/>
        <v>1250</v>
      </c>
      <c r="AO101" s="70" t="str">
        <f t="shared" si="283"/>
        <v>#DIV/0!</v>
      </c>
      <c r="AP101" s="71">
        <f t="shared" si="284"/>
        <v>-1250</v>
      </c>
      <c r="AQ101" s="66">
        <f t="shared" si="285"/>
        <v>0</v>
      </c>
      <c r="AR101" s="78"/>
      <c r="AS101" s="73" t="str">
        <f t="shared" si="286"/>
        <v>#DIV/0!</v>
      </c>
    </row>
    <row r="102">
      <c r="A102" s="106" t="s">
        <v>126</v>
      </c>
      <c r="B102" s="108">
        <f>B95+1300+500</f>
        <v>4800</v>
      </c>
      <c r="C102" s="65">
        <f t="shared" si="255"/>
        <v>4320</v>
      </c>
      <c r="D102" s="66">
        <f t="shared" si="256"/>
        <v>3891.891892</v>
      </c>
      <c r="E102" s="124">
        <v>5.0</v>
      </c>
      <c r="F102" s="66">
        <f t="shared" si="257"/>
        <v>4270</v>
      </c>
      <c r="G102" s="66">
        <f t="shared" si="258"/>
        <v>2100</v>
      </c>
      <c r="H102" s="66">
        <f t="shared" si="259"/>
        <v>630</v>
      </c>
      <c r="I102" s="66">
        <f t="shared" si="260"/>
        <v>1575</v>
      </c>
      <c r="J102" s="68">
        <v>1250.0</v>
      </c>
      <c r="K102" s="66">
        <f t="shared" si="261"/>
        <v>194.5945946</v>
      </c>
      <c r="L102" s="69">
        <f t="shared" si="262"/>
        <v>29479.05405</v>
      </c>
      <c r="M102" s="70">
        <f t="shared" si="263"/>
        <v>0.06509285714</v>
      </c>
      <c r="N102" s="71">
        <f t="shared" si="264"/>
        <v>2052.477477</v>
      </c>
      <c r="O102" s="66">
        <f t="shared" si="265"/>
        <v>31531.53153</v>
      </c>
      <c r="P102" s="78">
        <v>35000.0</v>
      </c>
      <c r="Q102" s="73">
        <f t="shared" si="266"/>
        <v>7000</v>
      </c>
      <c r="R102" s="74"/>
      <c r="S102" s="75">
        <v>50.0</v>
      </c>
      <c r="T102" s="66">
        <f t="shared" si="267"/>
        <v>38430</v>
      </c>
      <c r="U102" s="66">
        <f t="shared" si="268"/>
        <v>18900</v>
      </c>
      <c r="V102" s="66">
        <f t="shared" si="269"/>
        <v>5670</v>
      </c>
      <c r="W102" s="66">
        <f t="shared" si="270"/>
        <v>14175</v>
      </c>
      <c r="X102" s="68">
        <v>1250.0</v>
      </c>
      <c r="Y102" s="66">
        <f>$Y$3</f>
        <v>0.05</v>
      </c>
      <c r="Z102" s="69">
        <f t="shared" si="272"/>
        <v>273019.6446</v>
      </c>
      <c r="AA102" s="70">
        <f t="shared" si="273"/>
        <v>0.03793077619</v>
      </c>
      <c r="AB102" s="71">
        <f t="shared" si="274"/>
        <v>10764.13919</v>
      </c>
      <c r="AC102" s="66">
        <f t="shared" si="275"/>
        <v>283783.7838</v>
      </c>
      <c r="AD102" s="78">
        <v>315000.0</v>
      </c>
      <c r="AE102" s="73">
        <f t="shared" si="276"/>
        <v>6300</v>
      </c>
      <c r="AF102" s="76"/>
      <c r="AG102" s="75"/>
      <c r="AH102" s="66">
        <f t="shared" si="277"/>
        <v>0</v>
      </c>
      <c r="AI102" s="66">
        <f t="shared" si="278"/>
        <v>0</v>
      </c>
      <c r="AJ102" s="66">
        <f t="shared" si="279"/>
        <v>0</v>
      </c>
      <c r="AK102" s="66">
        <f t="shared" si="280"/>
        <v>0</v>
      </c>
      <c r="AL102" s="68">
        <v>1250.0</v>
      </c>
      <c r="AM102" s="66">
        <f t="shared" si="281"/>
        <v>0</v>
      </c>
      <c r="AN102" s="69">
        <f t="shared" si="282"/>
        <v>1250</v>
      </c>
      <c r="AO102" s="70" t="str">
        <f t="shared" si="283"/>
        <v>#DIV/0!</v>
      </c>
      <c r="AP102" s="71">
        <f t="shared" si="284"/>
        <v>-1250</v>
      </c>
      <c r="AQ102" s="66">
        <f t="shared" si="285"/>
        <v>0</v>
      </c>
      <c r="AR102" s="78"/>
      <c r="AS102" s="73" t="str">
        <f t="shared" si="286"/>
        <v>#DIV/0!</v>
      </c>
    </row>
    <row r="103">
      <c r="A103" s="106" t="s">
        <v>127</v>
      </c>
      <c r="B103" s="111">
        <v>4700.0</v>
      </c>
      <c r="C103" s="65">
        <f t="shared" si="255"/>
        <v>4230</v>
      </c>
      <c r="D103" s="66">
        <f t="shared" si="256"/>
        <v>3810.810811</v>
      </c>
      <c r="E103" s="124">
        <v>5.0</v>
      </c>
      <c r="F103" s="66">
        <f t="shared" si="257"/>
        <v>5246</v>
      </c>
      <c r="G103" s="66">
        <f t="shared" si="258"/>
        <v>2580</v>
      </c>
      <c r="H103" s="66">
        <f t="shared" si="259"/>
        <v>774</v>
      </c>
      <c r="I103" s="66">
        <f t="shared" si="260"/>
        <v>1935</v>
      </c>
      <c r="J103" s="68">
        <v>1250.0</v>
      </c>
      <c r="K103" s="66">
        <f t="shared" si="261"/>
        <v>190.5405405</v>
      </c>
      <c r="L103" s="69">
        <f t="shared" si="262"/>
        <v>31029.59459</v>
      </c>
      <c r="M103" s="70">
        <f t="shared" si="263"/>
        <v>0.1990034884</v>
      </c>
      <c r="N103" s="71">
        <f t="shared" si="264"/>
        <v>7709.144144</v>
      </c>
      <c r="O103" s="66">
        <f t="shared" si="265"/>
        <v>38738.73874</v>
      </c>
      <c r="P103" s="78">
        <v>43000.0</v>
      </c>
      <c r="Q103" s="73">
        <f t="shared" si="266"/>
        <v>8600</v>
      </c>
      <c r="R103" s="74"/>
      <c r="S103" s="75"/>
      <c r="T103" s="66">
        <f t="shared" si="267"/>
        <v>0</v>
      </c>
      <c r="U103" s="66">
        <f t="shared" si="268"/>
        <v>0</v>
      </c>
      <c r="V103" s="66">
        <f t="shared" si="269"/>
        <v>0</v>
      </c>
      <c r="W103" s="66">
        <f t="shared" si="270"/>
        <v>0</v>
      </c>
      <c r="X103" s="68">
        <v>1250.0</v>
      </c>
      <c r="Y103" s="66">
        <f>R103*$Y$3</f>
        <v>0</v>
      </c>
      <c r="Z103" s="69">
        <f t="shared" si="272"/>
        <v>1250</v>
      </c>
      <c r="AA103" s="70" t="str">
        <f t="shared" si="273"/>
        <v>#DIV/0!</v>
      </c>
      <c r="AB103" s="71">
        <f t="shared" si="274"/>
        <v>-1250</v>
      </c>
      <c r="AC103" s="66">
        <f t="shared" si="275"/>
        <v>0</v>
      </c>
      <c r="AD103" s="78"/>
      <c r="AE103" s="73" t="str">
        <f t="shared" si="276"/>
        <v>#DIV/0!</v>
      </c>
      <c r="AF103" s="76"/>
      <c r="AG103" s="75"/>
      <c r="AH103" s="66">
        <f t="shared" si="277"/>
        <v>0</v>
      </c>
      <c r="AI103" s="66">
        <f t="shared" si="278"/>
        <v>0</v>
      </c>
      <c r="AJ103" s="66">
        <f t="shared" si="279"/>
        <v>0</v>
      </c>
      <c r="AK103" s="66">
        <f t="shared" si="280"/>
        <v>0</v>
      </c>
      <c r="AL103" s="68">
        <v>1250.0</v>
      </c>
      <c r="AM103" s="66">
        <f t="shared" si="281"/>
        <v>0</v>
      </c>
      <c r="AN103" s="69">
        <f t="shared" si="282"/>
        <v>1250</v>
      </c>
      <c r="AO103" s="70" t="str">
        <f t="shared" si="283"/>
        <v>#DIV/0!</v>
      </c>
      <c r="AP103" s="71">
        <f t="shared" si="284"/>
        <v>-1250</v>
      </c>
      <c r="AQ103" s="66">
        <f t="shared" si="285"/>
        <v>0</v>
      </c>
      <c r="AR103" s="78"/>
      <c r="AS103" s="73" t="str">
        <f t="shared" si="286"/>
        <v>#DIV/0!</v>
      </c>
    </row>
    <row r="104">
      <c r="A104" s="146" t="s">
        <v>128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37"/>
      <c r="S104" s="147"/>
      <c r="T104" s="147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76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</row>
    <row r="105">
      <c r="A105" s="106" t="s">
        <v>129</v>
      </c>
      <c r="B105" s="108">
        <f>B94*6</f>
        <v>18000</v>
      </c>
      <c r="C105" s="65">
        <f t="shared" ref="C105:C109" si="287">B105*$C$4</f>
        <v>16200</v>
      </c>
      <c r="D105" s="66">
        <f t="shared" ref="D105:D111" si="288">C105/$D$4</f>
        <v>14594.59459</v>
      </c>
      <c r="E105" s="124">
        <v>1.0</v>
      </c>
      <c r="F105" s="66">
        <f t="shared" ref="F105:F111" si="289">P105*$F$3</f>
        <v>3050</v>
      </c>
      <c r="G105" s="66">
        <f t="shared" ref="G105:G111" si="290">P105*$G$3</f>
        <v>1500</v>
      </c>
      <c r="H105" s="66">
        <f t="shared" ref="H105:H111" si="291">P105*$H$3</f>
        <v>450</v>
      </c>
      <c r="I105" s="66">
        <f t="shared" ref="I105:I111" si="292">P105*$I$3</f>
        <v>1125</v>
      </c>
      <c r="J105" s="68">
        <v>1250.0</v>
      </c>
      <c r="K105" s="66">
        <f t="shared" ref="K105:K111" si="293">D105*$K$3</f>
        <v>729.7297297</v>
      </c>
      <c r="L105" s="69">
        <f t="shared" ref="L105:L111" si="294">(D105*E105)+F105+G105+H105+I105+J105+K105</f>
        <v>22699.32432</v>
      </c>
      <c r="M105" s="70">
        <f t="shared" ref="M105:M111" si="295">N105/O105</f>
        <v>-0.00785</v>
      </c>
      <c r="N105" s="71">
        <f t="shared" ref="N105:N111" si="296">O105-L105</f>
        <v>-176.8018018</v>
      </c>
      <c r="O105" s="66">
        <f t="shared" ref="O105:O111" si="297">P105/$O$4</f>
        <v>22522.52252</v>
      </c>
      <c r="P105" s="78">
        <v>25000.0</v>
      </c>
      <c r="Q105" s="73">
        <f t="shared" ref="Q105:Q111" si="298">P105/E105</f>
        <v>25000</v>
      </c>
      <c r="R105" s="74"/>
      <c r="S105" s="75"/>
      <c r="T105" s="66">
        <f t="shared" ref="T105:T111" si="299">AD105*$T$3</f>
        <v>0</v>
      </c>
      <c r="U105" s="66">
        <f t="shared" ref="U105:U111" si="300">AD105*$U$3</f>
        <v>0</v>
      </c>
      <c r="V105" s="66">
        <f t="shared" ref="V105:V111" si="301">AD105*$V$3</f>
        <v>0</v>
      </c>
      <c r="W105" s="66">
        <f t="shared" ref="W105:W111" si="302">AD105*$W$3</f>
        <v>0</v>
      </c>
      <c r="X105" s="68">
        <v>1250.0</v>
      </c>
      <c r="Y105" s="66">
        <f t="shared" ref="Y105:Y111" si="303">R105*$Y$3</f>
        <v>0</v>
      </c>
      <c r="Z105" s="69">
        <f t="shared" ref="Z105:Z111" si="304">(D105*S105)+T105+U105+V105+W105+X105+Y105</f>
        <v>1250</v>
      </c>
      <c r="AA105" s="70" t="str">
        <f t="shared" ref="AA105:AA111" si="305">AB105/AC105</f>
        <v>#DIV/0!</v>
      </c>
      <c r="AB105" s="71">
        <f t="shared" ref="AB105:AB111" si="306">AC105-Z105</f>
        <v>-1250</v>
      </c>
      <c r="AC105" s="66">
        <f t="shared" ref="AC105:AC111" si="307">AD105/$O$4</f>
        <v>0</v>
      </c>
      <c r="AD105" s="78"/>
      <c r="AE105" s="73" t="str">
        <f t="shared" ref="AE105:AE111" si="308">AD105/S105</f>
        <v>#DIV/0!</v>
      </c>
      <c r="AF105" s="76"/>
      <c r="AG105" s="75"/>
      <c r="AH105" s="66">
        <f t="shared" ref="AH105:AH111" si="309">AR105*$AH$3</f>
        <v>0</v>
      </c>
      <c r="AI105" s="66">
        <f t="shared" ref="AI105:AI111" si="310">AR105*$AI$3</f>
        <v>0</v>
      </c>
      <c r="AJ105" s="66">
        <f t="shared" ref="AJ105:AJ111" si="311">AR105*$AJ$3</f>
        <v>0</v>
      </c>
      <c r="AK105" s="66">
        <f t="shared" ref="AK105:AK111" si="312">AR105*$AK$3</f>
        <v>0</v>
      </c>
      <c r="AL105" s="68">
        <v>1250.0</v>
      </c>
      <c r="AM105" s="66">
        <f t="shared" ref="AM105:AM111" si="313">AF105*$AM$3</f>
        <v>0</v>
      </c>
      <c r="AN105" s="69">
        <f t="shared" ref="AN105:AN111" si="314">(R105*AG105)+AH105+AI105+AJ105+AK105+AL105+AM105</f>
        <v>1250</v>
      </c>
      <c r="AO105" s="70" t="str">
        <f t="shared" ref="AO105:AO111" si="315">AP105/AQ105</f>
        <v>#DIV/0!</v>
      </c>
      <c r="AP105" s="71">
        <f t="shared" ref="AP105:AP111" si="316">AQ105-AN105</f>
        <v>-1250</v>
      </c>
      <c r="AQ105" s="66">
        <f t="shared" ref="AQ105:AQ111" si="317">AR105/$O$4</f>
        <v>0</v>
      </c>
      <c r="AR105" s="78"/>
      <c r="AS105" s="73" t="str">
        <f t="shared" ref="AS105:AS111" si="318">AR105/AG105</f>
        <v>#DIV/0!</v>
      </c>
    </row>
    <row r="106">
      <c r="A106" s="106" t="s">
        <v>130</v>
      </c>
      <c r="B106" s="108">
        <f t="shared" ref="B106:B108" si="319">B96*6</f>
        <v>18600</v>
      </c>
      <c r="C106" s="65">
        <f t="shared" si="287"/>
        <v>16740</v>
      </c>
      <c r="D106" s="66">
        <f t="shared" si="288"/>
        <v>15081.08108</v>
      </c>
      <c r="E106" s="124">
        <v>1.0</v>
      </c>
      <c r="F106" s="66">
        <f t="shared" si="289"/>
        <v>3245.2</v>
      </c>
      <c r="G106" s="66">
        <f t="shared" si="290"/>
        <v>1596</v>
      </c>
      <c r="H106" s="66">
        <f t="shared" si="291"/>
        <v>478.8</v>
      </c>
      <c r="I106" s="66">
        <f t="shared" si="292"/>
        <v>1197</v>
      </c>
      <c r="J106" s="68">
        <v>1250.0</v>
      </c>
      <c r="K106" s="66">
        <f t="shared" si="293"/>
        <v>754.0540541</v>
      </c>
      <c r="L106" s="69">
        <f t="shared" si="294"/>
        <v>23602.13514</v>
      </c>
      <c r="M106" s="70">
        <f t="shared" si="295"/>
        <v>0.01509887218</v>
      </c>
      <c r="N106" s="71">
        <f t="shared" si="296"/>
        <v>361.8288288</v>
      </c>
      <c r="O106" s="66">
        <f t="shared" si="297"/>
        <v>23963.96396</v>
      </c>
      <c r="P106" s="78">
        <v>26600.0</v>
      </c>
      <c r="Q106" s="73">
        <f t="shared" si="298"/>
        <v>26600</v>
      </c>
      <c r="R106" s="74"/>
      <c r="S106" s="75"/>
      <c r="T106" s="66">
        <f t="shared" si="299"/>
        <v>0</v>
      </c>
      <c r="U106" s="66">
        <f t="shared" si="300"/>
        <v>0</v>
      </c>
      <c r="V106" s="66">
        <f t="shared" si="301"/>
        <v>0</v>
      </c>
      <c r="W106" s="66">
        <f t="shared" si="302"/>
        <v>0</v>
      </c>
      <c r="X106" s="68">
        <v>1250.0</v>
      </c>
      <c r="Y106" s="66">
        <f t="shared" si="303"/>
        <v>0</v>
      </c>
      <c r="Z106" s="69">
        <f t="shared" si="304"/>
        <v>1250</v>
      </c>
      <c r="AA106" s="70" t="str">
        <f t="shared" si="305"/>
        <v>#DIV/0!</v>
      </c>
      <c r="AB106" s="71">
        <f t="shared" si="306"/>
        <v>-1250</v>
      </c>
      <c r="AC106" s="66">
        <f t="shared" si="307"/>
        <v>0</v>
      </c>
      <c r="AD106" s="78"/>
      <c r="AE106" s="73" t="str">
        <f t="shared" si="308"/>
        <v>#DIV/0!</v>
      </c>
      <c r="AF106" s="76"/>
      <c r="AG106" s="75"/>
      <c r="AH106" s="66">
        <f t="shared" si="309"/>
        <v>0</v>
      </c>
      <c r="AI106" s="66">
        <f t="shared" si="310"/>
        <v>0</v>
      </c>
      <c r="AJ106" s="66">
        <f t="shared" si="311"/>
        <v>0</v>
      </c>
      <c r="AK106" s="66">
        <f t="shared" si="312"/>
        <v>0</v>
      </c>
      <c r="AL106" s="68">
        <v>1250.0</v>
      </c>
      <c r="AM106" s="66">
        <f t="shared" si="313"/>
        <v>0</v>
      </c>
      <c r="AN106" s="69">
        <f t="shared" si="314"/>
        <v>1250</v>
      </c>
      <c r="AO106" s="70" t="str">
        <f t="shared" si="315"/>
        <v>#DIV/0!</v>
      </c>
      <c r="AP106" s="71">
        <f t="shared" si="316"/>
        <v>-1250</v>
      </c>
      <c r="AQ106" s="66">
        <f t="shared" si="317"/>
        <v>0</v>
      </c>
      <c r="AR106" s="78"/>
      <c r="AS106" s="73" t="str">
        <f t="shared" si="318"/>
        <v>#DIV/0!</v>
      </c>
    </row>
    <row r="107">
      <c r="A107" s="106" t="s">
        <v>131</v>
      </c>
      <c r="B107" s="108">
        <f t="shared" si="319"/>
        <v>22800</v>
      </c>
      <c r="C107" s="65">
        <f t="shared" si="287"/>
        <v>20520</v>
      </c>
      <c r="D107" s="66">
        <f t="shared" si="288"/>
        <v>18486.48649</v>
      </c>
      <c r="E107" s="124">
        <v>1.0</v>
      </c>
      <c r="F107" s="66">
        <f t="shared" si="289"/>
        <v>4221.2</v>
      </c>
      <c r="G107" s="66">
        <f t="shared" si="290"/>
        <v>2076</v>
      </c>
      <c r="H107" s="66">
        <f t="shared" si="291"/>
        <v>622.8</v>
      </c>
      <c r="I107" s="66">
        <f t="shared" si="292"/>
        <v>1557</v>
      </c>
      <c r="J107" s="68">
        <v>1250.0</v>
      </c>
      <c r="K107" s="66">
        <f t="shared" si="293"/>
        <v>924.3243243</v>
      </c>
      <c r="L107" s="69">
        <f t="shared" si="294"/>
        <v>29137.81081</v>
      </c>
      <c r="M107" s="70">
        <f t="shared" si="295"/>
        <v>0.06523208092</v>
      </c>
      <c r="N107" s="71">
        <f t="shared" si="296"/>
        <v>2033.36036</v>
      </c>
      <c r="O107" s="66">
        <f t="shared" si="297"/>
        <v>31171.17117</v>
      </c>
      <c r="P107" s="78">
        <v>34600.0</v>
      </c>
      <c r="Q107" s="73">
        <f t="shared" si="298"/>
        <v>34600</v>
      </c>
      <c r="R107" s="74"/>
      <c r="S107" s="75"/>
      <c r="T107" s="66">
        <f t="shared" si="299"/>
        <v>0</v>
      </c>
      <c r="U107" s="66">
        <f t="shared" si="300"/>
        <v>0</v>
      </c>
      <c r="V107" s="66">
        <f t="shared" si="301"/>
        <v>0</v>
      </c>
      <c r="W107" s="66">
        <f t="shared" si="302"/>
        <v>0</v>
      </c>
      <c r="X107" s="68">
        <v>1250.0</v>
      </c>
      <c r="Y107" s="66">
        <f t="shared" si="303"/>
        <v>0</v>
      </c>
      <c r="Z107" s="69">
        <f t="shared" si="304"/>
        <v>1250</v>
      </c>
      <c r="AA107" s="70" t="str">
        <f t="shared" si="305"/>
        <v>#DIV/0!</v>
      </c>
      <c r="AB107" s="71">
        <f t="shared" si="306"/>
        <v>-1250</v>
      </c>
      <c r="AC107" s="66">
        <f t="shared" si="307"/>
        <v>0</v>
      </c>
      <c r="AD107" s="78"/>
      <c r="AE107" s="73" t="str">
        <f t="shared" si="308"/>
        <v>#DIV/0!</v>
      </c>
      <c r="AF107" s="76"/>
      <c r="AG107" s="75"/>
      <c r="AH107" s="66">
        <f t="shared" si="309"/>
        <v>0</v>
      </c>
      <c r="AI107" s="66">
        <f t="shared" si="310"/>
        <v>0</v>
      </c>
      <c r="AJ107" s="66">
        <f t="shared" si="311"/>
        <v>0</v>
      </c>
      <c r="AK107" s="66">
        <f t="shared" si="312"/>
        <v>0</v>
      </c>
      <c r="AL107" s="68">
        <v>1250.0</v>
      </c>
      <c r="AM107" s="66">
        <f t="shared" si="313"/>
        <v>0</v>
      </c>
      <c r="AN107" s="69">
        <f t="shared" si="314"/>
        <v>1250</v>
      </c>
      <c r="AO107" s="70" t="str">
        <f t="shared" si="315"/>
        <v>#DIV/0!</v>
      </c>
      <c r="AP107" s="71">
        <f t="shared" si="316"/>
        <v>-1250</v>
      </c>
      <c r="AQ107" s="66">
        <f t="shared" si="317"/>
        <v>0</v>
      </c>
      <c r="AR107" s="78"/>
      <c r="AS107" s="73" t="str">
        <f t="shared" si="318"/>
        <v>#DIV/0!</v>
      </c>
    </row>
    <row r="108">
      <c r="A108" s="106" t="s">
        <v>132</v>
      </c>
      <c r="B108" s="108">
        <f t="shared" si="319"/>
        <v>30000</v>
      </c>
      <c r="C108" s="65">
        <f t="shared" si="287"/>
        <v>27000</v>
      </c>
      <c r="D108" s="66">
        <f t="shared" si="288"/>
        <v>24324.32432</v>
      </c>
      <c r="E108" s="124">
        <v>1.0</v>
      </c>
      <c r="F108" s="66">
        <f t="shared" si="289"/>
        <v>5002</v>
      </c>
      <c r="G108" s="66">
        <f t="shared" si="290"/>
        <v>2460</v>
      </c>
      <c r="H108" s="66">
        <f t="shared" si="291"/>
        <v>738</v>
      </c>
      <c r="I108" s="66">
        <f t="shared" si="292"/>
        <v>1845</v>
      </c>
      <c r="J108" s="68">
        <v>1250.0</v>
      </c>
      <c r="K108" s="66">
        <f t="shared" si="293"/>
        <v>1216.216216</v>
      </c>
      <c r="L108" s="69">
        <f t="shared" si="294"/>
        <v>36835.54054</v>
      </c>
      <c r="M108" s="70">
        <f t="shared" si="295"/>
        <v>0.002745121951</v>
      </c>
      <c r="N108" s="71">
        <f t="shared" si="296"/>
        <v>101.3963964</v>
      </c>
      <c r="O108" s="66">
        <f t="shared" si="297"/>
        <v>36936.93694</v>
      </c>
      <c r="P108" s="78">
        <v>41000.0</v>
      </c>
      <c r="Q108" s="73">
        <f t="shared" si="298"/>
        <v>41000</v>
      </c>
      <c r="R108" s="74"/>
      <c r="S108" s="75"/>
      <c r="T108" s="66">
        <f t="shared" si="299"/>
        <v>0</v>
      </c>
      <c r="U108" s="66">
        <f t="shared" si="300"/>
        <v>0</v>
      </c>
      <c r="V108" s="66">
        <f t="shared" si="301"/>
        <v>0</v>
      </c>
      <c r="W108" s="66">
        <f t="shared" si="302"/>
        <v>0</v>
      </c>
      <c r="X108" s="68">
        <v>1250.0</v>
      </c>
      <c r="Y108" s="66">
        <f t="shared" si="303"/>
        <v>0</v>
      </c>
      <c r="Z108" s="69">
        <f t="shared" si="304"/>
        <v>1250</v>
      </c>
      <c r="AA108" s="70" t="str">
        <f t="shared" si="305"/>
        <v>#DIV/0!</v>
      </c>
      <c r="AB108" s="71">
        <f t="shared" si="306"/>
        <v>-1250</v>
      </c>
      <c r="AC108" s="66">
        <f t="shared" si="307"/>
        <v>0</v>
      </c>
      <c r="AD108" s="78"/>
      <c r="AE108" s="73" t="str">
        <f t="shared" si="308"/>
        <v>#DIV/0!</v>
      </c>
      <c r="AF108" s="76"/>
      <c r="AG108" s="75"/>
      <c r="AH108" s="66">
        <f t="shared" si="309"/>
        <v>0</v>
      </c>
      <c r="AI108" s="66">
        <f t="shared" si="310"/>
        <v>0</v>
      </c>
      <c r="AJ108" s="66">
        <f t="shared" si="311"/>
        <v>0</v>
      </c>
      <c r="AK108" s="66">
        <f t="shared" si="312"/>
        <v>0</v>
      </c>
      <c r="AL108" s="68">
        <v>1250.0</v>
      </c>
      <c r="AM108" s="66">
        <f t="shared" si="313"/>
        <v>0</v>
      </c>
      <c r="AN108" s="69">
        <f t="shared" si="314"/>
        <v>1250</v>
      </c>
      <c r="AO108" s="70" t="str">
        <f t="shared" si="315"/>
        <v>#DIV/0!</v>
      </c>
      <c r="AP108" s="71">
        <f t="shared" si="316"/>
        <v>-1250</v>
      </c>
      <c r="AQ108" s="66">
        <f t="shared" si="317"/>
        <v>0</v>
      </c>
      <c r="AR108" s="78"/>
      <c r="AS108" s="73" t="str">
        <f t="shared" si="318"/>
        <v>#DIV/0!</v>
      </c>
    </row>
    <row r="109">
      <c r="A109" s="149" t="s">
        <v>133</v>
      </c>
      <c r="B109" s="108">
        <f>B101*4</f>
        <v>40000</v>
      </c>
      <c r="C109" s="65">
        <f t="shared" si="287"/>
        <v>36000</v>
      </c>
      <c r="D109" s="66">
        <f t="shared" si="288"/>
        <v>32432.43243</v>
      </c>
      <c r="E109" s="124">
        <v>1.0</v>
      </c>
      <c r="F109" s="66">
        <f t="shared" si="289"/>
        <v>6466</v>
      </c>
      <c r="G109" s="66">
        <f t="shared" si="290"/>
        <v>3180</v>
      </c>
      <c r="H109" s="66">
        <f t="shared" si="291"/>
        <v>954</v>
      </c>
      <c r="I109" s="66">
        <f t="shared" si="292"/>
        <v>2385</v>
      </c>
      <c r="J109" s="68">
        <v>1250.0</v>
      </c>
      <c r="K109" s="66">
        <f t="shared" si="293"/>
        <v>1621.621622</v>
      </c>
      <c r="L109" s="69">
        <f t="shared" si="294"/>
        <v>48289.05405</v>
      </c>
      <c r="M109" s="70">
        <f t="shared" si="295"/>
        <v>-0.01133679245</v>
      </c>
      <c r="N109" s="71">
        <f t="shared" si="296"/>
        <v>-541.3063063</v>
      </c>
      <c r="O109" s="66">
        <f t="shared" si="297"/>
        <v>47747.74775</v>
      </c>
      <c r="P109" s="78">
        <v>53000.0</v>
      </c>
      <c r="Q109" s="73">
        <f t="shared" si="298"/>
        <v>53000</v>
      </c>
      <c r="R109" s="74"/>
      <c r="S109" s="75"/>
      <c r="T109" s="66">
        <f t="shared" si="299"/>
        <v>0</v>
      </c>
      <c r="U109" s="66">
        <f t="shared" si="300"/>
        <v>0</v>
      </c>
      <c r="V109" s="66">
        <f t="shared" si="301"/>
        <v>0</v>
      </c>
      <c r="W109" s="66">
        <f t="shared" si="302"/>
        <v>0</v>
      </c>
      <c r="X109" s="68">
        <v>1250.0</v>
      </c>
      <c r="Y109" s="66">
        <f t="shared" si="303"/>
        <v>0</v>
      </c>
      <c r="Z109" s="69">
        <f t="shared" si="304"/>
        <v>1250</v>
      </c>
      <c r="AA109" s="70" t="str">
        <f t="shared" si="305"/>
        <v>#DIV/0!</v>
      </c>
      <c r="AB109" s="71">
        <f t="shared" si="306"/>
        <v>-1250</v>
      </c>
      <c r="AC109" s="66">
        <f t="shared" si="307"/>
        <v>0</v>
      </c>
      <c r="AD109" s="78"/>
      <c r="AE109" s="73" t="str">
        <f t="shared" si="308"/>
        <v>#DIV/0!</v>
      </c>
      <c r="AF109" s="76"/>
      <c r="AG109" s="75"/>
      <c r="AH109" s="66">
        <f t="shared" si="309"/>
        <v>0</v>
      </c>
      <c r="AI109" s="66">
        <f t="shared" si="310"/>
        <v>0</v>
      </c>
      <c r="AJ109" s="66">
        <f t="shared" si="311"/>
        <v>0</v>
      </c>
      <c r="AK109" s="66">
        <f t="shared" si="312"/>
        <v>0</v>
      </c>
      <c r="AL109" s="68">
        <v>1250.0</v>
      </c>
      <c r="AM109" s="66">
        <f t="shared" si="313"/>
        <v>0</v>
      </c>
      <c r="AN109" s="69">
        <f t="shared" si="314"/>
        <v>1250</v>
      </c>
      <c r="AO109" s="70" t="str">
        <f t="shared" si="315"/>
        <v>#DIV/0!</v>
      </c>
      <c r="AP109" s="71">
        <f t="shared" si="316"/>
        <v>-1250</v>
      </c>
      <c r="AQ109" s="66">
        <f t="shared" si="317"/>
        <v>0</v>
      </c>
      <c r="AR109" s="78"/>
      <c r="AS109" s="73" t="str">
        <f t="shared" si="318"/>
        <v>#DIV/0!</v>
      </c>
    </row>
    <row r="110">
      <c r="A110" s="106" t="s">
        <v>134</v>
      </c>
      <c r="B110" s="111">
        <v>28300.0</v>
      </c>
      <c r="C110" s="65">
        <f t="shared" ref="C110:C111" si="320">B110</f>
        <v>28300</v>
      </c>
      <c r="D110" s="66">
        <f t="shared" si="288"/>
        <v>25495.4955</v>
      </c>
      <c r="E110" s="124">
        <v>1.0</v>
      </c>
      <c r="F110" s="66">
        <f t="shared" si="289"/>
        <v>5209.4</v>
      </c>
      <c r="G110" s="66">
        <f t="shared" si="290"/>
        <v>2562</v>
      </c>
      <c r="H110" s="66">
        <f t="shared" si="291"/>
        <v>768.6</v>
      </c>
      <c r="I110" s="66">
        <f t="shared" si="292"/>
        <v>1921.5</v>
      </c>
      <c r="J110" s="68">
        <v>1250.0</v>
      </c>
      <c r="K110" s="66">
        <f t="shared" si="293"/>
        <v>1274.774775</v>
      </c>
      <c r="L110" s="69">
        <f t="shared" si="294"/>
        <v>38481.77027</v>
      </c>
      <c r="M110" s="70">
        <f t="shared" si="295"/>
        <v>-0.0003457845433</v>
      </c>
      <c r="N110" s="71">
        <f t="shared" si="296"/>
        <v>-13.3018018</v>
      </c>
      <c r="O110" s="66">
        <f t="shared" si="297"/>
        <v>38468.46847</v>
      </c>
      <c r="P110" s="78">
        <v>42700.0</v>
      </c>
      <c r="Q110" s="73">
        <f t="shared" si="298"/>
        <v>42700</v>
      </c>
      <c r="R110" s="74"/>
      <c r="S110" s="75"/>
      <c r="T110" s="66">
        <f t="shared" si="299"/>
        <v>0</v>
      </c>
      <c r="U110" s="66">
        <f t="shared" si="300"/>
        <v>0</v>
      </c>
      <c r="V110" s="66">
        <f t="shared" si="301"/>
        <v>0</v>
      </c>
      <c r="W110" s="66">
        <f t="shared" si="302"/>
        <v>0</v>
      </c>
      <c r="X110" s="68">
        <v>1250.0</v>
      </c>
      <c r="Y110" s="66">
        <f t="shared" si="303"/>
        <v>0</v>
      </c>
      <c r="Z110" s="69">
        <f t="shared" si="304"/>
        <v>1250</v>
      </c>
      <c r="AA110" s="70" t="str">
        <f t="shared" si="305"/>
        <v>#DIV/0!</v>
      </c>
      <c r="AB110" s="71">
        <f t="shared" si="306"/>
        <v>-1250</v>
      </c>
      <c r="AC110" s="66">
        <f t="shared" si="307"/>
        <v>0</v>
      </c>
      <c r="AD110" s="78"/>
      <c r="AE110" s="73" t="str">
        <f t="shared" si="308"/>
        <v>#DIV/0!</v>
      </c>
      <c r="AF110" s="76"/>
      <c r="AG110" s="75"/>
      <c r="AH110" s="66">
        <f t="shared" si="309"/>
        <v>0</v>
      </c>
      <c r="AI110" s="66">
        <f t="shared" si="310"/>
        <v>0</v>
      </c>
      <c r="AJ110" s="66">
        <f t="shared" si="311"/>
        <v>0</v>
      </c>
      <c r="AK110" s="66">
        <f t="shared" si="312"/>
        <v>0</v>
      </c>
      <c r="AL110" s="68">
        <v>1250.0</v>
      </c>
      <c r="AM110" s="66">
        <f t="shared" si="313"/>
        <v>0</v>
      </c>
      <c r="AN110" s="69">
        <f t="shared" si="314"/>
        <v>1250</v>
      </c>
      <c r="AO110" s="70" t="str">
        <f t="shared" si="315"/>
        <v>#DIV/0!</v>
      </c>
      <c r="AP110" s="71">
        <f t="shared" si="316"/>
        <v>-1250</v>
      </c>
      <c r="AQ110" s="66">
        <f t="shared" si="317"/>
        <v>0</v>
      </c>
      <c r="AR110" s="78"/>
      <c r="AS110" s="73" t="str">
        <f t="shared" si="318"/>
        <v>#DIV/0!</v>
      </c>
    </row>
    <row r="111">
      <c r="A111" s="106" t="s">
        <v>135</v>
      </c>
      <c r="B111" s="111">
        <v>33700.0</v>
      </c>
      <c r="C111" s="65">
        <f t="shared" si="320"/>
        <v>33700</v>
      </c>
      <c r="D111" s="66">
        <f t="shared" si="288"/>
        <v>30360.36036</v>
      </c>
      <c r="E111" s="124">
        <v>1.0</v>
      </c>
      <c r="F111" s="66">
        <f t="shared" si="289"/>
        <v>6087.8</v>
      </c>
      <c r="G111" s="66">
        <f t="shared" si="290"/>
        <v>2994</v>
      </c>
      <c r="H111" s="66">
        <f t="shared" si="291"/>
        <v>898.2</v>
      </c>
      <c r="I111" s="66">
        <f t="shared" si="292"/>
        <v>2245.5</v>
      </c>
      <c r="J111" s="68">
        <v>1250.0</v>
      </c>
      <c r="K111" s="66">
        <f t="shared" si="293"/>
        <v>1518.018018</v>
      </c>
      <c r="L111" s="69">
        <f t="shared" si="294"/>
        <v>45353.87838</v>
      </c>
      <c r="M111" s="70">
        <f t="shared" si="295"/>
        <v>-0.008873847695</v>
      </c>
      <c r="N111" s="71">
        <f t="shared" si="296"/>
        <v>-398.9234234</v>
      </c>
      <c r="O111" s="66">
        <f t="shared" si="297"/>
        <v>44954.95495</v>
      </c>
      <c r="P111" s="78">
        <v>49900.0</v>
      </c>
      <c r="Q111" s="73">
        <f t="shared" si="298"/>
        <v>49900</v>
      </c>
      <c r="R111" s="74"/>
      <c r="S111" s="75"/>
      <c r="T111" s="66">
        <f t="shared" si="299"/>
        <v>0</v>
      </c>
      <c r="U111" s="66">
        <f t="shared" si="300"/>
        <v>0</v>
      </c>
      <c r="V111" s="66">
        <f t="shared" si="301"/>
        <v>0</v>
      </c>
      <c r="W111" s="66">
        <f t="shared" si="302"/>
        <v>0</v>
      </c>
      <c r="X111" s="68">
        <v>1250.0</v>
      </c>
      <c r="Y111" s="66">
        <f t="shared" si="303"/>
        <v>0</v>
      </c>
      <c r="Z111" s="69">
        <f t="shared" si="304"/>
        <v>1250</v>
      </c>
      <c r="AA111" s="70" t="str">
        <f t="shared" si="305"/>
        <v>#DIV/0!</v>
      </c>
      <c r="AB111" s="71">
        <f t="shared" si="306"/>
        <v>-1250</v>
      </c>
      <c r="AC111" s="66">
        <f t="shared" si="307"/>
        <v>0</v>
      </c>
      <c r="AD111" s="78"/>
      <c r="AE111" s="73" t="str">
        <f t="shared" si="308"/>
        <v>#DIV/0!</v>
      </c>
      <c r="AF111" s="76"/>
      <c r="AG111" s="75"/>
      <c r="AH111" s="66">
        <f t="shared" si="309"/>
        <v>0</v>
      </c>
      <c r="AI111" s="66">
        <f t="shared" si="310"/>
        <v>0</v>
      </c>
      <c r="AJ111" s="66">
        <f t="shared" si="311"/>
        <v>0</v>
      </c>
      <c r="AK111" s="66">
        <f t="shared" si="312"/>
        <v>0</v>
      </c>
      <c r="AL111" s="68">
        <v>1250.0</v>
      </c>
      <c r="AM111" s="66">
        <f t="shared" si="313"/>
        <v>0</v>
      </c>
      <c r="AN111" s="69">
        <f t="shared" si="314"/>
        <v>1250</v>
      </c>
      <c r="AO111" s="70" t="str">
        <f t="shared" si="315"/>
        <v>#DIV/0!</v>
      </c>
      <c r="AP111" s="71">
        <f t="shared" si="316"/>
        <v>-1250</v>
      </c>
      <c r="AQ111" s="66">
        <f t="shared" si="317"/>
        <v>0</v>
      </c>
      <c r="AR111" s="78"/>
      <c r="AS111" s="73" t="str">
        <f t="shared" si="318"/>
        <v>#DIV/0!</v>
      </c>
    </row>
    <row r="112">
      <c r="A112" s="150" t="s">
        <v>136</v>
      </c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140"/>
      <c r="S112" s="94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76"/>
      <c r="AG112" s="141"/>
      <c r="AH112" s="141"/>
      <c r="AI112" s="141"/>
      <c r="AJ112" s="141"/>
      <c r="AK112" s="141"/>
      <c r="AL112" s="141"/>
      <c r="AM112" s="141"/>
      <c r="AN112" s="141"/>
      <c r="AO112" s="141"/>
      <c r="AP112" s="141"/>
      <c r="AQ112" s="141"/>
      <c r="AR112" s="141"/>
      <c r="AS112" s="141"/>
      <c r="AT112" s="141"/>
      <c r="AU112" s="141"/>
      <c r="AV112" s="141"/>
      <c r="AW112" s="141"/>
      <c r="AX112" s="141"/>
      <c r="AY112" s="141"/>
      <c r="AZ112" s="141"/>
      <c r="BA112" s="141"/>
      <c r="BB112" s="141"/>
      <c r="BC112" s="141"/>
    </row>
    <row r="113">
      <c r="A113" s="106" t="s">
        <v>137</v>
      </c>
      <c r="B113" s="66">
        <f>B94*5+B13</f>
        <v>20700</v>
      </c>
      <c r="C113" s="65">
        <f t="shared" ref="C113:C116" si="321">B113*$C$4</f>
        <v>18630</v>
      </c>
      <c r="D113" s="66">
        <f t="shared" ref="D113:D116" si="322">C113/$D$4</f>
        <v>16783.78378</v>
      </c>
      <c r="E113" s="124">
        <v>1.0</v>
      </c>
      <c r="F113" s="66">
        <f t="shared" ref="F113:F117" si="323">P113*$F$3</f>
        <v>3647.8</v>
      </c>
      <c r="G113" s="66">
        <f t="shared" ref="G113:G117" si="324">P113*$G$3</f>
        <v>1794</v>
      </c>
      <c r="H113" s="66">
        <f t="shared" ref="H113:H117" si="325">P113*$H$3</f>
        <v>538.2</v>
      </c>
      <c r="I113" s="66">
        <f t="shared" ref="I113:I117" si="326">P113*$I$3</f>
        <v>1345.5</v>
      </c>
      <c r="J113" s="68">
        <v>1250.0</v>
      </c>
      <c r="K113" s="66">
        <f t="shared" ref="K113:K117" si="327">D113*$K$3</f>
        <v>839.1891892</v>
      </c>
      <c r="L113" s="69">
        <f t="shared" ref="L113:L117" si="328">(D113*E113)+F113+G113+H113+I113+J113+K113</f>
        <v>26198.47297</v>
      </c>
      <c r="M113" s="70">
        <f t="shared" ref="M113:M117" si="329">N113/O113</f>
        <v>0.02741454849</v>
      </c>
      <c r="N113" s="71">
        <f t="shared" ref="N113:N117" si="330">O113-L113</f>
        <v>738.463964</v>
      </c>
      <c r="O113" s="66">
        <f t="shared" ref="O113:O117" si="331">P113/$O$4</f>
        <v>26936.93694</v>
      </c>
      <c r="P113" s="78">
        <v>29900.0</v>
      </c>
      <c r="Q113" s="73">
        <f t="shared" ref="Q113:Q117" si="332">P113/E113</f>
        <v>29900</v>
      </c>
      <c r="R113" s="74"/>
      <c r="S113" s="75"/>
      <c r="T113" s="66">
        <f t="shared" ref="T113:T115" si="333">AD113*$T$3</f>
        <v>0</v>
      </c>
      <c r="U113" s="66">
        <f t="shared" ref="U113:U115" si="334">AD113*$U$3</f>
        <v>0</v>
      </c>
      <c r="V113" s="66">
        <f t="shared" ref="V113:V115" si="335">AD113*$V$3</f>
        <v>0</v>
      </c>
      <c r="W113" s="66">
        <f t="shared" ref="W113:W115" si="336">AD113*$W$3</f>
        <v>0</v>
      </c>
      <c r="X113" s="68">
        <v>1250.0</v>
      </c>
      <c r="Y113" s="66">
        <f t="shared" ref="Y113:Y115" si="337">R113*$Y$3</f>
        <v>0</v>
      </c>
      <c r="Z113" s="69">
        <f t="shared" ref="Z113:Z115" si="338">(D113*S113)+T113+U113+V113+W113+X113+Y113</f>
        <v>1250</v>
      </c>
      <c r="AA113" s="70" t="str">
        <f t="shared" ref="AA113:AA115" si="339">AB113/AC113</f>
        <v>#DIV/0!</v>
      </c>
      <c r="AB113" s="71">
        <f t="shared" ref="AB113:AB115" si="340">AC113-Z113</f>
        <v>-1250</v>
      </c>
      <c r="AC113" s="66">
        <f t="shared" ref="AC113:AC115" si="341">AD113/$O$4</f>
        <v>0</v>
      </c>
      <c r="AD113" s="78"/>
      <c r="AE113" s="73" t="str">
        <f t="shared" ref="AE113:AE115" si="342">AD113/S113</f>
        <v>#DIV/0!</v>
      </c>
      <c r="AF113" s="76"/>
      <c r="AG113" s="75"/>
      <c r="AH113" s="66">
        <f t="shared" ref="AH113:AH115" si="343">AR113*$AH$3</f>
        <v>0</v>
      </c>
      <c r="AI113" s="66">
        <f t="shared" ref="AI113:AI115" si="344">AR113*$AI$3</f>
        <v>0</v>
      </c>
      <c r="AJ113" s="66">
        <f t="shared" ref="AJ113:AJ115" si="345">AR113*$AJ$3</f>
        <v>0</v>
      </c>
      <c r="AK113" s="66">
        <f t="shared" ref="AK113:AK115" si="346">AR113*$AK$3</f>
        <v>0</v>
      </c>
      <c r="AL113" s="68">
        <v>1250.0</v>
      </c>
      <c r="AM113" s="66">
        <f t="shared" ref="AM113:AM115" si="347">AF113*$AM$3</f>
        <v>0</v>
      </c>
      <c r="AN113" s="69">
        <f t="shared" ref="AN113:AN115" si="348">(R113*AG113)+AH113+AI113+AJ113+AK113+AL113+AM113</f>
        <v>1250</v>
      </c>
      <c r="AO113" s="70" t="str">
        <f t="shared" ref="AO113:AO115" si="349">AP113/AQ113</f>
        <v>#DIV/0!</v>
      </c>
      <c r="AP113" s="71">
        <f t="shared" ref="AP113:AP115" si="350">AQ113-AN113</f>
        <v>-1250</v>
      </c>
      <c r="AQ113" s="66">
        <f t="shared" ref="AQ113:AQ115" si="351">AR113/$O$4</f>
        <v>0</v>
      </c>
      <c r="AR113" s="78"/>
      <c r="AS113" s="73" t="str">
        <f t="shared" ref="AS113:AS115" si="352">AR113/AG113</f>
        <v>#DIV/0!</v>
      </c>
    </row>
    <row r="114">
      <c r="A114" s="104" t="s">
        <v>138</v>
      </c>
      <c r="B114" s="66">
        <f>B99*5+B13</f>
        <v>33200</v>
      </c>
      <c r="C114" s="65">
        <f t="shared" si="321"/>
        <v>29880</v>
      </c>
      <c r="D114" s="66">
        <f t="shared" si="322"/>
        <v>26918.91892</v>
      </c>
      <c r="E114" s="124">
        <v>1.0</v>
      </c>
      <c r="F114" s="66">
        <f t="shared" si="323"/>
        <v>5429</v>
      </c>
      <c r="G114" s="66">
        <f t="shared" si="324"/>
        <v>2670</v>
      </c>
      <c r="H114" s="66">
        <f t="shared" si="325"/>
        <v>801</v>
      </c>
      <c r="I114" s="66">
        <f t="shared" si="326"/>
        <v>2002.5</v>
      </c>
      <c r="J114" s="68">
        <v>1250.0</v>
      </c>
      <c r="K114" s="66">
        <f t="shared" si="327"/>
        <v>1345.945946</v>
      </c>
      <c r="L114" s="69">
        <f t="shared" si="328"/>
        <v>40417.36486</v>
      </c>
      <c r="M114" s="70">
        <f t="shared" si="329"/>
        <v>-0.008163483146</v>
      </c>
      <c r="N114" s="71">
        <f t="shared" si="330"/>
        <v>-327.2747748</v>
      </c>
      <c r="O114" s="66">
        <f t="shared" si="331"/>
        <v>40090.09009</v>
      </c>
      <c r="P114" s="78">
        <v>44500.0</v>
      </c>
      <c r="Q114" s="73">
        <f t="shared" si="332"/>
        <v>44500</v>
      </c>
      <c r="R114" s="74"/>
      <c r="S114" s="75"/>
      <c r="T114" s="66">
        <f t="shared" si="333"/>
        <v>0</v>
      </c>
      <c r="U114" s="66">
        <f t="shared" si="334"/>
        <v>0</v>
      </c>
      <c r="V114" s="66">
        <f t="shared" si="335"/>
        <v>0</v>
      </c>
      <c r="W114" s="66">
        <f t="shared" si="336"/>
        <v>0</v>
      </c>
      <c r="X114" s="68">
        <v>1250.0</v>
      </c>
      <c r="Y114" s="66">
        <f t="shared" si="337"/>
        <v>0</v>
      </c>
      <c r="Z114" s="69">
        <f t="shared" si="338"/>
        <v>1250</v>
      </c>
      <c r="AA114" s="70" t="str">
        <f t="shared" si="339"/>
        <v>#DIV/0!</v>
      </c>
      <c r="AB114" s="71">
        <f t="shared" si="340"/>
        <v>-1250</v>
      </c>
      <c r="AC114" s="66">
        <f t="shared" si="341"/>
        <v>0</v>
      </c>
      <c r="AD114" s="78"/>
      <c r="AE114" s="73" t="str">
        <f t="shared" si="342"/>
        <v>#DIV/0!</v>
      </c>
      <c r="AF114" s="76"/>
      <c r="AG114" s="75"/>
      <c r="AH114" s="66">
        <f t="shared" si="343"/>
        <v>0</v>
      </c>
      <c r="AI114" s="66">
        <f t="shared" si="344"/>
        <v>0</v>
      </c>
      <c r="AJ114" s="66">
        <f t="shared" si="345"/>
        <v>0</v>
      </c>
      <c r="AK114" s="66">
        <f t="shared" si="346"/>
        <v>0</v>
      </c>
      <c r="AL114" s="68">
        <v>1250.0</v>
      </c>
      <c r="AM114" s="66">
        <f t="shared" si="347"/>
        <v>0</v>
      </c>
      <c r="AN114" s="69">
        <f t="shared" si="348"/>
        <v>1250</v>
      </c>
      <c r="AO114" s="70" t="str">
        <f t="shared" si="349"/>
        <v>#DIV/0!</v>
      </c>
      <c r="AP114" s="71">
        <f t="shared" si="350"/>
        <v>-1250</v>
      </c>
      <c r="AQ114" s="66">
        <f t="shared" si="351"/>
        <v>0</v>
      </c>
      <c r="AR114" s="78"/>
      <c r="AS114" s="73" t="str">
        <f t="shared" si="352"/>
        <v>#DIV/0!</v>
      </c>
    </row>
    <row r="115">
      <c r="A115" s="104" t="s">
        <v>139</v>
      </c>
      <c r="B115" s="66">
        <f>B100*4+B13</f>
        <v>39700</v>
      </c>
      <c r="C115" s="65">
        <f t="shared" si="321"/>
        <v>35730</v>
      </c>
      <c r="D115" s="66">
        <f t="shared" si="322"/>
        <v>32189.18919</v>
      </c>
      <c r="E115" s="124">
        <v>1.0</v>
      </c>
      <c r="F115" s="66">
        <f t="shared" si="323"/>
        <v>6344</v>
      </c>
      <c r="G115" s="66">
        <f t="shared" si="324"/>
        <v>3120</v>
      </c>
      <c r="H115" s="66">
        <f t="shared" si="325"/>
        <v>936</v>
      </c>
      <c r="I115" s="66">
        <f t="shared" si="326"/>
        <v>2340</v>
      </c>
      <c r="J115" s="68">
        <v>1250.0</v>
      </c>
      <c r="K115" s="66">
        <f t="shared" si="327"/>
        <v>1609.459459</v>
      </c>
      <c r="L115" s="69">
        <f t="shared" si="328"/>
        <v>47788.64865</v>
      </c>
      <c r="M115" s="70">
        <f t="shared" si="329"/>
        <v>-0.02010384615</v>
      </c>
      <c r="N115" s="71">
        <f t="shared" si="330"/>
        <v>-941.8018018</v>
      </c>
      <c r="O115" s="66">
        <f t="shared" si="331"/>
        <v>46846.84685</v>
      </c>
      <c r="P115" s="78">
        <v>52000.0</v>
      </c>
      <c r="Q115" s="73">
        <f t="shared" si="332"/>
        <v>52000</v>
      </c>
      <c r="R115" s="74"/>
      <c r="S115" s="75"/>
      <c r="T115" s="66">
        <f t="shared" si="333"/>
        <v>0</v>
      </c>
      <c r="U115" s="66">
        <f t="shared" si="334"/>
        <v>0</v>
      </c>
      <c r="V115" s="66">
        <f t="shared" si="335"/>
        <v>0</v>
      </c>
      <c r="W115" s="66">
        <f t="shared" si="336"/>
        <v>0</v>
      </c>
      <c r="X115" s="68">
        <v>1250.0</v>
      </c>
      <c r="Y115" s="66">
        <f t="shared" si="337"/>
        <v>0</v>
      </c>
      <c r="Z115" s="69">
        <f t="shared" si="338"/>
        <v>1250</v>
      </c>
      <c r="AA115" s="70" t="str">
        <f t="shared" si="339"/>
        <v>#DIV/0!</v>
      </c>
      <c r="AB115" s="71">
        <f t="shared" si="340"/>
        <v>-1250</v>
      </c>
      <c r="AC115" s="66">
        <f t="shared" si="341"/>
        <v>0</v>
      </c>
      <c r="AD115" s="78"/>
      <c r="AE115" s="73" t="str">
        <f t="shared" si="342"/>
        <v>#DIV/0!</v>
      </c>
      <c r="AF115" s="76"/>
      <c r="AG115" s="75"/>
      <c r="AH115" s="66">
        <f t="shared" si="343"/>
        <v>0</v>
      </c>
      <c r="AI115" s="66">
        <f t="shared" si="344"/>
        <v>0</v>
      </c>
      <c r="AJ115" s="66">
        <f t="shared" si="345"/>
        <v>0</v>
      </c>
      <c r="AK115" s="66">
        <f t="shared" si="346"/>
        <v>0</v>
      </c>
      <c r="AL115" s="68">
        <v>1250.0</v>
      </c>
      <c r="AM115" s="66">
        <f t="shared" si="347"/>
        <v>0</v>
      </c>
      <c r="AN115" s="69">
        <f t="shared" si="348"/>
        <v>1250</v>
      </c>
      <c r="AO115" s="70" t="str">
        <f t="shared" si="349"/>
        <v>#DIV/0!</v>
      </c>
      <c r="AP115" s="71">
        <f t="shared" si="350"/>
        <v>-1250</v>
      </c>
      <c r="AQ115" s="66">
        <f t="shared" si="351"/>
        <v>0</v>
      </c>
      <c r="AR115" s="78"/>
      <c r="AS115" s="73" t="str">
        <f t="shared" si="352"/>
        <v>#DIV/0!</v>
      </c>
    </row>
    <row r="116">
      <c r="A116" s="105"/>
      <c r="C116" s="65">
        <f t="shared" si="321"/>
        <v>0</v>
      </c>
      <c r="D116" s="66">
        <f t="shared" si="322"/>
        <v>0</v>
      </c>
      <c r="E116" s="151"/>
      <c r="F116" s="66">
        <f t="shared" si="323"/>
        <v>0</v>
      </c>
      <c r="G116" s="66">
        <f t="shared" si="324"/>
        <v>0</v>
      </c>
      <c r="H116" s="66">
        <f t="shared" si="325"/>
        <v>0</v>
      </c>
      <c r="I116" s="66">
        <f t="shared" si="326"/>
        <v>0</v>
      </c>
      <c r="J116" s="68">
        <v>1250.0</v>
      </c>
      <c r="K116" s="66">
        <f t="shared" si="327"/>
        <v>0</v>
      </c>
      <c r="L116" s="69">
        <f t="shared" si="328"/>
        <v>1250</v>
      </c>
      <c r="M116" s="70" t="str">
        <f t="shared" si="329"/>
        <v>#DIV/0!</v>
      </c>
      <c r="N116" s="71">
        <f t="shared" si="330"/>
        <v>-1250</v>
      </c>
      <c r="O116" s="66">
        <f t="shared" si="331"/>
        <v>0</v>
      </c>
      <c r="P116" s="152"/>
      <c r="Q116" s="73" t="str">
        <f t="shared" si="332"/>
        <v>#DIV/0!</v>
      </c>
      <c r="R116" s="74"/>
      <c r="S116" s="112"/>
      <c r="AF116" s="76"/>
    </row>
    <row r="117">
      <c r="A117" s="153"/>
      <c r="C117" s="133"/>
      <c r="D117" s="123"/>
      <c r="E117" s="124"/>
      <c r="F117" s="66">
        <f t="shared" si="323"/>
        <v>0</v>
      </c>
      <c r="G117" s="66">
        <f t="shared" si="324"/>
        <v>0</v>
      </c>
      <c r="H117" s="66">
        <f t="shared" si="325"/>
        <v>0</v>
      </c>
      <c r="I117" s="66">
        <f t="shared" si="326"/>
        <v>0</v>
      </c>
      <c r="J117" s="68">
        <v>1250.0</v>
      </c>
      <c r="K117" s="66">
        <f t="shared" si="327"/>
        <v>0</v>
      </c>
      <c r="L117" s="69">
        <f t="shared" si="328"/>
        <v>1250</v>
      </c>
      <c r="M117" s="70" t="str">
        <f t="shared" si="329"/>
        <v>#DIV/0!</v>
      </c>
      <c r="N117" s="71">
        <f t="shared" si="330"/>
        <v>-1250</v>
      </c>
      <c r="O117" s="66">
        <f t="shared" si="331"/>
        <v>0</v>
      </c>
      <c r="P117" s="152"/>
      <c r="Q117" s="73" t="str">
        <f t="shared" si="332"/>
        <v>#DIV/0!</v>
      </c>
      <c r="R117" s="74"/>
      <c r="S117" s="112"/>
      <c r="AF117" s="76"/>
    </row>
    <row r="118">
      <c r="A118" s="154" t="s">
        <v>140</v>
      </c>
      <c r="B118" s="141"/>
      <c r="C118" s="155">
        <f t="shared" ref="C118:C124" si="353">B118*$C$4</f>
        <v>0</v>
      </c>
      <c r="D118" s="156"/>
      <c r="E118" s="157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74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76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A118" s="141"/>
      <c r="BB118" s="141"/>
      <c r="BC118" s="141"/>
    </row>
    <row r="119">
      <c r="A119" s="104" t="s">
        <v>141</v>
      </c>
      <c r="B119" s="65">
        <v>1900.0</v>
      </c>
      <c r="C119" s="65">
        <f t="shared" si="353"/>
        <v>1710</v>
      </c>
      <c r="D119" s="66">
        <f t="shared" ref="D119:D124" si="354">C119/$D$4</f>
        <v>1540.540541</v>
      </c>
      <c r="E119" s="124">
        <v>1.0</v>
      </c>
      <c r="F119" s="66">
        <f t="shared" ref="F119:F124" si="355">P119*$F$3</f>
        <v>1098</v>
      </c>
      <c r="G119" s="66">
        <f t="shared" ref="G119:G124" si="356">P119*$G$3</f>
        <v>540</v>
      </c>
      <c r="H119" s="66">
        <f t="shared" ref="H119:H124" si="357">P119*$H$3</f>
        <v>162</v>
      </c>
      <c r="I119" s="66">
        <f t="shared" ref="I119:I124" si="358">P119*$I$3</f>
        <v>405</v>
      </c>
      <c r="J119" s="68">
        <v>1250.0</v>
      </c>
      <c r="K119" s="66">
        <f t="shared" ref="K119:K124" si="359">D119*$K$3</f>
        <v>77.02702703</v>
      </c>
      <c r="L119" s="69">
        <f t="shared" ref="L119:L124" si="360">(D119*E119)+F119+G119+H119+I119+J119+K119</f>
        <v>5072.567568</v>
      </c>
      <c r="M119" s="70">
        <f t="shared" ref="M119:M124" si="361">N119/O119</f>
        <v>0.3743833333</v>
      </c>
      <c r="N119" s="71">
        <f t="shared" ref="N119:N124" si="362">O119-L119</f>
        <v>3035.540541</v>
      </c>
      <c r="O119" s="66">
        <f t="shared" ref="O119:O124" si="363">P119/$O$4</f>
        <v>8108.108108</v>
      </c>
      <c r="P119" s="78">
        <v>9000.0</v>
      </c>
      <c r="Q119" s="73">
        <f t="shared" ref="Q119:Q124" si="364">P119/E119</f>
        <v>9000</v>
      </c>
      <c r="R119" s="74"/>
      <c r="S119" s="112"/>
      <c r="AF119" s="76"/>
    </row>
    <row r="120">
      <c r="A120" s="104" t="s">
        <v>142</v>
      </c>
      <c r="B120" s="65">
        <v>2800.0</v>
      </c>
      <c r="C120" s="65">
        <f t="shared" si="353"/>
        <v>2520</v>
      </c>
      <c r="D120" s="66">
        <f t="shared" si="354"/>
        <v>2270.27027</v>
      </c>
      <c r="E120" s="124">
        <v>1.0</v>
      </c>
      <c r="F120" s="66">
        <f t="shared" si="355"/>
        <v>1464</v>
      </c>
      <c r="G120" s="66">
        <f t="shared" si="356"/>
        <v>720</v>
      </c>
      <c r="H120" s="66">
        <f t="shared" si="357"/>
        <v>216</v>
      </c>
      <c r="I120" s="66">
        <f t="shared" si="358"/>
        <v>540</v>
      </c>
      <c r="J120" s="68">
        <v>1250.0</v>
      </c>
      <c r="K120" s="66">
        <f t="shared" si="359"/>
        <v>113.5135135</v>
      </c>
      <c r="L120" s="69">
        <f t="shared" si="360"/>
        <v>6573.783784</v>
      </c>
      <c r="M120" s="70">
        <f t="shared" si="361"/>
        <v>0.391925</v>
      </c>
      <c r="N120" s="71">
        <f t="shared" si="362"/>
        <v>4237.027027</v>
      </c>
      <c r="O120" s="66">
        <f t="shared" si="363"/>
        <v>10810.81081</v>
      </c>
      <c r="P120" s="78">
        <v>12000.0</v>
      </c>
      <c r="Q120" s="73">
        <f t="shared" si="364"/>
        <v>12000</v>
      </c>
      <c r="R120" s="74"/>
      <c r="S120" s="112"/>
      <c r="AF120" s="76"/>
    </row>
    <row r="121">
      <c r="A121" s="104" t="s">
        <v>143</v>
      </c>
      <c r="B121" s="65">
        <v>6840.0</v>
      </c>
      <c r="C121" s="65">
        <f t="shared" si="353"/>
        <v>6156</v>
      </c>
      <c r="D121" s="66">
        <f t="shared" si="354"/>
        <v>5545.945946</v>
      </c>
      <c r="E121" s="124">
        <v>1.0</v>
      </c>
      <c r="F121" s="66">
        <f t="shared" si="355"/>
        <v>2806</v>
      </c>
      <c r="G121" s="66">
        <f t="shared" si="356"/>
        <v>1380</v>
      </c>
      <c r="H121" s="66">
        <f t="shared" si="357"/>
        <v>414</v>
      </c>
      <c r="I121" s="66">
        <f t="shared" si="358"/>
        <v>1035</v>
      </c>
      <c r="J121" s="68">
        <v>1250.0</v>
      </c>
      <c r="K121" s="66">
        <f t="shared" si="359"/>
        <v>277.2972973</v>
      </c>
      <c r="L121" s="69">
        <f t="shared" si="360"/>
        <v>12708.24324</v>
      </c>
      <c r="M121" s="70">
        <f t="shared" si="361"/>
        <v>0.3866891304</v>
      </c>
      <c r="N121" s="71">
        <f t="shared" si="362"/>
        <v>8012.477477</v>
      </c>
      <c r="O121" s="66">
        <f t="shared" si="363"/>
        <v>20720.72072</v>
      </c>
      <c r="P121" s="78">
        <v>23000.0</v>
      </c>
      <c r="Q121" s="73">
        <f t="shared" si="364"/>
        <v>23000</v>
      </c>
      <c r="R121" s="74"/>
      <c r="S121" s="112"/>
      <c r="AF121" s="76"/>
    </row>
    <row r="122">
      <c r="A122" s="104" t="s">
        <v>144</v>
      </c>
      <c r="B122" s="65">
        <v>8400.0</v>
      </c>
      <c r="C122" s="65">
        <f t="shared" si="353"/>
        <v>7560</v>
      </c>
      <c r="D122" s="66">
        <f t="shared" si="354"/>
        <v>6810.810811</v>
      </c>
      <c r="E122" s="124">
        <v>1.0</v>
      </c>
      <c r="F122" s="66">
        <f t="shared" si="355"/>
        <v>3660</v>
      </c>
      <c r="G122" s="66">
        <f t="shared" si="356"/>
        <v>1800</v>
      </c>
      <c r="H122" s="66">
        <f t="shared" si="357"/>
        <v>540</v>
      </c>
      <c r="I122" s="66">
        <f t="shared" si="358"/>
        <v>1350</v>
      </c>
      <c r="J122" s="68">
        <v>1250.0</v>
      </c>
      <c r="K122" s="66">
        <f t="shared" si="359"/>
        <v>340.5405405</v>
      </c>
      <c r="L122" s="69">
        <f t="shared" si="360"/>
        <v>15751.35135</v>
      </c>
      <c r="M122" s="70">
        <f t="shared" si="361"/>
        <v>0.4172</v>
      </c>
      <c r="N122" s="71">
        <f t="shared" si="362"/>
        <v>11275.67568</v>
      </c>
      <c r="O122" s="66">
        <f t="shared" si="363"/>
        <v>27027.02703</v>
      </c>
      <c r="P122" s="78">
        <v>30000.0</v>
      </c>
      <c r="Q122" s="73">
        <f t="shared" si="364"/>
        <v>30000</v>
      </c>
      <c r="R122" s="74"/>
      <c r="S122" s="112"/>
      <c r="AF122" s="76"/>
    </row>
    <row r="123">
      <c r="A123" s="104" t="s">
        <v>145</v>
      </c>
      <c r="B123" s="65">
        <v>9940.0</v>
      </c>
      <c r="C123" s="65">
        <f t="shared" si="353"/>
        <v>8946</v>
      </c>
      <c r="D123" s="66">
        <f t="shared" si="354"/>
        <v>8059.459459</v>
      </c>
      <c r="E123" s="124">
        <v>1.0</v>
      </c>
      <c r="F123" s="66">
        <f t="shared" si="355"/>
        <v>1769</v>
      </c>
      <c r="G123" s="66">
        <f t="shared" si="356"/>
        <v>870</v>
      </c>
      <c r="H123" s="66">
        <f t="shared" si="357"/>
        <v>261</v>
      </c>
      <c r="I123" s="66">
        <f t="shared" si="358"/>
        <v>652.5</v>
      </c>
      <c r="J123" s="68">
        <v>1250.0</v>
      </c>
      <c r="K123" s="66">
        <f t="shared" si="359"/>
        <v>402.972973</v>
      </c>
      <c r="L123" s="69">
        <f t="shared" si="360"/>
        <v>13264.93243</v>
      </c>
      <c r="M123" s="70">
        <f t="shared" si="361"/>
        <v>-0.01545344828</v>
      </c>
      <c r="N123" s="71">
        <f t="shared" si="362"/>
        <v>-201.8693694</v>
      </c>
      <c r="O123" s="66">
        <f t="shared" si="363"/>
        <v>13063.06306</v>
      </c>
      <c r="P123" s="78">
        <v>14500.0</v>
      </c>
      <c r="Q123" s="73">
        <f t="shared" si="364"/>
        <v>14500</v>
      </c>
      <c r="R123" s="74"/>
      <c r="S123" s="112"/>
      <c r="AF123" s="76"/>
    </row>
    <row r="124">
      <c r="A124" s="104" t="s">
        <v>146</v>
      </c>
      <c r="B124" s="65">
        <v>27999.0</v>
      </c>
      <c r="C124" s="65">
        <f t="shared" si="353"/>
        <v>25199.1</v>
      </c>
      <c r="D124" s="66">
        <f t="shared" si="354"/>
        <v>22701.89189</v>
      </c>
      <c r="E124" s="124">
        <v>1.0</v>
      </c>
      <c r="F124" s="66">
        <f t="shared" si="355"/>
        <v>5246</v>
      </c>
      <c r="G124" s="66">
        <f t="shared" si="356"/>
        <v>2580</v>
      </c>
      <c r="H124" s="66">
        <f t="shared" si="357"/>
        <v>774</v>
      </c>
      <c r="I124" s="66">
        <f t="shared" si="358"/>
        <v>1935</v>
      </c>
      <c r="J124" s="68">
        <v>1250.0</v>
      </c>
      <c r="K124" s="66">
        <f t="shared" si="359"/>
        <v>1135.094595</v>
      </c>
      <c r="L124" s="69">
        <f t="shared" si="360"/>
        <v>35621.98649</v>
      </c>
      <c r="M124" s="70">
        <f t="shared" si="361"/>
        <v>0.08045569767</v>
      </c>
      <c r="N124" s="71">
        <f t="shared" si="362"/>
        <v>3116.752252</v>
      </c>
      <c r="O124" s="66">
        <f t="shared" si="363"/>
        <v>38738.73874</v>
      </c>
      <c r="P124" s="78">
        <v>43000.0</v>
      </c>
      <c r="Q124" s="73">
        <f t="shared" si="364"/>
        <v>43000</v>
      </c>
      <c r="R124" s="74"/>
      <c r="S124" s="112"/>
      <c r="AF124" s="76"/>
    </row>
    <row r="125">
      <c r="A125" s="153"/>
      <c r="C125" s="133"/>
      <c r="D125" s="123"/>
      <c r="E125" s="124"/>
      <c r="L125" s="125"/>
      <c r="N125" s="126"/>
      <c r="P125" s="127"/>
      <c r="Q125" s="128"/>
      <c r="R125" s="74"/>
      <c r="S125" s="112"/>
      <c r="AF125" s="76"/>
    </row>
    <row r="126" hidden="1">
      <c r="A126" s="153"/>
      <c r="C126" s="133"/>
      <c r="D126" s="123"/>
      <c r="E126" s="124"/>
      <c r="L126" s="125"/>
      <c r="N126" s="126"/>
      <c r="P126" s="127"/>
      <c r="Q126" s="128"/>
      <c r="R126" s="74"/>
      <c r="AF126" s="76"/>
    </row>
    <row r="127" hidden="1">
      <c r="A127" s="153"/>
      <c r="C127" s="133"/>
      <c r="D127" s="123"/>
      <c r="E127" s="124"/>
      <c r="L127" s="125"/>
      <c r="N127" s="126"/>
      <c r="P127" s="127"/>
      <c r="Q127" s="128"/>
      <c r="R127" s="74"/>
      <c r="AF127" s="76"/>
    </row>
    <row r="128" hidden="1">
      <c r="A128" s="153"/>
      <c r="C128" s="133"/>
      <c r="D128" s="123"/>
      <c r="E128" s="124"/>
      <c r="L128" s="125"/>
      <c r="N128" s="126"/>
      <c r="P128" s="127"/>
      <c r="Q128" s="128"/>
      <c r="R128" s="74"/>
      <c r="AF128" s="76"/>
    </row>
    <row r="129" hidden="1">
      <c r="A129" s="153"/>
      <c r="C129" s="133"/>
      <c r="D129" s="123"/>
      <c r="E129" s="124"/>
      <c r="L129" s="125"/>
      <c r="N129" s="126"/>
      <c r="P129" s="127"/>
      <c r="Q129" s="128"/>
      <c r="R129" s="74"/>
      <c r="AF129" s="76"/>
    </row>
    <row r="130" hidden="1">
      <c r="A130" s="153"/>
      <c r="C130" s="133"/>
      <c r="D130" s="123"/>
      <c r="E130" s="124"/>
      <c r="L130" s="125"/>
      <c r="N130" s="126"/>
      <c r="P130" s="127"/>
      <c r="Q130" s="128"/>
      <c r="R130" s="74"/>
      <c r="AF130" s="76"/>
    </row>
    <row r="131" hidden="1">
      <c r="A131" s="153"/>
      <c r="C131" s="133"/>
      <c r="D131" s="123"/>
      <c r="E131" s="124"/>
      <c r="L131" s="125"/>
      <c r="N131" s="126"/>
      <c r="P131" s="127"/>
      <c r="Q131" s="128"/>
      <c r="R131" s="74"/>
      <c r="AF131" s="76"/>
    </row>
    <row r="132">
      <c r="A132" s="1" t="s">
        <v>0</v>
      </c>
      <c r="B132" s="2" t="s">
        <v>1</v>
      </c>
      <c r="C132" s="158" t="s">
        <v>147</v>
      </c>
      <c r="D132" s="158" t="s">
        <v>147</v>
      </c>
      <c r="E132" s="3" t="s">
        <v>3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6"/>
      <c r="S132" s="7" t="s">
        <v>4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8"/>
      <c r="AG132" s="9" t="s">
        <v>5</v>
      </c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1"/>
      <c r="AU132" s="10"/>
      <c r="AV132" s="10"/>
      <c r="AW132" s="10"/>
      <c r="AX132" s="10"/>
      <c r="AY132" s="10"/>
      <c r="AZ132" s="10"/>
      <c r="BA132" s="10"/>
      <c r="BB132" s="10"/>
      <c r="BC132" s="12"/>
    </row>
    <row r="133">
      <c r="A133" s="13"/>
      <c r="B133" s="13"/>
      <c r="C133" s="14"/>
      <c r="D133" s="14"/>
      <c r="E133" s="15" t="s">
        <v>6</v>
      </c>
      <c r="F133" s="16" t="s">
        <v>7</v>
      </c>
      <c r="G133" s="4"/>
      <c r="H133" s="4"/>
      <c r="I133" s="5"/>
      <c r="J133" s="17" t="s">
        <v>8</v>
      </c>
      <c r="K133" s="17" t="s">
        <v>9</v>
      </c>
      <c r="L133" s="18" t="s">
        <v>10</v>
      </c>
      <c r="M133" s="19" t="s">
        <v>11</v>
      </c>
      <c r="N133" s="20" t="s">
        <v>12</v>
      </c>
      <c r="O133" s="3" t="s">
        <v>13</v>
      </c>
      <c r="P133" s="5"/>
      <c r="Q133" s="21" t="s">
        <v>14</v>
      </c>
      <c r="R133" s="22"/>
      <c r="S133" s="23" t="s">
        <v>15</v>
      </c>
      <c r="T133" s="24" t="s">
        <v>7</v>
      </c>
      <c r="U133" s="4"/>
      <c r="V133" s="4"/>
      <c r="W133" s="5"/>
      <c r="X133" s="25" t="s">
        <v>8</v>
      </c>
      <c r="Y133" s="25" t="s">
        <v>9</v>
      </c>
      <c r="Z133" s="26" t="s">
        <v>10</v>
      </c>
      <c r="AA133" s="37" t="s">
        <v>148</v>
      </c>
      <c r="AB133" s="28" t="s">
        <v>12</v>
      </c>
      <c r="AC133" s="29" t="s">
        <v>17</v>
      </c>
      <c r="AD133" s="5"/>
      <c r="AE133" s="159" t="s">
        <v>18</v>
      </c>
      <c r="AF133" s="31"/>
      <c r="AG133" s="32" t="s">
        <v>19</v>
      </c>
      <c r="AH133" s="24" t="s">
        <v>7</v>
      </c>
      <c r="AI133" s="4"/>
      <c r="AJ133" s="4"/>
      <c r="AK133" s="5"/>
      <c r="AL133" s="25" t="s">
        <v>8</v>
      </c>
      <c r="AM133" s="25" t="s">
        <v>9</v>
      </c>
      <c r="AN133" s="33" t="s">
        <v>10</v>
      </c>
      <c r="AO133" s="37" t="s">
        <v>148</v>
      </c>
      <c r="AP133" s="34" t="s">
        <v>12</v>
      </c>
      <c r="AQ133" s="35" t="s">
        <v>13</v>
      </c>
      <c r="AR133" s="5"/>
      <c r="AS133" s="160" t="s">
        <v>21</v>
      </c>
      <c r="AT133" s="32" t="s">
        <v>22</v>
      </c>
      <c r="AU133" s="25" t="s">
        <v>7</v>
      </c>
      <c r="AV133" s="25" t="s">
        <v>8</v>
      </c>
      <c r="AW133" s="25" t="s">
        <v>9</v>
      </c>
      <c r="AX133" s="33" t="s">
        <v>10</v>
      </c>
      <c r="AY133" s="37" t="s">
        <v>23</v>
      </c>
      <c r="AZ133" s="34" t="s">
        <v>12</v>
      </c>
      <c r="BA133" s="35" t="s">
        <v>13</v>
      </c>
      <c r="BB133" s="5"/>
      <c r="BC133" s="38" t="s">
        <v>24</v>
      </c>
    </row>
    <row r="134">
      <c r="A134" s="39"/>
      <c r="B134" s="40"/>
      <c r="C134" s="40" t="s">
        <v>25</v>
      </c>
      <c r="D134" s="40" t="s">
        <v>26</v>
      </c>
      <c r="E134" s="39"/>
      <c r="F134" s="41">
        <v>0.102</v>
      </c>
      <c r="G134" s="42">
        <v>0.06</v>
      </c>
      <c r="H134" s="41">
        <v>0.045</v>
      </c>
      <c r="I134" s="41">
        <v>0.018</v>
      </c>
      <c r="J134" s="43">
        <v>1250.0</v>
      </c>
      <c r="K134" s="42">
        <v>0.05</v>
      </c>
      <c r="L134" s="44" t="s">
        <v>26</v>
      </c>
      <c r="M134" s="41">
        <v>0.025</v>
      </c>
      <c r="N134" s="39"/>
      <c r="O134" s="44" t="s">
        <v>26</v>
      </c>
      <c r="P134" s="45" t="s">
        <v>27</v>
      </c>
      <c r="Q134" s="39"/>
      <c r="R134" s="46"/>
      <c r="S134" s="39"/>
      <c r="T134" s="41">
        <v>0.117</v>
      </c>
      <c r="U134" s="41">
        <v>0.06</v>
      </c>
      <c r="V134" s="41">
        <v>0.045</v>
      </c>
      <c r="W134" s="41">
        <v>0.018</v>
      </c>
      <c r="X134" s="47"/>
      <c r="Y134" s="42">
        <v>0.05</v>
      </c>
      <c r="Z134" s="48" t="s">
        <v>26</v>
      </c>
      <c r="AA134" s="39"/>
      <c r="AB134" s="39"/>
      <c r="AC134" s="49" t="s">
        <v>26</v>
      </c>
      <c r="AD134" s="50" t="s">
        <v>25</v>
      </c>
      <c r="AE134" s="51"/>
      <c r="AF134" s="31"/>
      <c r="AG134" s="39"/>
      <c r="AH134" s="41">
        <v>0.117</v>
      </c>
      <c r="AI134" s="41">
        <v>0.06</v>
      </c>
      <c r="AJ134" s="41">
        <v>0.045</v>
      </c>
      <c r="AK134" s="41">
        <v>0.018</v>
      </c>
      <c r="AL134" s="47"/>
      <c r="AM134" s="42">
        <v>0.05</v>
      </c>
      <c r="AN134" s="52" t="s">
        <v>26</v>
      </c>
      <c r="AO134" s="39"/>
      <c r="AP134" s="39"/>
      <c r="AQ134" s="53" t="s">
        <v>26</v>
      </c>
      <c r="AR134" s="54" t="s">
        <v>25</v>
      </c>
      <c r="AS134" s="51"/>
      <c r="AT134" s="39"/>
      <c r="AU134" s="55">
        <v>0.17</v>
      </c>
      <c r="AV134" s="47"/>
      <c r="AW134" s="55">
        <v>0.04</v>
      </c>
      <c r="AX134" s="52" t="s">
        <v>26</v>
      </c>
      <c r="AY134" s="39"/>
      <c r="AZ134" s="39"/>
      <c r="BA134" s="53" t="s">
        <v>26</v>
      </c>
      <c r="BB134" s="54" t="s">
        <v>25</v>
      </c>
      <c r="BC134" s="39"/>
    </row>
    <row r="135">
      <c r="A135" s="161" t="s">
        <v>149</v>
      </c>
      <c r="B135" s="162"/>
      <c r="C135" s="163"/>
      <c r="D135" s="164"/>
      <c r="E135" s="165"/>
      <c r="F135" s="164"/>
      <c r="G135" s="164"/>
      <c r="H135" s="164"/>
      <c r="I135" s="164"/>
      <c r="J135" s="166"/>
      <c r="K135" s="164"/>
      <c r="L135" s="164"/>
      <c r="M135" s="167"/>
      <c r="N135" s="164"/>
      <c r="O135" s="164"/>
      <c r="P135" s="166"/>
      <c r="Q135" s="164"/>
      <c r="R135" s="74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76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  <c r="AS135" s="162"/>
      <c r="AT135" s="162"/>
      <c r="AU135" s="162"/>
      <c r="AV135" s="162"/>
      <c r="AW135" s="162"/>
      <c r="AX135" s="162"/>
      <c r="AY135" s="162"/>
      <c r="AZ135" s="162"/>
      <c r="BA135" s="162"/>
      <c r="BB135" s="162"/>
      <c r="BC135" s="162"/>
    </row>
    <row r="136">
      <c r="A136" s="104" t="s">
        <v>150</v>
      </c>
      <c r="B136" s="68">
        <v>8000.0</v>
      </c>
      <c r="C136" s="65">
        <f t="shared" ref="C136:C139" si="365">B136*$C$4</f>
        <v>7200</v>
      </c>
      <c r="D136" s="66">
        <f t="shared" ref="D136:D139" si="366">C136/$D$4</f>
        <v>6486.486486</v>
      </c>
      <c r="E136" s="124">
        <v>1.0</v>
      </c>
      <c r="F136" s="66">
        <f t="shared" ref="F136:F139" si="367">P136*$F$134</f>
        <v>1377</v>
      </c>
      <c r="G136" s="66">
        <f t="shared" ref="G136:G139" si="368">P136*$G$134</f>
        <v>810</v>
      </c>
      <c r="H136" s="66">
        <f t="shared" ref="H136:H138" si="369">P136*$H$134</f>
        <v>607.5</v>
      </c>
      <c r="I136" s="66">
        <f t="shared" ref="I136:I139" si="370">P136*$I$134</f>
        <v>243</v>
      </c>
      <c r="J136" s="68">
        <v>1250.0</v>
      </c>
      <c r="K136" s="66">
        <f t="shared" ref="K136:K139" si="371">D136*$K$134</f>
        <v>324.3243243</v>
      </c>
      <c r="L136" s="69">
        <f t="shared" ref="L136:L139" si="372">(D136*E136)+F136+G136+H136+I136+J136+K136</f>
        <v>11098.31081</v>
      </c>
      <c r="M136" s="70">
        <f t="shared" ref="M136:M139" si="373">N136/O136</f>
        <v>0.08747222222</v>
      </c>
      <c r="N136" s="71">
        <f t="shared" ref="N136:N139" si="374">O136-L136</f>
        <v>1063.851351</v>
      </c>
      <c r="O136" s="66">
        <f t="shared" ref="O136:O139" si="375">P136/$O$4</f>
        <v>12162.16216</v>
      </c>
      <c r="P136" s="78">
        <v>13500.0</v>
      </c>
      <c r="Q136" s="73">
        <f t="shared" ref="Q136:Q139" si="376">P136/E136</f>
        <v>13500</v>
      </c>
      <c r="R136" s="74"/>
      <c r="S136" s="112"/>
      <c r="AF136" s="76"/>
    </row>
    <row r="137">
      <c r="A137" s="104" t="s">
        <v>151</v>
      </c>
      <c r="B137" s="68">
        <v>8000.0</v>
      </c>
      <c r="C137" s="65">
        <f t="shared" si="365"/>
        <v>7200</v>
      </c>
      <c r="D137" s="66">
        <f t="shared" si="366"/>
        <v>6486.486486</v>
      </c>
      <c r="E137" s="124">
        <v>1.0</v>
      </c>
      <c r="F137" s="66">
        <f t="shared" si="367"/>
        <v>1479</v>
      </c>
      <c r="G137" s="66">
        <f t="shared" si="368"/>
        <v>870</v>
      </c>
      <c r="H137" s="66">
        <f t="shared" si="369"/>
        <v>652.5</v>
      </c>
      <c r="I137" s="66">
        <f t="shared" si="370"/>
        <v>261</v>
      </c>
      <c r="J137" s="68">
        <v>1250.0</v>
      </c>
      <c r="K137" s="66">
        <f t="shared" si="371"/>
        <v>324.3243243</v>
      </c>
      <c r="L137" s="69">
        <f t="shared" si="372"/>
        <v>11323.31081</v>
      </c>
      <c r="M137" s="70">
        <f t="shared" si="373"/>
        <v>0.1331810345</v>
      </c>
      <c r="N137" s="71">
        <f t="shared" si="374"/>
        <v>1739.752252</v>
      </c>
      <c r="O137" s="66">
        <f t="shared" si="375"/>
        <v>13063.06306</v>
      </c>
      <c r="P137" s="78">
        <v>14500.0</v>
      </c>
      <c r="Q137" s="73">
        <f t="shared" si="376"/>
        <v>14500</v>
      </c>
      <c r="R137" s="74"/>
      <c r="S137" s="112"/>
      <c r="AF137" s="76"/>
    </row>
    <row r="138">
      <c r="A138" s="104" t="s">
        <v>152</v>
      </c>
      <c r="B138" s="66">
        <f>B137+B136</f>
        <v>16000</v>
      </c>
      <c r="C138" s="65">
        <f t="shared" si="365"/>
        <v>14400</v>
      </c>
      <c r="D138" s="66">
        <f t="shared" si="366"/>
        <v>12972.97297</v>
      </c>
      <c r="E138" s="134">
        <v>1.0</v>
      </c>
      <c r="F138" s="66">
        <f t="shared" si="367"/>
        <v>2631.6</v>
      </c>
      <c r="G138" s="66">
        <f t="shared" si="368"/>
        <v>1548</v>
      </c>
      <c r="H138" s="66">
        <f t="shared" si="369"/>
        <v>1161</v>
      </c>
      <c r="I138" s="66">
        <f t="shared" si="370"/>
        <v>464.4</v>
      </c>
      <c r="J138" s="68">
        <v>1250.0</v>
      </c>
      <c r="K138" s="66">
        <f t="shared" si="371"/>
        <v>648.6486486</v>
      </c>
      <c r="L138" s="69">
        <f t="shared" si="372"/>
        <v>20676.62162</v>
      </c>
      <c r="M138" s="70">
        <f t="shared" si="373"/>
        <v>0.1104244186</v>
      </c>
      <c r="N138" s="71">
        <f t="shared" si="374"/>
        <v>2566.621622</v>
      </c>
      <c r="O138" s="66">
        <f t="shared" si="375"/>
        <v>23243.24324</v>
      </c>
      <c r="P138" s="78">
        <v>25800.0</v>
      </c>
      <c r="Q138" s="73">
        <f t="shared" si="376"/>
        <v>25800</v>
      </c>
      <c r="R138" s="74"/>
      <c r="S138" s="112"/>
      <c r="AF138" s="76"/>
    </row>
    <row r="139">
      <c r="A139" s="105"/>
      <c r="C139" s="65">
        <f t="shared" si="365"/>
        <v>0</v>
      </c>
      <c r="D139" s="66">
        <f t="shared" si="366"/>
        <v>0</v>
      </c>
      <c r="E139" s="124">
        <v>1.0</v>
      </c>
      <c r="F139" s="66">
        <f t="shared" si="367"/>
        <v>0</v>
      </c>
      <c r="G139" s="66">
        <f t="shared" si="368"/>
        <v>0</v>
      </c>
      <c r="H139" s="66">
        <f>P139*$H$3</f>
        <v>0</v>
      </c>
      <c r="I139" s="66">
        <f t="shared" si="370"/>
        <v>0</v>
      </c>
      <c r="J139" s="68">
        <v>1250.0</v>
      </c>
      <c r="K139" s="66">
        <f t="shared" si="371"/>
        <v>0</v>
      </c>
      <c r="L139" s="69">
        <f t="shared" si="372"/>
        <v>1250</v>
      </c>
      <c r="M139" s="70" t="str">
        <f t="shared" si="373"/>
        <v>#DIV/0!</v>
      </c>
      <c r="N139" s="71">
        <f t="shared" si="374"/>
        <v>-1250</v>
      </c>
      <c r="O139" s="66">
        <f t="shared" si="375"/>
        <v>0</v>
      </c>
      <c r="P139" s="78"/>
      <c r="Q139" s="73">
        <f t="shared" si="376"/>
        <v>0</v>
      </c>
      <c r="R139" s="74"/>
      <c r="S139" s="112"/>
      <c r="AF139" s="76"/>
    </row>
    <row r="140">
      <c r="A140" s="1" t="s">
        <v>0</v>
      </c>
      <c r="B140" s="2" t="s">
        <v>1</v>
      </c>
      <c r="C140" s="158" t="s">
        <v>147</v>
      </c>
      <c r="D140" s="158" t="s">
        <v>147</v>
      </c>
      <c r="E140" s="3" t="s">
        <v>3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5"/>
      <c r="R140" s="6"/>
      <c r="S140" s="7" t="s">
        <v>4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8"/>
      <c r="AG140" s="9" t="s">
        <v>5</v>
      </c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1"/>
      <c r="AU140" s="10"/>
      <c r="AV140" s="10"/>
      <c r="AW140" s="10"/>
      <c r="AX140" s="10"/>
      <c r="AY140" s="10"/>
      <c r="AZ140" s="10"/>
      <c r="BA140" s="10"/>
      <c r="BB140" s="10"/>
      <c r="BC140" s="12"/>
    </row>
    <row r="141">
      <c r="A141" s="13"/>
      <c r="B141" s="13"/>
      <c r="C141" s="14"/>
      <c r="D141" s="14"/>
      <c r="E141" s="15" t="s">
        <v>6</v>
      </c>
      <c r="F141" s="16" t="s">
        <v>7</v>
      </c>
      <c r="G141" s="4"/>
      <c r="H141" s="4"/>
      <c r="I141" s="5"/>
      <c r="J141" s="17" t="s">
        <v>8</v>
      </c>
      <c r="K141" s="17" t="s">
        <v>9</v>
      </c>
      <c r="L141" s="18" t="s">
        <v>10</v>
      </c>
      <c r="M141" s="19" t="s">
        <v>11</v>
      </c>
      <c r="N141" s="20" t="s">
        <v>12</v>
      </c>
      <c r="O141" s="3" t="s">
        <v>13</v>
      </c>
      <c r="P141" s="5"/>
      <c r="Q141" s="21" t="s">
        <v>14</v>
      </c>
      <c r="R141" s="22"/>
      <c r="S141" s="23" t="s">
        <v>15</v>
      </c>
      <c r="T141" s="24" t="s">
        <v>7</v>
      </c>
      <c r="U141" s="4"/>
      <c r="V141" s="4"/>
      <c r="W141" s="5"/>
      <c r="X141" s="25" t="s">
        <v>8</v>
      </c>
      <c r="Y141" s="25" t="s">
        <v>9</v>
      </c>
      <c r="Z141" s="26" t="s">
        <v>10</v>
      </c>
      <c r="AA141" s="37" t="s">
        <v>148</v>
      </c>
      <c r="AB141" s="28" t="s">
        <v>12</v>
      </c>
      <c r="AC141" s="29" t="s">
        <v>17</v>
      </c>
      <c r="AD141" s="5"/>
      <c r="AE141" s="159" t="s">
        <v>18</v>
      </c>
      <c r="AF141" s="31"/>
      <c r="AG141" s="32" t="s">
        <v>19</v>
      </c>
      <c r="AH141" s="24" t="s">
        <v>7</v>
      </c>
      <c r="AI141" s="4"/>
      <c r="AJ141" s="4"/>
      <c r="AK141" s="5"/>
      <c r="AL141" s="25" t="s">
        <v>8</v>
      </c>
      <c r="AM141" s="25" t="s">
        <v>9</v>
      </c>
      <c r="AN141" s="33" t="s">
        <v>10</v>
      </c>
      <c r="AO141" s="37" t="s">
        <v>148</v>
      </c>
      <c r="AP141" s="34" t="s">
        <v>12</v>
      </c>
      <c r="AQ141" s="35" t="s">
        <v>13</v>
      </c>
      <c r="AR141" s="5"/>
      <c r="AS141" s="160" t="s">
        <v>21</v>
      </c>
      <c r="AT141" s="32" t="s">
        <v>22</v>
      </c>
      <c r="AU141" s="25" t="s">
        <v>7</v>
      </c>
      <c r="AV141" s="25" t="s">
        <v>8</v>
      </c>
      <c r="AW141" s="25" t="s">
        <v>9</v>
      </c>
      <c r="AX141" s="33" t="s">
        <v>10</v>
      </c>
      <c r="AY141" s="37" t="s">
        <v>23</v>
      </c>
      <c r="AZ141" s="34" t="s">
        <v>12</v>
      </c>
      <c r="BA141" s="35" t="s">
        <v>13</v>
      </c>
      <c r="BB141" s="5"/>
      <c r="BC141" s="38" t="s">
        <v>24</v>
      </c>
    </row>
    <row r="142">
      <c r="A142" s="39"/>
      <c r="B142" s="40"/>
      <c r="C142" s="40" t="s">
        <v>25</v>
      </c>
      <c r="D142" s="40" t="s">
        <v>26</v>
      </c>
      <c r="E142" s="39"/>
      <c r="F142" s="41">
        <v>0.077</v>
      </c>
      <c r="G142" s="42">
        <v>0.06</v>
      </c>
      <c r="H142" s="41">
        <v>0.045</v>
      </c>
      <c r="I142" s="41">
        <v>0.018</v>
      </c>
      <c r="J142" s="43">
        <v>1250.0</v>
      </c>
      <c r="K142" s="42">
        <v>0.05</v>
      </c>
      <c r="L142" s="44" t="s">
        <v>26</v>
      </c>
      <c r="M142" s="41">
        <v>0.025</v>
      </c>
      <c r="N142" s="39"/>
      <c r="O142" s="44" t="s">
        <v>26</v>
      </c>
      <c r="P142" s="45" t="s">
        <v>27</v>
      </c>
      <c r="Q142" s="39"/>
      <c r="R142" s="46"/>
      <c r="S142" s="39"/>
      <c r="T142" s="41">
        <v>0.117</v>
      </c>
      <c r="U142" s="41">
        <v>0.06</v>
      </c>
      <c r="V142" s="41">
        <v>0.045</v>
      </c>
      <c r="W142" s="41">
        <v>0.018</v>
      </c>
      <c r="X142" s="47"/>
      <c r="Y142" s="42">
        <v>0.05</v>
      </c>
      <c r="Z142" s="48" t="s">
        <v>26</v>
      </c>
      <c r="AA142" s="39"/>
      <c r="AB142" s="39"/>
      <c r="AC142" s="49" t="s">
        <v>26</v>
      </c>
      <c r="AD142" s="50" t="s">
        <v>25</v>
      </c>
      <c r="AE142" s="51"/>
      <c r="AF142" s="31"/>
      <c r="AG142" s="39"/>
      <c r="AH142" s="41">
        <v>0.117</v>
      </c>
      <c r="AI142" s="41">
        <v>0.06</v>
      </c>
      <c r="AJ142" s="41">
        <v>0.045</v>
      </c>
      <c r="AK142" s="41">
        <v>0.018</v>
      </c>
      <c r="AL142" s="47"/>
      <c r="AM142" s="42">
        <v>0.05</v>
      </c>
      <c r="AN142" s="52" t="s">
        <v>26</v>
      </c>
      <c r="AO142" s="39"/>
      <c r="AP142" s="39"/>
      <c r="AQ142" s="53" t="s">
        <v>26</v>
      </c>
      <c r="AR142" s="54" t="s">
        <v>25</v>
      </c>
      <c r="AS142" s="51"/>
      <c r="AT142" s="39"/>
      <c r="AU142" s="55">
        <v>0.17</v>
      </c>
      <c r="AV142" s="47"/>
      <c r="AW142" s="55">
        <v>0.04</v>
      </c>
      <c r="AX142" s="52" t="s">
        <v>26</v>
      </c>
      <c r="AY142" s="39"/>
      <c r="AZ142" s="39"/>
      <c r="BA142" s="53" t="s">
        <v>26</v>
      </c>
      <c r="BB142" s="54" t="s">
        <v>25</v>
      </c>
      <c r="BC142" s="39"/>
    </row>
    <row r="143">
      <c r="A143" s="168" t="s">
        <v>154</v>
      </c>
      <c r="B143" s="169"/>
      <c r="C143" s="170">
        <v>0.7</v>
      </c>
      <c r="D143" s="171"/>
      <c r="E143" s="172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74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76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69"/>
      <c r="AW143" s="169"/>
      <c r="AX143" s="169"/>
      <c r="AY143" s="169"/>
      <c r="AZ143" s="169"/>
      <c r="BA143" s="169"/>
      <c r="BB143" s="169"/>
      <c r="BC143" s="169"/>
    </row>
    <row r="144">
      <c r="A144" s="104" t="s">
        <v>155</v>
      </c>
      <c r="B144" s="68">
        <v>5770.0</v>
      </c>
      <c r="C144" s="65">
        <f t="shared" ref="C144:C147" si="377">B144*$C$143</f>
        <v>4039</v>
      </c>
      <c r="D144" s="66">
        <f t="shared" ref="D144:D147" si="378">C144/$D$4</f>
        <v>3638.738739</v>
      </c>
      <c r="E144" s="124">
        <v>1.0</v>
      </c>
      <c r="F144" s="66">
        <f t="shared" ref="F144:F147" si="379">P144*$F$142</f>
        <v>577.5</v>
      </c>
      <c r="G144" s="66">
        <f t="shared" ref="G144:G147" si="380">P144*$G$142</f>
        <v>450</v>
      </c>
      <c r="H144" s="66">
        <f t="shared" ref="H144:H147" si="381">P144*$H$142</f>
        <v>337.5</v>
      </c>
      <c r="I144" s="66">
        <f t="shared" ref="I144:I147" si="382">P144*$I$142</f>
        <v>135</v>
      </c>
      <c r="J144" s="68">
        <v>1250.0</v>
      </c>
      <c r="K144" s="66">
        <f t="shared" ref="K144:K147" si="383">D144*$K$142</f>
        <v>181.9369369</v>
      </c>
      <c r="L144" s="69">
        <f t="shared" ref="L144:L147" si="384">(D144*E144)+F144+G144+H144+I144+J144+K144</f>
        <v>6570.675676</v>
      </c>
      <c r="M144" s="70">
        <f t="shared" ref="M144:M147" si="385">N144/O144</f>
        <v>0.02754</v>
      </c>
      <c r="N144" s="71">
        <f t="shared" ref="N144:N147" si="386">O144-L144</f>
        <v>186.0810811</v>
      </c>
      <c r="O144" s="66">
        <f t="shared" ref="O144:O147" si="387">P144/$O$4</f>
        <v>6756.756757</v>
      </c>
      <c r="P144" s="78">
        <v>7500.0</v>
      </c>
      <c r="Q144" s="73">
        <f t="shared" ref="Q144:Q147" si="388">P144/E144</f>
        <v>7500</v>
      </c>
      <c r="R144" s="74"/>
      <c r="S144" s="112"/>
      <c r="AF144" s="76"/>
    </row>
    <row r="145">
      <c r="A145" s="104" t="s">
        <v>156</v>
      </c>
      <c r="B145" s="68">
        <v>4330.0</v>
      </c>
      <c r="C145" s="65">
        <f t="shared" si="377"/>
        <v>3031</v>
      </c>
      <c r="D145" s="66">
        <f t="shared" si="378"/>
        <v>2730.630631</v>
      </c>
      <c r="E145" s="124">
        <v>1.0</v>
      </c>
      <c r="F145" s="66">
        <f t="shared" si="379"/>
        <v>477.4</v>
      </c>
      <c r="G145" s="66">
        <f t="shared" si="380"/>
        <v>372</v>
      </c>
      <c r="H145" s="66">
        <f t="shared" si="381"/>
        <v>279</v>
      </c>
      <c r="I145" s="66">
        <f t="shared" si="382"/>
        <v>111.6</v>
      </c>
      <c r="J145" s="68">
        <v>1250.0</v>
      </c>
      <c r="K145" s="66">
        <f t="shared" si="383"/>
        <v>136.5315315</v>
      </c>
      <c r="L145" s="69">
        <f t="shared" si="384"/>
        <v>5357.162162</v>
      </c>
      <c r="M145" s="70">
        <f t="shared" si="385"/>
        <v>0.04089516129</v>
      </c>
      <c r="N145" s="71">
        <f t="shared" si="386"/>
        <v>228.4234234</v>
      </c>
      <c r="O145" s="66">
        <f t="shared" si="387"/>
        <v>5585.585586</v>
      </c>
      <c r="P145" s="78">
        <v>6200.0</v>
      </c>
      <c r="Q145" s="73">
        <f t="shared" si="388"/>
        <v>6200</v>
      </c>
      <c r="R145" s="74"/>
      <c r="S145" s="112"/>
      <c r="AF145" s="76"/>
    </row>
    <row r="146">
      <c r="A146" s="104" t="s">
        <v>157</v>
      </c>
      <c r="B146" s="66">
        <f t="shared" ref="B146:B147" si="389">B144</f>
        <v>5770</v>
      </c>
      <c r="C146" s="65">
        <f t="shared" si="377"/>
        <v>4039</v>
      </c>
      <c r="D146" s="66">
        <f t="shared" si="378"/>
        <v>3638.738739</v>
      </c>
      <c r="E146" s="134">
        <v>12.0</v>
      </c>
      <c r="F146" s="66">
        <f t="shared" si="379"/>
        <v>5775</v>
      </c>
      <c r="G146" s="66">
        <f t="shared" si="380"/>
        <v>4500</v>
      </c>
      <c r="H146" s="66">
        <f t="shared" si="381"/>
        <v>3375</v>
      </c>
      <c r="I146" s="66">
        <f t="shared" si="382"/>
        <v>1350</v>
      </c>
      <c r="J146" s="68">
        <v>1250.0</v>
      </c>
      <c r="K146" s="66">
        <f t="shared" si="383"/>
        <v>181.9369369</v>
      </c>
      <c r="L146" s="69">
        <f t="shared" si="384"/>
        <v>60096.8018</v>
      </c>
      <c r="M146" s="70">
        <f t="shared" si="385"/>
        <v>0.1105673333</v>
      </c>
      <c r="N146" s="71">
        <f t="shared" si="386"/>
        <v>7470.765766</v>
      </c>
      <c r="O146" s="66">
        <f t="shared" si="387"/>
        <v>67567.56757</v>
      </c>
      <c r="P146" s="78">
        <v>75000.0</v>
      </c>
      <c r="Q146" s="73">
        <f t="shared" si="388"/>
        <v>6250</v>
      </c>
      <c r="R146" s="74"/>
      <c r="S146" s="112"/>
      <c r="AF146" s="76"/>
    </row>
    <row r="147">
      <c r="A147" s="104" t="s">
        <v>158</v>
      </c>
      <c r="B147" s="66">
        <f t="shared" si="389"/>
        <v>4330</v>
      </c>
      <c r="C147" s="65">
        <f t="shared" si="377"/>
        <v>3031</v>
      </c>
      <c r="D147" s="66">
        <f t="shared" si="378"/>
        <v>2730.630631</v>
      </c>
      <c r="E147" s="134">
        <v>12.0</v>
      </c>
      <c r="F147" s="66">
        <f t="shared" si="379"/>
        <v>4774</v>
      </c>
      <c r="G147" s="66">
        <f t="shared" si="380"/>
        <v>3720</v>
      </c>
      <c r="H147" s="66">
        <f t="shared" si="381"/>
        <v>2790</v>
      </c>
      <c r="I147" s="66">
        <f t="shared" si="382"/>
        <v>1116</v>
      </c>
      <c r="J147" s="68">
        <v>1250.0</v>
      </c>
      <c r="K147" s="66">
        <f t="shared" si="383"/>
        <v>136.5315315</v>
      </c>
      <c r="L147" s="69">
        <f t="shared" si="384"/>
        <v>46554.0991</v>
      </c>
      <c r="M147" s="70">
        <f t="shared" si="385"/>
        <v>0.1665314516</v>
      </c>
      <c r="N147" s="71">
        <f t="shared" si="386"/>
        <v>9301.756757</v>
      </c>
      <c r="O147" s="66">
        <f t="shared" si="387"/>
        <v>55855.85586</v>
      </c>
      <c r="P147" s="78">
        <v>62000.0</v>
      </c>
      <c r="Q147" s="73">
        <f t="shared" si="388"/>
        <v>5166.666667</v>
      </c>
      <c r="R147" s="74"/>
      <c r="S147" s="112"/>
      <c r="AF147" s="76"/>
    </row>
    <row r="148">
      <c r="A148" s="104"/>
      <c r="B148" s="66"/>
      <c r="C148" s="65"/>
      <c r="D148" s="123"/>
      <c r="E148" s="124"/>
      <c r="L148" s="125"/>
      <c r="N148" s="126"/>
      <c r="P148" s="127"/>
      <c r="Q148" s="128"/>
      <c r="R148" s="74"/>
      <c r="S148" s="112"/>
      <c r="AF148" s="76"/>
    </row>
    <row r="149">
      <c r="A149" s="104"/>
      <c r="B149" s="66"/>
      <c r="C149" s="65"/>
      <c r="D149" s="123"/>
      <c r="E149" s="124"/>
      <c r="L149" s="125"/>
      <c r="N149" s="126"/>
      <c r="P149" s="127"/>
      <c r="Q149" s="128"/>
      <c r="R149" s="74"/>
      <c r="S149" s="112"/>
      <c r="AF149" s="76"/>
    </row>
    <row r="150">
      <c r="A150" s="104"/>
      <c r="C150" s="65"/>
      <c r="D150" s="123"/>
      <c r="E150" s="124"/>
      <c r="L150" s="125"/>
      <c r="N150" s="126"/>
      <c r="P150" s="127"/>
      <c r="Q150" s="128"/>
      <c r="R150" s="74"/>
      <c r="S150" s="112"/>
      <c r="AF150" s="76"/>
    </row>
    <row r="151">
      <c r="A151" s="173" t="s">
        <v>159</v>
      </c>
      <c r="B151" s="174"/>
      <c r="C151" s="175">
        <f t="shared" ref="C151:C153" si="390">B151*$C$4</f>
        <v>0</v>
      </c>
      <c r="D151" s="176"/>
      <c r="E151" s="177">
        <v>1.0</v>
      </c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76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74"/>
      <c r="AY151" s="174"/>
      <c r="AZ151" s="174"/>
      <c r="BA151" s="174"/>
      <c r="BB151" s="174"/>
      <c r="BC151" s="174"/>
    </row>
    <row r="152">
      <c r="A152" s="178"/>
      <c r="C152" s="65">
        <f t="shared" si="390"/>
        <v>0</v>
      </c>
      <c r="D152" s="123"/>
      <c r="E152" s="178"/>
      <c r="L152" s="125"/>
      <c r="N152" s="126"/>
      <c r="P152" s="127"/>
      <c r="Q152" s="128"/>
      <c r="R152" s="74"/>
      <c r="AF152" s="76"/>
    </row>
    <row r="153">
      <c r="A153" s="179" t="s">
        <v>160</v>
      </c>
      <c r="C153" s="65">
        <f t="shared" si="390"/>
        <v>0</v>
      </c>
      <c r="D153" s="123"/>
      <c r="E153" s="124">
        <v>1.0</v>
      </c>
      <c r="L153" s="125"/>
      <c r="N153" s="126"/>
      <c r="P153" s="127"/>
      <c r="Q153" s="128"/>
      <c r="R153" s="74"/>
      <c r="AF153" s="76"/>
    </row>
    <row r="154">
      <c r="A154" s="178"/>
      <c r="D154" s="123"/>
      <c r="E154" s="124">
        <v>1.0</v>
      </c>
      <c r="L154" s="125"/>
      <c r="N154" s="126"/>
      <c r="P154" s="127"/>
      <c r="Q154" s="128"/>
      <c r="R154" s="74"/>
      <c r="AF154" s="76"/>
    </row>
    <row r="155">
      <c r="D155" s="123"/>
      <c r="L155" s="125"/>
      <c r="N155" s="126"/>
      <c r="P155" s="127"/>
      <c r="Q155" s="128"/>
      <c r="R155" s="74"/>
      <c r="AF155" s="76"/>
    </row>
    <row r="156">
      <c r="D156" s="123"/>
      <c r="L156" s="125"/>
      <c r="N156" s="126"/>
      <c r="P156" s="127"/>
      <c r="Q156" s="128"/>
      <c r="R156" s="74"/>
      <c r="AF156" s="76"/>
    </row>
    <row r="157">
      <c r="D157" s="123"/>
      <c r="L157" s="125"/>
      <c r="N157" s="126"/>
      <c r="P157" s="127"/>
      <c r="Q157" s="128"/>
      <c r="R157" s="74"/>
      <c r="AF157" s="76"/>
    </row>
    <row r="158">
      <c r="D158" s="123"/>
      <c r="L158" s="125"/>
      <c r="N158" s="126"/>
      <c r="P158" s="127"/>
      <c r="Q158" s="128"/>
      <c r="R158" s="74"/>
      <c r="AF158" s="76"/>
    </row>
    <row r="159">
      <c r="D159" s="123"/>
      <c r="L159" s="125"/>
      <c r="N159" s="126"/>
      <c r="P159" s="127"/>
      <c r="Q159" s="128"/>
      <c r="R159" s="74"/>
      <c r="AF159" s="76"/>
    </row>
    <row r="160">
      <c r="D160" s="123"/>
      <c r="L160" s="125"/>
      <c r="N160" s="126"/>
      <c r="P160" s="127"/>
      <c r="Q160" s="128"/>
      <c r="R160" s="74"/>
      <c r="AF160" s="76"/>
    </row>
    <row r="161">
      <c r="D161" s="123"/>
      <c r="L161" s="125"/>
      <c r="N161" s="126"/>
      <c r="P161" s="127"/>
      <c r="Q161" s="128"/>
      <c r="R161" s="74"/>
      <c r="AF161" s="76"/>
    </row>
    <row r="162">
      <c r="D162" s="123"/>
      <c r="L162" s="125"/>
      <c r="N162" s="126"/>
      <c r="P162" s="127"/>
      <c r="Q162" s="128"/>
      <c r="R162" s="74"/>
      <c r="AF162" s="76"/>
    </row>
    <row r="163">
      <c r="D163" s="123"/>
      <c r="L163" s="125"/>
      <c r="N163" s="126"/>
      <c r="P163" s="127"/>
      <c r="Q163" s="128"/>
      <c r="R163" s="74"/>
      <c r="AF163" s="76"/>
    </row>
    <row r="164">
      <c r="D164" s="123"/>
      <c r="L164" s="125"/>
      <c r="N164" s="126"/>
      <c r="P164" s="127"/>
      <c r="Q164" s="128"/>
      <c r="R164" s="74"/>
      <c r="AF164" s="76"/>
    </row>
    <row r="165">
      <c r="D165" s="123"/>
      <c r="L165" s="125"/>
      <c r="N165" s="126"/>
      <c r="P165" s="127"/>
      <c r="Q165" s="128"/>
      <c r="R165" s="74"/>
      <c r="AF165" s="76"/>
    </row>
    <row r="166">
      <c r="D166" s="123"/>
      <c r="L166" s="125"/>
      <c r="N166" s="126"/>
      <c r="P166" s="127"/>
      <c r="Q166" s="128"/>
      <c r="R166" s="74"/>
      <c r="AF166" s="76"/>
    </row>
    <row r="167">
      <c r="D167" s="123"/>
      <c r="L167" s="125"/>
      <c r="N167" s="126"/>
      <c r="P167" s="127"/>
      <c r="Q167" s="128"/>
      <c r="R167" s="74"/>
      <c r="AF167" s="76"/>
    </row>
    <row r="168">
      <c r="D168" s="123"/>
      <c r="L168" s="125"/>
      <c r="N168" s="126"/>
      <c r="P168" s="127"/>
      <c r="Q168" s="128"/>
      <c r="R168" s="74"/>
      <c r="AF168" s="76"/>
    </row>
    <row r="169">
      <c r="D169" s="123"/>
      <c r="L169" s="125"/>
      <c r="N169" s="126"/>
      <c r="P169" s="127"/>
      <c r="Q169" s="128"/>
      <c r="R169" s="74"/>
      <c r="AF169" s="76"/>
    </row>
    <row r="170">
      <c r="D170" s="123"/>
      <c r="L170" s="125"/>
      <c r="N170" s="126"/>
      <c r="P170" s="127"/>
      <c r="Q170" s="128"/>
      <c r="R170" s="74"/>
      <c r="AF170" s="76"/>
    </row>
    <row r="171">
      <c r="D171" s="123"/>
      <c r="L171" s="125"/>
      <c r="N171" s="126"/>
      <c r="P171" s="127"/>
      <c r="Q171" s="128"/>
      <c r="R171" s="74"/>
      <c r="AF171" s="76"/>
    </row>
    <row r="172">
      <c r="D172" s="123"/>
      <c r="L172" s="125"/>
      <c r="N172" s="126"/>
      <c r="P172" s="127"/>
      <c r="Q172" s="128"/>
      <c r="R172" s="74"/>
      <c r="AF172" s="76"/>
    </row>
    <row r="173">
      <c r="D173" s="123"/>
      <c r="L173" s="125"/>
      <c r="N173" s="126"/>
      <c r="P173" s="127"/>
      <c r="Q173" s="128"/>
      <c r="R173" s="74"/>
      <c r="AF173" s="76"/>
    </row>
    <row r="174">
      <c r="D174" s="123"/>
      <c r="L174" s="125"/>
      <c r="N174" s="126"/>
      <c r="P174" s="127"/>
      <c r="Q174" s="128"/>
      <c r="R174" s="74"/>
      <c r="AF174" s="76"/>
    </row>
    <row r="175">
      <c r="D175" s="123"/>
      <c r="L175" s="125"/>
      <c r="N175" s="126"/>
      <c r="P175" s="127"/>
      <c r="Q175" s="128"/>
      <c r="R175" s="74"/>
      <c r="AF175" s="76"/>
    </row>
    <row r="176">
      <c r="D176" s="123"/>
      <c r="L176" s="125"/>
      <c r="N176" s="126"/>
      <c r="P176" s="127"/>
      <c r="Q176" s="128"/>
      <c r="R176" s="74"/>
      <c r="AF176" s="76"/>
    </row>
    <row r="177">
      <c r="D177" s="123"/>
      <c r="L177" s="125"/>
      <c r="N177" s="126"/>
      <c r="P177" s="127"/>
      <c r="Q177" s="128"/>
      <c r="R177" s="74"/>
      <c r="AF177" s="76"/>
    </row>
    <row r="178">
      <c r="D178" s="123"/>
      <c r="L178" s="125"/>
      <c r="N178" s="126"/>
      <c r="P178" s="127"/>
      <c r="Q178" s="128"/>
      <c r="R178" s="74"/>
      <c r="AF178" s="76"/>
    </row>
    <row r="179">
      <c r="D179" s="123"/>
      <c r="L179" s="125"/>
      <c r="N179" s="126"/>
      <c r="P179" s="127"/>
      <c r="Q179" s="128"/>
      <c r="R179" s="74"/>
      <c r="AF179" s="76"/>
    </row>
    <row r="180">
      <c r="D180" s="123"/>
      <c r="L180" s="125"/>
      <c r="N180" s="126"/>
      <c r="P180" s="127"/>
      <c r="Q180" s="128"/>
      <c r="R180" s="74"/>
      <c r="AF180" s="76"/>
    </row>
    <row r="181">
      <c r="D181" s="123"/>
      <c r="L181" s="125"/>
      <c r="N181" s="126"/>
      <c r="P181" s="127"/>
      <c r="Q181" s="128"/>
      <c r="R181" s="74"/>
      <c r="AF181" s="76"/>
    </row>
    <row r="182">
      <c r="D182" s="123"/>
      <c r="L182" s="125"/>
      <c r="N182" s="126"/>
      <c r="P182" s="127"/>
      <c r="Q182" s="128"/>
      <c r="R182" s="74"/>
      <c r="AF182" s="76"/>
    </row>
    <row r="183">
      <c r="D183" s="123"/>
      <c r="L183" s="125"/>
      <c r="N183" s="126"/>
      <c r="P183" s="127"/>
      <c r="Q183" s="128"/>
      <c r="R183" s="74"/>
      <c r="AF183" s="76"/>
    </row>
    <row r="184">
      <c r="D184" s="123"/>
      <c r="L184" s="125"/>
      <c r="N184" s="126"/>
      <c r="P184" s="127"/>
      <c r="Q184" s="128"/>
      <c r="R184" s="74"/>
      <c r="AF184" s="76"/>
    </row>
    <row r="185">
      <c r="D185" s="123"/>
      <c r="L185" s="125"/>
      <c r="N185" s="126"/>
      <c r="P185" s="127"/>
      <c r="Q185" s="128"/>
      <c r="R185" s="74"/>
      <c r="AF185" s="76"/>
    </row>
    <row r="186">
      <c r="D186" s="123"/>
      <c r="L186" s="125"/>
      <c r="N186" s="126"/>
      <c r="P186" s="127"/>
      <c r="Q186" s="128"/>
      <c r="R186" s="74"/>
      <c r="AF186" s="76"/>
    </row>
    <row r="187">
      <c r="D187" s="123"/>
      <c r="L187" s="125"/>
      <c r="N187" s="126"/>
      <c r="P187" s="127"/>
      <c r="Q187" s="128"/>
      <c r="R187" s="74"/>
      <c r="AF187" s="76"/>
    </row>
    <row r="188">
      <c r="D188" s="123"/>
      <c r="L188" s="125"/>
      <c r="N188" s="126"/>
      <c r="P188" s="127"/>
      <c r="Q188" s="128"/>
      <c r="R188" s="74"/>
      <c r="AF188" s="76"/>
    </row>
    <row r="189">
      <c r="D189" s="123"/>
      <c r="L189" s="125"/>
      <c r="N189" s="126"/>
      <c r="P189" s="127"/>
      <c r="Q189" s="128"/>
      <c r="R189" s="74"/>
      <c r="AF189" s="76"/>
    </row>
    <row r="190">
      <c r="D190" s="123"/>
      <c r="L190" s="125"/>
      <c r="N190" s="126"/>
      <c r="P190" s="127"/>
      <c r="Q190" s="128"/>
      <c r="R190" s="74"/>
      <c r="AF190" s="76"/>
    </row>
    <row r="191">
      <c r="D191" s="123"/>
      <c r="L191" s="125"/>
      <c r="N191" s="126"/>
      <c r="P191" s="127"/>
      <c r="Q191" s="128"/>
      <c r="R191" s="74"/>
      <c r="AF191" s="76"/>
    </row>
    <row r="192">
      <c r="D192" s="123"/>
      <c r="L192" s="125"/>
      <c r="N192" s="126"/>
      <c r="P192" s="127"/>
      <c r="Q192" s="128"/>
      <c r="R192" s="74"/>
      <c r="AF192" s="76"/>
    </row>
    <row r="193">
      <c r="D193" s="123"/>
      <c r="L193" s="125"/>
      <c r="N193" s="126"/>
      <c r="P193" s="127"/>
      <c r="Q193" s="128"/>
      <c r="R193" s="74"/>
      <c r="AF193" s="76"/>
    </row>
    <row r="194">
      <c r="D194" s="123"/>
      <c r="L194" s="125"/>
      <c r="N194" s="126"/>
      <c r="P194" s="127"/>
      <c r="Q194" s="128"/>
      <c r="R194" s="74"/>
      <c r="AF194" s="76"/>
    </row>
    <row r="195">
      <c r="D195" s="123"/>
      <c r="L195" s="125"/>
      <c r="N195" s="126"/>
      <c r="P195" s="127"/>
      <c r="Q195" s="128"/>
      <c r="R195" s="74"/>
      <c r="AF195" s="76"/>
    </row>
    <row r="196">
      <c r="D196" s="123"/>
      <c r="L196" s="125"/>
      <c r="N196" s="126"/>
      <c r="P196" s="127"/>
      <c r="Q196" s="128"/>
      <c r="R196" s="74"/>
      <c r="AF196" s="76"/>
    </row>
    <row r="197">
      <c r="D197" s="123"/>
      <c r="L197" s="125"/>
      <c r="N197" s="126"/>
      <c r="P197" s="127"/>
      <c r="Q197" s="128"/>
      <c r="R197" s="74"/>
      <c r="AF197" s="76"/>
    </row>
    <row r="198">
      <c r="D198" s="123"/>
      <c r="L198" s="125"/>
      <c r="N198" s="126"/>
      <c r="P198" s="127"/>
      <c r="Q198" s="128"/>
      <c r="R198" s="74"/>
      <c r="AF198" s="76"/>
    </row>
    <row r="199">
      <c r="D199" s="123"/>
      <c r="L199" s="125"/>
      <c r="N199" s="126"/>
      <c r="P199" s="127"/>
      <c r="Q199" s="128"/>
      <c r="R199" s="74"/>
      <c r="AF199" s="76"/>
    </row>
    <row r="200">
      <c r="D200" s="123"/>
      <c r="L200" s="125"/>
      <c r="N200" s="126"/>
      <c r="P200" s="127"/>
      <c r="Q200" s="128"/>
      <c r="R200" s="74"/>
      <c r="AF200" s="76"/>
    </row>
    <row r="201">
      <c r="D201" s="123"/>
      <c r="L201" s="125"/>
      <c r="N201" s="126"/>
      <c r="P201" s="127"/>
      <c r="Q201" s="128"/>
      <c r="R201" s="74"/>
      <c r="AF201" s="76"/>
    </row>
    <row r="202">
      <c r="D202" s="123"/>
      <c r="L202" s="125"/>
      <c r="N202" s="126"/>
      <c r="P202" s="127"/>
      <c r="Q202" s="128"/>
      <c r="R202" s="74"/>
      <c r="AF202" s="76"/>
    </row>
    <row r="203">
      <c r="D203" s="123"/>
      <c r="L203" s="125"/>
      <c r="N203" s="126"/>
      <c r="P203" s="127"/>
      <c r="Q203" s="128"/>
      <c r="R203" s="74"/>
      <c r="AF203" s="76"/>
    </row>
    <row r="204">
      <c r="D204" s="123"/>
      <c r="L204" s="125"/>
      <c r="N204" s="126"/>
      <c r="P204" s="127"/>
      <c r="Q204" s="128"/>
      <c r="R204" s="74"/>
      <c r="AF204" s="76"/>
    </row>
    <row r="205">
      <c r="D205" s="123"/>
      <c r="L205" s="125"/>
      <c r="N205" s="126"/>
      <c r="P205" s="127"/>
      <c r="Q205" s="128"/>
      <c r="R205" s="74"/>
      <c r="AF205" s="76"/>
    </row>
    <row r="206">
      <c r="D206" s="123"/>
      <c r="L206" s="125"/>
      <c r="N206" s="126"/>
      <c r="P206" s="127"/>
      <c r="Q206" s="128"/>
      <c r="R206" s="74"/>
      <c r="AF206" s="76"/>
    </row>
    <row r="207">
      <c r="D207" s="123"/>
      <c r="L207" s="125"/>
      <c r="N207" s="126"/>
      <c r="P207" s="127"/>
      <c r="Q207" s="128"/>
      <c r="R207" s="74"/>
      <c r="AF207" s="76"/>
    </row>
    <row r="208">
      <c r="D208" s="123"/>
      <c r="L208" s="125"/>
      <c r="N208" s="126"/>
      <c r="P208" s="127"/>
      <c r="Q208" s="128"/>
      <c r="R208" s="74"/>
      <c r="AF208" s="76"/>
    </row>
    <row r="209">
      <c r="D209" s="123"/>
      <c r="L209" s="125"/>
      <c r="N209" s="126"/>
      <c r="P209" s="127"/>
      <c r="Q209" s="128"/>
      <c r="R209" s="74"/>
      <c r="AF209" s="76"/>
    </row>
    <row r="210">
      <c r="D210" s="123"/>
      <c r="L210" s="125"/>
      <c r="N210" s="126"/>
      <c r="P210" s="127"/>
      <c r="Q210" s="128"/>
      <c r="R210" s="74"/>
      <c r="AF210" s="76"/>
    </row>
    <row r="211">
      <c r="D211" s="123"/>
      <c r="L211" s="125"/>
      <c r="N211" s="126"/>
      <c r="P211" s="127"/>
      <c r="Q211" s="128"/>
      <c r="R211" s="74"/>
      <c r="AF211" s="76"/>
    </row>
    <row r="212">
      <c r="D212" s="123"/>
      <c r="L212" s="125"/>
      <c r="N212" s="126"/>
      <c r="P212" s="127"/>
      <c r="Q212" s="128"/>
      <c r="R212" s="74"/>
      <c r="AF212" s="76"/>
    </row>
    <row r="213">
      <c r="D213" s="123"/>
      <c r="L213" s="125"/>
      <c r="N213" s="126"/>
      <c r="P213" s="127"/>
      <c r="Q213" s="128"/>
      <c r="R213" s="74"/>
      <c r="AF213" s="76"/>
    </row>
    <row r="214">
      <c r="D214" s="123"/>
      <c r="L214" s="125"/>
      <c r="N214" s="126"/>
      <c r="P214" s="127"/>
      <c r="Q214" s="128"/>
      <c r="R214" s="74"/>
      <c r="AF214" s="76"/>
    </row>
    <row r="215">
      <c r="D215" s="123"/>
      <c r="L215" s="125"/>
      <c r="N215" s="126"/>
      <c r="P215" s="127"/>
      <c r="Q215" s="128"/>
      <c r="R215" s="74"/>
      <c r="AF215" s="76"/>
    </row>
    <row r="216">
      <c r="D216" s="123"/>
      <c r="L216" s="125"/>
      <c r="N216" s="126"/>
      <c r="P216" s="127"/>
      <c r="Q216" s="128"/>
      <c r="R216" s="74"/>
      <c r="AF216" s="76"/>
    </row>
    <row r="217">
      <c r="D217" s="123"/>
      <c r="L217" s="125"/>
      <c r="N217" s="126"/>
      <c r="P217" s="127"/>
      <c r="Q217" s="128"/>
      <c r="R217" s="74"/>
      <c r="AF217" s="76"/>
    </row>
    <row r="218">
      <c r="D218" s="123"/>
      <c r="L218" s="125"/>
      <c r="N218" s="126"/>
      <c r="P218" s="127"/>
      <c r="Q218" s="128"/>
      <c r="R218" s="74"/>
      <c r="AF218" s="76"/>
    </row>
    <row r="219">
      <c r="D219" s="123"/>
      <c r="L219" s="125"/>
      <c r="N219" s="126"/>
      <c r="P219" s="127"/>
      <c r="Q219" s="128"/>
      <c r="R219" s="74"/>
      <c r="AF219" s="76"/>
    </row>
    <row r="220">
      <c r="D220" s="123"/>
      <c r="L220" s="125"/>
      <c r="N220" s="126"/>
      <c r="P220" s="127"/>
      <c r="Q220" s="128"/>
      <c r="R220" s="74"/>
      <c r="AF220" s="76"/>
    </row>
    <row r="221">
      <c r="D221" s="123"/>
      <c r="L221" s="125"/>
      <c r="N221" s="126"/>
      <c r="P221" s="127"/>
      <c r="Q221" s="128"/>
      <c r="R221" s="74"/>
      <c r="AF221" s="76"/>
    </row>
    <row r="222">
      <c r="D222" s="123"/>
      <c r="L222" s="125"/>
      <c r="N222" s="126"/>
      <c r="P222" s="127"/>
      <c r="Q222" s="128"/>
      <c r="R222" s="74"/>
      <c r="AF222" s="76"/>
    </row>
    <row r="223">
      <c r="D223" s="123"/>
      <c r="L223" s="125"/>
      <c r="N223" s="126"/>
      <c r="P223" s="127"/>
      <c r="Q223" s="128"/>
      <c r="R223" s="74"/>
      <c r="AF223" s="76"/>
    </row>
    <row r="224">
      <c r="D224" s="123"/>
      <c r="L224" s="125"/>
      <c r="N224" s="126"/>
      <c r="P224" s="127"/>
      <c r="Q224" s="128"/>
      <c r="R224" s="74"/>
      <c r="AF224" s="76"/>
    </row>
    <row r="225">
      <c r="D225" s="123"/>
      <c r="L225" s="125"/>
      <c r="N225" s="126"/>
      <c r="P225" s="127"/>
      <c r="Q225" s="128"/>
      <c r="R225" s="74"/>
      <c r="AF225" s="76"/>
    </row>
    <row r="226">
      <c r="D226" s="123"/>
      <c r="L226" s="125"/>
      <c r="N226" s="126"/>
      <c r="P226" s="127"/>
      <c r="Q226" s="128"/>
      <c r="R226" s="74"/>
      <c r="AF226" s="76"/>
    </row>
    <row r="227">
      <c r="D227" s="123"/>
      <c r="L227" s="125"/>
      <c r="N227" s="126"/>
      <c r="P227" s="127"/>
      <c r="Q227" s="128"/>
      <c r="R227" s="74"/>
      <c r="AF227" s="76"/>
    </row>
    <row r="228">
      <c r="D228" s="123"/>
      <c r="L228" s="125"/>
      <c r="N228" s="126"/>
      <c r="P228" s="127"/>
      <c r="Q228" s="128"/>
      <c r="R228" s="74"/>
      <c r="AF228" s="76"/>
    </row>
    <row r="229">
      <c r="D229" s="123"/>
      <c r="L229" s="125"/>
      <c r="N229" s="126"/>
      <c r="P229" s="127"/>
      <c r="Q229" s="128"/>
      <c r="R229" s="74"/>
      <c r="AF229" s="76"/>
    </row>
    <row r="230">
      <c r="D230" s="123"/>
      <c r="L230" s="125"/>
      <c r="N230" s="126"/>
      <c r="P230" s="127"/>
      <c r="Q230" s="128"/>
      <c r="R230" s="74"/>
      <c r="AF230" s="76"/>
    </row>
    <row r="231">
      <c r="D231" s="123"/>
      <c r="L231" s="125"/>
      <c r="N231" s="126"/>
      <c r="P231" s="127"/>
      <c r="Q231" s="128"/>
      <c r="R231" s="74"/>
      <c r="AF231" s="76"/>
    </row>
    <row r="232">
      <c r="D232" s="123"/>
      <c r="L232" s="125"/>
      <c r="N232" s="126"/>
      <c r="P232" s="127"/>
      <c r="Q232" s="128"/>
      <c r="R232" s="74"/>
      <c r="AF232" s="76"/>
    </row>
    <row r="233">
      <c r="D233" s="123"/>
      <c r="L233" s="125"/>
      <c r="N233" s="126"/>
      <c r="P233" s="127"/>
      <c r="Q233" s="128"/>
      <c r="R233" s="74"/>
      <c r="AF233" s="76"/>
    </row>
    <row r="234">
      <c r="D234" s="123"/>
      <c r="L234" s="125"/>
      <c r="N234" s="126"/>
      <c r="P234" s="127"/>
      <c r="Q234" s="128"/>
      <c r="R234" s="74"/>
      <c r="AF234" s="76"/>
    </row>
    <row r="235">
      <c r="D235" s="123"/>
      <c r="L235" s="125"/>
      <c r="N235" s="126"/>
      <c r="P235" s="127"/>
      <c r="Q235" s="128"/>
      <c r="R235" s="74"/>
      <c r="AF235" s="76"/>
    </row>
    <row r="236">
      <c r="D236" s="123"/>
      <c r="L236" s="125"/>
      <c r="N236" s="126"/>
      <c r="P236" s="127"/>
      <c r="Q236" s="128"/>
      <c r="R236" s="74"/>
      <c r="AF236" s="76"/>
    </row>
    <row r="237">
      <c r="D237" s="123"/>
      <c r="L237" s="125"/>
      <c r="N237" s="126"/>
      <c r="P237" s="127"/>
      <c r="Q237" s="128"/>
      <c r="R237" s="74"/>
      <c r="AF237" s="76"/>
    </row>
    <row r="238">
      <c r="D238" s="123"/>
      <c r="L238" s="125"/>
      <c r="N238" s="126"/>
      <c r="P238" s="127"/>
      <c r="Q238" s="128"/>
      <c r="R238" s="74"/>
      <c r="AF238" s="76"/>
    </row>
    <row r="239">
      <c r="D239" s="123"/>
      <c r="L239" s="125"/>
      <c r="N239" s="126"/>
      <c r="P239" s="127"/>
      <c r="Q239" s="128"/>
      <c r="R239" s="74"/>
      <c r="AF239" s="76"/>
    </row>
    <row r="240">
      <c r="D240" s="123"/>
      <c r="L240" s="125"/>
      <c r="N240" s="126"/>
      <c r="P240" s="127"/>
      <c r="Q240" s="128"/>
      <c r="R240" s="74"/>
      <c r="AF240" s="76"/>
    </row>
    <row r="241">
      <c r="D241" s="123"/>
      <c r="L241" s="125"/>
      <c r="N241" s="126"/>
      <c r="P241" s="127"/>
      <c r="Q241" s="128"/>
      <c r="R241" s="74"/>
      <c r="AF241" s="76"/>
    </row>
    <row r="242">
      <c r="D242" s="123"/>
      <c r="L242" s="125"/>
      <c r="N242" s="126"/>
      <c r="P242" s="127"/>
      <c r="Q242" s="128"/>
      <c r="R242" s="74"/>
      <c r="AF242" s="76"/>
    </row>
    <row r="243">
      <c r="D243" s="123"/>
      <c r="L243" s="125"/>
      <c r="N243" s="126"/>
      <c r="P243" s="127"/>
      <c r="Q243" s="128"/>
      <c r="R243" s="74"/>
      <c r="AF243" s="76"/>
    </row>
    <row r="244">
      <c r="D244" s="123"/>
      <c r="L244" s="125"/>
      <c r="N244" s="126"/>
      <c r="P244" s="127"/>
      <c r="Q244" s="128"/>
      <c r="R244" s="74"/>
      <c r="AF244" s="76"/>
    </row>
    <row r="245">
      <c r="D245" s="123"/>
      <c r="L245" s="125"/>
      <c r="N245" s="126"/>
      <c r="P245" s="127"/>
      <c r="Q245" s="128"/>
      <c r="R245" s="74"/>
      <c r="AF245" s="76"/>
    </row>
    <row r="246">
      <c r="D246" s="123"/>
      <c r="L246" s="125"/>
      <c r="N246" s="126"/>
      <c r="P246" s="127"/>
      <c r="Q246" s="128"/>
      <c r="R246" s="74"/>
      <c r="AF246" s="76"/>
    </row>
    <row r="247">
      <c r="D247" s="123"/>
      <c r="L247" s="125"/>
      <c r="N247" s="126"/>
      <c r="P247" s="127"/>
      <c r="Q247" s="128"/>
      <c r="R247" s="74"/>
      <c r="AF247" s="76"/>
    </row>
    <row r="248">
      <c r="D248" s="123"/>
      <c r="L248" s="125"/>
      <c r="N248" s="126"/>
      <c r="P248" s="127"/>
      <c r="Q248" s="128"/>
      <c r="R248" s="74"/>
      <c r="AF248" s="76"/>
    </row>
    <row r="249">
      <c r="D249" s="123"/>
      <c r="L249" s="125"/>
      <c r="N249" s="126"/>
      <c r="P249" s="127"/>
      <c r="Q249" s="128"/>
      <c r="R249" s="74"/>
      <c r="AF249" s="76"/>
    </row>
    <row r="250">
      <c r="D250" s="123"/>
      <c r="L250" s="125"/>
      <c r="N250" s="126"/>
      <c r="P250" s="127"/>
      <c r="Q250" s="128"/>
      <c r="R250" s="74"/>
      <c r="AF250" s="76"/>
    </row>
    <row r="251">
      <c r="D251" s="123"/>
      <c r="L251" s="125"/>
      <c r="N251" s="126"/>
      <c r="P251" s="127"/>
      <c r="Q251" s="128"/>
      <c r="R251" s="74"/>
      <c r="AF251" s="76"/>
    </row>
    <row r="252">
      <c r="D252" s="123"/>
      <c r="L252" s="125"/>
      <c r="N252" s="126"/>
      <c r="P252" s="127"/>
      <c r="Q252" s="128"/>
      <c r="R252" s="74"/>
      <c r="AF252" s="76"/>
    </row>
    <row r="253">
      <c r="D253" s="123"/>
      <c r="L253" s="125"/>
      <c r="N253" s="126"/>
      <c r="P253" s="127"/>
      <c r="Q253" s="128"/>
      <c r="R253" s="74"/>
      <c r="AF253" s="76"/>
    </row>
    <row r="254">
      <c r="D254" s="123"/>
      <c r="L254" s="125"/>
      <c r="N254" s="126"/>
      <c r="P254" s="127"/>
      <c r="Q254" s="128"/>
      <c r="R254" s="74"/>
      <c r="AF254" s="76"/>
    </row>
    <row r="255">
      <c r="D255" s="123"/>
      <c r="L255" s="125"/>
      <c r="N255" s="126"/>
      <c r="P255" s="127"/>
      <c r="Q255" s="128"/>
      <c r="R255" s="74"/>
      <c r="AF255" s="76"/>
    </row>
    <row r="256">
      <c r="D256" s="123"/>
      <c r="L256" s="125"/>
      <c r="N256" s="126"/>
      <c r="P256" s="127"/>
      <c r="Q256" s="128"/>
      <c r="R256" s="74"/>
      <c r="AF256" s="76"/>
    </row>
    <row r="257">
      <c r="D257" s="123"/>
      <c r="L257" s="125"/>
      <c r="N257" s="126"/>
      <c r="P257" s="127"/>
      <c r="Q257" s="128"/>
      <c r="R257" s="74"/>
      <c r="AF257" s="76"/>
    </row>
    <row r="258">
      <c r="D258" s="123"/>
      <c r="L258" s="125"/>
      <c r="N258" s="126"/>
      <c r="P258" s="127"/>
      <c r="Q258" s="128"/>
      <c r="R258" s="74"/>
      <c r="AF258" s="76"/>
    </row>
    <row r="259">
      <c r="D259" s="123"/>
      <c r="L259" s="125"/>
      <c r="N259" s="126"/>
      <c r="P259" s="127"/>
      <c r="Q259" s="128"/>
      <c r="R259" s="74"/>
      <c r="AF259" s="76"/>
    </row>
    <row r="260">
      <c r="D260" s="123"/>
      <c r="L260" s="125"/>
      <c r="N260" s="126"/>
      <c r="P260" s="127"/>
      <c r="Q260" s="128"/>
      <c r="R260" s="74"/>
      <c r="AF260" s="76"/>
    </row>
    <row r="261">
      <c r="D261" s="123"/>
      <c r="L261" s="125"/>
      <c r="N261" s="126"/>
      <c r="P261" s="127"/>
      <c r="Q261" s="128"/>
      <c r="R261" s="74"/>
      <c r="AF261" s="76"/>
    </row>
    <row r="262">
      <c r="D262" s="123"/>
      <c r="L262" s="125"/>
      <c r="N262" s="126"/>
      <c r="P262" s="127"/>
      <c r="Q262" s="128"/>
      <c r="R262" s="74"/>
      <c r="AF262" s="76"/>
    </row>
    <row r="263">
      <c r="D263" s="123"/>
      <c r="L263" s="125"/>
      <c r="N263" s="126"/>
      <c r="P263" s="127"/>
      <c r="Q263" s="128"/>
      <c r="R263" s="74"/>
      <c r="AF263" s="76"/>
    </row>
    <row r="264">
      <c r="D264" s="123"/>
      <c r="L264" s="125"/>
      <c r="N264" s="126"/>
      <c r="P264" s="127"/>
      <c r="Q264" s="128"/>
      <c r="R264" s="74"/>
      <c r="AF264" s="76"/>
    </row>
    <row r="265">
      <c r="D265" s="123"/>
      <c r="L265" s="125"/>
      <c r="N265" s="126"/>
      <c r="P265" s="127"/>
      <c r="Q265" s="128"/>
      <c r="R265" s="74"/>
      <c r="AF265" s="76"/>
    </row>
    <row r="266">
      <c r="D266" s="123"/>
      <c r="L266" s="125"/>
      <c r="N266" s="126"/>
      <c r="P266" s="127"/>
      <c r="Q266" s="128"/>
      <c r="R266" s="74"/>
      <c r="AF266" s="76"/>
    </row>
    <row r="267">
      <c r="D267" s="123"/>
      <c r="L267" s="125"/>
      <c r="N267" s="126"/>
      <c r="P267" s="127"/>
      <c r="Q267" s="128"/>
      <c r="R267" s="74"/>
      <c r="AF267" s="76"/>
    </row>
    <row r="268">
      <c r="D268" s="123"/>
      <c r="L268" s="125"/>
      <c r="N268" s="126"/>
      <c r="P268" s="127"/>
      <c r="Q268" s="128"/>
      <c r="R268" s="74"/>
      <c r="AF268" s="76"/>
    </row>
    <row r="269">
      <c r="D269" s="123"/>
      <c r="L269" s="125"/>
      <c r="N269" s="126"/>
      <c r="P269" s="127"/>
      <c r="Q269" s="128"/>
      <c r="R269" s="74"/>
      <c r="AF269" s="76"/>
    </row>
    <row r="270">
      <c r="D270" s="123"/>
      <c r="L270" s="125"/>
      <c r="N270" s="126"/>
      <c r="P270" s="127"/>
      <c r="Q270" s="128"/>
      <c r="R270" s="74"/>
      <c r="AF270" s="76"/>
    </row>
    <row r="271">
      <c r="D271" s="123"/>
      <c r="L271" s="125"/>
      <c r="N271" s="126"/>
      <c r="P271" s="127"/>
      <c r="Q271" s="128"/>
      <c r="R271" s="74"/>
      <c r="AF271" s="76"/>
    </row>
    <row r="272">
      <c r="D272" s="123"/>
      <c r="L272" s="125"/>
      <c r="N272" s="126"/>
      <c r="P272" s="127"/>
      <c r="Q272" s="128"/>
      <c r="R272" s="74"/>
      <c r="AF272" s="76"/>
    </row>
    <row r="273">
      <c r="D273" s="123"/>
      <c r="L273" s="125"/>
      <c r="N273" s="126"/>
      <c r="P273" s="127"/>
      <c r="Q273" s="128"/>
      <c r="R273" s="74"/>
      <c r="AF273" s="76"/>
    </row>
    <row r="274">
      <c r="D274" s="123"/>
      <c r="L274" s="125"/>
      <c r="N274" s="126"/>
      <c r="P274" s="127"/>
      <c r="Q274" s="128"/>
      <c r="R274" s="74"/>
      <c r="AF274" s="76"/>
    </row>
    <row r="275">
      <c r="D275" s="123"/>
      <c r="L275" s="125"/>
      <c r="N275" s="126"/>
      <c r="P275" s="127"/>
      <c r="Q275" s="128"/>
      <c r="R275" s="74"/>
      <c r="AF275" s="76"/>
    </row>
    <row r="276">
      <c r="D276" s="123"/>
      <c r="L276" s="125"/>
      <c r="N276" s="126"/>
      <c r="P276" s="127"/>
      <c r="Q276" s="128"/>
      <c r="R276" s="74"/>
      <c r="AF276" s="76"/>
    </row>
    <row r="277">
      <c r="D277" s="123"/>
      <c r="L277" s="125"/>
      <c r="N277" s="126"/>
      <c r="P277" s="127"/>
      <c r="Q277" s="128"/>
      <c r="R277" s="74"/>
      <c r="AF277" s="76"/>
    </row>
    <row r="278">
      <c r="D278" s="123"/>
      <c r="L278" s="125"/>
      <c r="N278" s="126"/>
      <c r="P278" s="127"/>
      <c r="Q278" s="128"/>
      <c r="R278" s="74"/>
      <c r="AF278" s="76"/>
    </row>
    <row r="279">
      <c r="D279" s="123"/>
      <c r="L279" s="125"/>
      <c r="N279" s="126"/>
      <c r="P279" s="127"/>
      <c r="Q279" s="128"/>
      <c r="R279" s="74"/>
      <c r="AF279" s="76"/>
    </row>
    <row r="280">
      <c r="D280" s="123"/>
      <c r="L280" s="125"/>
      <c r="N280" s="126"/>
      <c r="P280" s="127"/>
      <c r="Q280" s="128"/>
      <c r="R280" s="74"/>
      <c r="AF280" s="76"/>
    </row>
    <row r="281">
      <c r="D281" s="123"/>
      <c r="L281" s="125"/>
      <c r="N281" s="126"/>
      <c r="P281" s="127"/>
      <c r="Q281" s="128"/>
      <c r="R281" s="74"/>
      <c r="AF281" s="76"/>
    </row>
    <row r="282">
      <c r="D282" s="123"/>
      <c r="L282" s="125"/>
      <c r="N282" s="126"/>
      <c r="P282" s="127"/>
      <c r="Q282" s="128"/>
      <c r="R282" s="74"/>
      <c r="AF282" s="76"/>
    </row>
    <row r="283">
      <c r="D283" s="123"/>
      <c r="L283" s="125"/>
      <c r="N283" s="126"/>
      <c r="P283" s="127"/>
      <c r="Q283" s="128"/>
      <c r="R283" s="74"/>
      <c r="AF283" s="76"/>
    </row>
    <row r="284">
      <c r="D284" s="123"/>
      <c r="L284" s="125"/>
      <c r="N284" s="126"/>
      <c r="P284" s="127"/>
      <c r="Q284" s="128"/>
      <c r="R284" s="74"/>
      <c r="AF284" s="76"/>
    </row>
    <row r="285">
      <c r="D285" s="123"/>
      <c r="L285" s="125"/>
      <c r="N285" s="126"/>
      <c r="P285" s="127"/>
      <c r="Q285" s="128"/>
      <c r="R285" s="74"/>
      <c r="AF285" s="76"/>
    </row>
    <row r="286">
      <c r="D286" s="123"/>
      <c r="L286" s="125"/>
      <c r="N286" s="126"/>
      <c r="P286" s="127"/>
      <c r="Q286" s="128"/>
      <c r="R286" s="74"/>
      <c r="AF286" s="76"/>
    </row>
    <row r="287">
      <c r="D287" s="123"/>
      <c r="L287" s="125"/>
      <c r="N287" s="126"/>
      <c r="P287" s="127"/>
      <c r="Q287" s="128"/>
      <c r="R287" s="74"/>
      <c r="AF287" s="76"/>
    </row>
    <row r="288">
      <c r="D288" s="123"/>
      <c r="L288" s="125"/>
      <c r="N288" s="126"/>
      <c r="P288" s="127"/>
      <c r="Q288" s="128"/>
      <c r="R288" s="74"/>
      <c r="AF288" s="76"/>
    </row>
    <row r="289">
      <c r="D289" s="123"/>
      <c r="L289" s="125"/>
      <c r="N289" s="126"/>
      <c r="P289" s="127"/>
      <c r="Q289" s="128"/>
      <c r="R289" s="74"/>
      <c r="AF289" s="76"/>
    </row>
    <row r="290">
      <c r="D290" s="123"/>
      <c r="L290" s="125"/>
      <c r="N290" s="126"/>
      <c r="P290" s="127"/>
      <c r="Q290" s="128"/>
      <c r="R290" s="74"/>
      <c r="AF290" s="76"/>
    </row>
    <row r="291">
      <c r="D291" s="123"/>
      <c r="L291" s="125"/>
      <c r="N291" s="126"/>
      <c r="P291" s="127"/>
      <c r="Q291" s="128"/>
      <c r="R291" s="74"/>
      <c r="AF291" s="76"/>
    </row>
    <row r="292">
      <c r="D292" s="123"/>
      <c r="L292" s="125"/>
      <c r="N292" s="126"/>
      <c r="P292" s="127"/>
      <c r="Q292" s="128"/>
      <c r="R292" s="74"/>
      <c r="AF292" s="76"/>
    </row>
    <row r="293">
      <c r="D293" s="123"/>
      <c r="L293" s="125"/>
      <c r="N293" s="126"/>
      <c r="P293" s="127"/>
      <c r="Q293" s="128"/>
      <c r="R293" s="74"/>
      <c r="AF293" s="76"/>
    </row>
    <row r="294">
      <c r="D294" s="123"/>
      <c r="L294" s="125"/>
      <c r="N294" s="126"/>
      <c r="P294" s="127"/>
      <c r="Q294" s="128"/>
      <c r="R294" s="74"/>
      <c r="AF294" s="76"/>
    </row>
    <row r="295">
      <c r="D295" s="123"/>
      <c r="L295" s="125"/>
      <c r="N295" s="126"/>
      <c r="P295" s="127"/>
      <c r="Q295" s="128"/>
      <c r="R295" s="74"/>
      <c r="AF295" s="76"/>
    </row>
    <row r="296">
      <c r="D296" s="123"/>
      <c r="L296" s="125"/>
      <c r="N296" s="126"/>
      <c r="P296" s="127"/>
      <c r="Q296" s="128"/>
      <c r="R296" s="74"/>
      <c r="AF296" s="76"/>
    </row>
    <row r="297">
      <c r="D297" s="123"/>
      <c r="L297" s="125"/>
      <c r="N297" s="126"/>
      <c r="P297" s="127"/>
      <c r="Q297" s="128"/>
      <c r="R297" s="74"/>
      <c r="AF297" s="76"/>
    </row>
    <row r="298">
      <c r="D298" s="123"/>
      <c r="L298" s="125"/>
      <c r="N298" s="126"/>
      <c r="P298" s="127"/>
      <c r="Q298" s="128"/>
      <c r="R298" s="74"/>
      <c r="AF298" s="76"/>
    </row>
    <row r="299">
      <c r="D299" s="123"/>
      <c r="L299" s="125"/>
      <c r="N299" s="126"/>
      <c r="P299" s="127"/>
      <c r="Q299" s="128"/>
      <c r="R299" s="74"/>
      <c r="AF299" s="76"/>
    </row>
    <row r="300">
      <c r="D300" s="123"/>
      <c r="L300" s="125"/>
      <c r="N300" s="126"/>
      <c r="P300" s="127"/>
      <c r="Q300" s="128"/>
      <c r="R300" s="74"/>
      <c r="AF300" s="76"/>
    </row>
    <row r="301">
      <c r="D301" s="123"/>
      <c r="L301" s="125"/>
      <c r="N301" s="126"/>
      <c r="P301" s="127"/>
      <c r="Q301" s="128"/>
      <c r="R301" s="74"/>
      <c r="AF301" s="76"/>
    </row>
    <row r="302">
      <c r="D302" s="123"/>
      <c r="L302" s="125"/>
      <c r="N302" s="126"/>
      <c r="P302" s="127"/>
      <c r="Q302" s="128"/>
      <c r="R302" s="74"/>
      <c r="AF302" s="76"/>
    </row>
    <row r="303">
      <c r="D303" s="123"/>
      <c r="L303" s="125"/>
      <c r="N303" s="126"/>
      <c r="P303" s="127"/>
      <c r="Q303" s="128"/>
      <c r="R303" s="74"/>
      <c r="AF303" s="76"/>
    </row>
    <row r="304">
      <c r="D304" s="123"/>
      <c r="L304" s="125"/>
      <c r="N304" s="126"/>
      <c r="P304" s="127"/>
      <c r="Q304" s="128"/>
      <c r="R304" s="74"/>
      <c r="AF304" s="76"/>
    </row>
    <row r="305">
      <c r="D305" s="123"/>
      <c r="L305" s="125"/>
      <c r="N305" s="126"/>
      <c r="P305" s="127"/>
      <c r="Q305" s="128"/>
      <c r="R305" s="74"/>
      <c r="AF305" s="76"/>
    </row>
    <row r="306">
      <c r="D306" s="123"/>
      <c r="L306" s="125"/>
      <c r="N306" s="126"/>
      <c r="P306" s="127"/>
      <c r="Q306" s="128"/>
      <c r="R306" s="74"/>
      <c r="AF306" s="76"/>
    </row>
    <row r="307">
      <c r="D307" s="123"/>
      <c r="L307" s="125"/>
      <c r="N307" s="126"/>
      <c r="P307" s="127"/>
      <c r="Q307" s="128"/>
      <c r="R307" s="74"/>
      <c r="AF307" s="76"/>
    </row>
    <row r="308">
      <c r="D308" s="123"/>
      <c r="L308" s="125"/>
      <c r="N308" s="126"/>
      <c r="P308" s="127"/>
      <c r="Q308" s="128"/>
      <c r="R308" s="74"/>
      <c r="AF308" s="76"/>
    </row>
    <row r="309">
      <c r="D309" s="123"/>
      <c r="L309" s="125"/>
      <c r="N309" s="126"/>
      <c r="P309" s="127"/>
      <c r="Q309" s="128"/>
      <c r="R309" s="74"/>
      <c r="AF309" s="76"/>
    </row>
    <row r="310">
      <c r="D310" s="123"/>
      <c r="L310" s="125"/>
      <c r="N310" s="126"/>
      <c r="P310" s="127"/>
      <c r="Q310" s="128"/>
      <c r="R310" s="74"/>
      <c r="AF310" s="76"/>
    </row>
    <row r="311">
      <c r="D311" s="123"/>
      <c r="L311" s="125"/>
      <c r="N311" s="126"/>
      <c r="P311" s="127"/>
      <c r="Q311" s="128"/>
      <c r="R311" s="74"/>
      <c r="AF311" s="76"/>
    </row>
    <row r="312">
      <c r="D312" s="123"/>
      <c r="L312" s="125"/>
      <c r="N312" s="126"/>
      <c r="P312" s="127"/>
      <c r="Q312" s="128"/>
      <c r="R312" s="74"/>
      <c r="AF312" s="76"/>
    </row>
    <row r="313">
      <c r="D313" s="123"/>
      <c r="L313" s="125"/>
      <c r="N313" s="126"/>
      <c r="P313" s="127"/>
      <c r="Q313" s="128"/>
      <c r="R313" s="74"/>
      <c r="AF313" s="76"/>
    </row>
    <row r="314">
      <c r="D314" s="123"/>
      <c r="L314" s="125"/>
      <c r="N314" s="126"/>
      <c r="P314" s="127"/>
      <c r="Q314" s="128"/>
      <c r="R314" s="74"/>
      <c r="AF314" s="76"/>
    </row>
    <row r="315">
      <c r="D315" s="123"/>
      <c r="L315" s="125"/>
      <c r="N315" s="126"/>
      <c r="P315" s="127"/>
      <c r="Q315" s="128"/>
      <c r="R315" s="74"/>
      <c r="AF315" s="76"/>
    </row>
    <row r="316">
      <c r="D316" s="123"/>
      <c r="L316" s="125"/>
      <c r="N316" s="126"/>
      <c r="P316" s="127"/>
      <c r="Q316" s="128"/>
      <c r="R316" s="74"/>
      <c r="AF316" s="76"/>
    </row>
    <row r="317">
      <c r="D317" s="123"/>
      <c r="L317" s="125"/>
      <c r="N317" s="126"/>
      <c r="P317" s="127"/>
      <c r="Q317" s="128"/>
      <c r="R317" s="74"/>
      <c r="AF317" s="76"/>
    </row>
    <row r="318">
      <c r="D318" s="123"/>
      <c r="L318" s="125"/>
      <c r="N318" s="126"/>
      <c r="P318" s="127"/>
      <c r="Q318" s="128"/>
      <c r="R318" s="74"/>
      <c r="AF318" s="76"/>
    </row>
    <row r="319">
      <c r="D319" s="123"/>
      <c r="L319" s="125"/>
      <c r="N319" s="126"/>
      <c r="P319" s="127"/>
      <c r="Q319" s="128"/>
      <c r="R319" s="74"/>
      <c r="AF319" s="76"/>
    </row>
    <row r="320">
      <c r="D320" s="123"/>
      <c r="L320" s="125"/>
      <c r="N320" s="126"/>
      <c r="P320" s="127"/>
      <c r="Q320" s="128"/>
      <c r="R320" s="74"/>
      <c r="AF320" s="76"/>
    </row>
    <row r="321">
      <c r="D321" s="123"/>
      <c r="L321" s="125"/>
      <c r="N321" s="126"/>
      <c r="P321" s="127"/>
      <c r="Q321" s="128"/>
      <c r="R321" s="74"/>
      <c r="AF321" s="76"/>
    </row>
    <row r="322">
      <c r="D322" s="123"/>
      <c r="L322" s="125"/>
      <c r="N322" s="126"/>
      <c r="P322" s="127"/>
      <c r="Q322" s="128"/>
      <c r="R322" s="74"/>
      <c r="AF322" s="76"/>
    </row>
    <row r="323">
      <c r="D323" s="123"/>
      <c r="L323" s="125"/>
      <c r="N323" s="126"/>
      <c r="P323" s="127"/>
      <c r="Q323" s="128"/>
      <c r="R323" s="74"/>
      <c r="AF323" s="76"/>
    </row>
    <row r="324">
      <c r="D324" s="123"/>
      <c r="L324" s="125"/>
      <c r="N324" s="126"/>
      <c r="P324" s="127"/>
      <c r="Q324" s="128"/>
      <c r="R324" s="74"/>
      <c r="AF324" s="76"/>
    </row>
    <row r="325">
      <c r="D325" s="123"/>
      <c r="L325" s="125"/>
      <c r="N325" s="126"/>
      <c r="P325" s="127"/>
      <c r="Q325" s="128"/>
      <c r="R325" s="74"/>
      <c r="AF325" s="76"/>
    </row>
    <row r="326">
      <c r="D326" s="123"/>
      <c r="L326" s="125"/>
      <c r="N326" s="126"/>
      <c r="P326" s="127"/>
      <c r="Q326" s="128"/>
      <c r="R326" s="74"/>
      <c r="AF326" s="76"/>
    </row>
    <row r="327">
      <c r="D327" s="123"/>
      <c r="L327" s="125"/>
      <c r="N327" s="126"/>
      <c r="P327" s="127"/>
      <c r="Q327" s="128"/>
      <c r="R327" s="74"/>
      <c r="AF327" s="76"/>
    </row>
    <row r="328">
      <c r="D328" s="123"/>
      <c r="L328" s="125"/>
      <c r="N328" s="126"/>
      <c r="P328" s="127"/>
      <c r="Q328" s="128"/>
      <c r="R328" s="74"/>
      <c r="AF328" s="76"/>
    </row>
    <row r="329">
      <c r="D329" s="123"/>
      <c r="L329" s="125"/>
      <c r="N329" s="126"/>
      <c r="P329" s="127"/>
      <c r="Q329" s="128"/>
      <c r="R329" s="74"/>
      <c r="AF329" s="76"/>
    </row>
    <row r="330">
      <c r="D330" s="123"/>
      <c r="L330" s="125"/>
      <c r="N330" s="126"/>
      <c r="P330" s="127"/>
      <c r="Q330" s="128"/>
      <c r="R330" s="74"/>
      <c r="AF330" s="76"/>
    </row>
    <row r="331">
      <c r="D331" s="123"/>
      <c r="L331" s="125"/>
      <c r="N331" s="126"/>
      <c r="P331" s="127"/>
      <c r="Q331" s="128"/>
      <c r="R331" s="74"/>
      <c r="AF331" s="76"/>
    </row>
    <row r="332">
      <c r="D332" s="123"/>
      <c r="L332" s="125"/>
      <c r="N332" s="126"/>
      <c r="P332" s="127"/>
      <c r="Q332" s="128"/>
      <c r="R332" s="74"/>
      <c r="AF332" s="76"/>
    </row>
    <row r="333">
      <c r="D333" s="123"/>
      <c r="L333" s="125"/>
      <c r="N333" s="126"/>
      <c r="P333" s="127"/>
      <c r="Q333" s="128"/>
      <c r="R333" s="74"/>
      <c r="AF333" s="76"/>
    </row>
    <row r="334">
      <c r="D334" s="123"/>
      <c r="L334" s="125"/>
      <c r="N334" s="126"/>
      <c r="P334" s="127"/>
      <c r="Q334" s="128"/>
      <c r="R334" s="74"/>
      <c r="AF334" s="76"/>
    </row>
    <row r="335">
      <c r="D335" s="123"/>
      <c r="L335" s="125"/>
      <c r="N335" s="126"/>
      <c r="P335" s="127"/>
      <c r="Q335" s="128"/>
      <c r="R335" s="74"/>
      <c r="AF335" s="76"/>
    </row>
    <row r="336">
      <c r="D336" s="123"/>
      <c r="L336" s="125"/>
      <c r="N336" s="126"/>
      <c r="P336" s="127"/>
      <c r="Q336" s="128"/>
      <c r="R336" s="74"/>
      <c r="AF336" s="76"/>
    </row>
    <row r="337">
      <c r="D337" s="123"/>
      <c r="L337" s="125"/>
      <c r="N337" s="126"/>
      <c r="P337" s="127"/>
      <c r="Q337" s="128"/>
      <c r="R337" s="74"/>
      <c r="AF337" s="76"/>
    </row>
    <row r="338">
      <c r="D338" s="123"/>
      <c r="L338" s="125"/>
      <c r="N338" s="126"/>
      <c r="P338" s="127"/>
      <c r="Q338" s="128"/>
      <c r="R338" s="74"/>
      <c r="AF338" s="76"/>
    </row>
    <row r="339">
      <c r="D339" s="123"/>
      <c r="L339" s="125"/>
      <c r="N339" s="126"/>
      <c r="P339" s="127"/>
      <c r="Q339" s="128"/>
      <c r="R339" s="74"/>
      <c r="AF339" s="76"/>
    </row>
    <row r="340">
      <c r="D340" s="123"/>
      <c r="L340" s="125"/>
      <c r="N340" s="126"/>
      <c r="P340" s="127"/>
      <c r="Q340" s="128"/>
      <c r="R340" s="74"/>
      <c r="AF340" s="76"/>
    </row>
    <row r="341">
      <c r="D341" s="123"/>
      <c r="L341" s="125"/>
      <c r="N341" s="126"/>
      <c r="P341" s="127"/>
      <c r="Q341" s="128"/>
      <c r="R341" s="74"/>
      <c r="AF341" s="76"/>
    </row>
    <row r="342">
      <c r="D342" s="123"/>
      <c r="L342" s="125"/>
      <c r="N342" s="126"/>
      <c r="P342" s="127"/>
      <c r="Q342" s="128"/>
      <c r="R342" s="74"/>
      <c r="AF342" s="76"/>
    </row>
    <row r="343">
      <c r="D343" s="123"/>
      <c r="L343" s="125"/>
      <c r="N343" s="126"/>
      <c r="P343" s="127"/>
      <c r="Q343" s="128"/>
      <c r="R343" s="74"/>
      <c r="AF343" s="76"/>
    </row>
    <row r="344">
      <c r="D344" s="123"/>
      <c r="L344" s="125"/>
      <c r="N344" s="126"/>
      <c r="P344" s="127"/>
      <c r="Q344" s="128"/>
      <c r="R344" s="74"/>
      <c r="AF344" s="76"/>
    </row>
    <row r="345">
      <c r="D345" s="123"/>
      <c r="L345" s="125"/>
      <c r="N345" s="126"/>
      <c r="P345" s="127"/>
      <c r="Q345" s="128"/>
      <c r="R345" s="74"/>
      <c r="AF345" s="76"/>
    </row>
    <row r="346">
      <c r="D346" s="123"/>
      <c r="L346" s="125"/>
      <c r="N346" s="126"/>
      <c r="P346" s="127"/>
      <c r="Q346" s="128"/>
      <c r="R346" s="74"/>
      <c r="AF346" s="76"/>
    </row>
    <row r="347">
      <c r="D347" s="123"/>
      <c r="L347" s="125"/>
      <c r="N347" s="126"/>
      <c r="P347" s="127"/>
      <c r="Q347" s="128"/>
      <c r="R347" s="74"/>
      <c r="AF347" s="76"/>
    </row>
    <row r="348">
      <c r="D348" s="123"/>
      <c r="L348" s="125"/>
      <c r="N348" s="126"/>
      <c r="P348" s="127"/>
      <c r="Q348" s="128"/>
      <c r="R348" s="74"/>
      <c r="AF348" s="76"/>
    </row>
    <row r="349">
      <c r="D349" s="123"/>
      <c r="L349" s="125"/>
      <c r="N349" s="126"/>
      <c r="P349" s="127"/>
      <c r="Q349" s="128"/>
      <c r="R349" s="74"/>
      <c r="AF349" s="76"/>
    </row>
    <row r="350">
      <c r="D350" s="123"/>
      <c r="L350" s="125"/>
      <c r="N350" s="126"/>
      <c r="P350" s="127"/>
      <c r="Q350" s="128"/>
      <c r="R350" s="74"/>
      <c r="AF350" s="76"/>
    </row>
    <row r="351">
      <c r="D351" s="123"/>
      <c r="L351" s="125"/>
      <c r="N351" s="126"/>
      <c r="P351" s="127"/>
      <c r="Q351" s="128"/>
      <c r="R351" s="74"/>
      <c r="AF351" s="76"/>
    </row>
    <row r="352">
      <c r="D352" s="123"/>
      <c r="L352" s="125"/>
      <c r="N352" s="126"/>
      <c r="P352" s="127"/>
      <c r="Q352" s="128"/>
      <c r="R352" s="74"/>
      <c r="AF352" s="76"/>
    </row>
    <row r="353">
      <c r="D353" s="123"/>
      <c r="L353" s="125"/>
      <c r="N353" s="126"/>
      <c r="P353" s="127"/>
      <c r="Q353" s="128"/>
      <c r="R353" s="74"/>
      <c r="AF353" s="76"/>
    </row>
    <row r="354">
      <c r="D354" s="123"/>
      <c r="L354" s="125"/>
      <c r="N354" s="126"/>
      <c r="P354" s="127"/>
      <c r="Q354" s="128"/>
      <c r="R354" s="74"/>
      <c r="AF354" s="76"/>
    </row>
    <row r="355">
      <c r="D355" s="123"/>
      <c r="L355" s="125"/>
      <c r="N355" s="126"/>
      <c r="P355" s="127"/>
      <c r="Q355" s="128"/>
      <c r="R355" s="74"/>
      <c r="AF355" s="76"/>
    </row>
    <row r="356">
      <c r="D356" s="123"/>
      <c r="L356" s="125"/>
      <c r="N356" s="126"/>
      <c r="P356" s="127"/>
      <c r="Q356" s="128"/>
      <c r="R356" s="74"/>
      <c r="AF356" s="76"/>
    </row>
    <row r="357">
      <c r="D357" s="123"/>
      <c r="L357" s="125"/>
      <c r="N357" s="126"/>
      <c r="P357" s="127"/>
      <c r="Q357" s="128"/>
      <c r="R357" s="74"/>
      <c r="AF357" s="76"/>
    </row>
    <row r="358">
      <c r="D358" s="123"/>
      <c r="L358" s="125"/>
      <c r="N358" s="126"/>
      <c r="P358" s="127"/>
      <c r="Q358" s="128"/>
      <c r="R358" s="74"/>
      <c r="AF358" s="76"/>
    </row>
    <row r="359">
      <c r="D359" s="123"/>
      <c r="L359" s="125"/>
      <c r="N359" s="126"/>
      <c r="P359" s="127"/>
      <c r="Q359" s="128"/>
      <c r="R359" s="74"/>
      <c r="AF359" s="76"/>
    </row>
    <row r="360">
      <c r="D360" s="123"/>
      <c r="L360" s="125"/>
      <c r="N360" s="126"/>
      <c r="P360" s="127"/>
      <c r="Q360" s="128"/>
      <c r="R360" s="74"/>
      <c r="AF360" s="76"/>
    </row>
    <row r="361">
      <c r="D361" s="123"/>
      <c r="L361" s="125"/>
      <c r="N361" s="126"/>
      <c r="P361" s="127"/>
      <c r="Q361" s="128"/>
      <c r="R361" s="74"/>
      <c r="AF361" s="76"/>
    </row>
    <row r="362">
      <c r="D362" s="123"/>
      <c r="L362" s="125"/>
      <c r="N362" s="126"/>
      <c r="P362" s="127"/>
      <c r="Q362" s="128"/>
      <c r="R362" s="74"/>
      <c r="AF362" s="76"/>
    </row>
    <row r="363">
      <c r="D363" s="123"/>
      <c r="L363" s="125"/>
      <c r="N363" s="126"/>
      <c r="P363" s="127"/>
      <c r="Q363" s="128"/>
      <c r="R363" s="74"/>
      <c r="AF363" s="76"/>
    </row>
    <row r="364">
      <c r="D364" s="123"/>
      <c r="L364" s="125"/>
      <c r="N364" s="126"/>
      <c r="P364" s="127"/>
      <c r="Q364" s="128"/>
      <c r="R364" s="74"/>
      <c r="AF364" s="76"/>
    </row>
    <row r="365">
      <c r="D365" s="123"/>
      <c r="L365" s="125"/>
      <c r="N365" s="126"/>
      <c r="P365" s="127"/>
      <c r="Q365" s="128"/>
      <c r="R365" s="74"/>
      <c r="AF365" s="76"/>
    </row>
    <row r="366">
      <c r="D366" s="123"/>
      <c r="L366" s="125"/>
      <c r="N366" s="126"/>
      <c r="P366" s="127"/>
      <c r="Q366" s="128"/>
      <c r="R366" s="74"/>
      <c r="AF366" s="76"/>
    </row>
    <row r="367">
      <c r="D367" s="123"/>
      <c r="L367" s="125"/>
      <c r="N367" s="126"/>
      <c r="P367" s="127"/>
      <c r="Q367" s="128"/>
      <c r="R367" s="74"/>
      <c r="AF367" s="76"/>
    </row>
    <row r="368">
      <c r="D368" s="123"/>
      <c r="L368" s="125"/>
      <c r="N368" s="126"/>
      <c r="P368" s="127"/>
      <c r="Q368" s="128"/>
      <c r="R368" s="74"/>
      <c r="AF368" s="76"/>
    </row>
    <row r="369">
      <c r="D369" s="123"/>
      <c r="L369" s="125"/>
      <c r="N369" s="126"/>
      <c r="P369" s="127"/>
      <c r="Q369" s="128"/>
      <c r="R369" s="74"/>
      <c r="AF369" s="76"/>
    </row>
    <row r="370">
      <c r="D370" s="123"/>
      <c r="L370" s="125"/>
      <c r="N370" s="126"/>
      <c r="P370" s="127"/>
      <c r="Q370" s="128"/>
      <c r="R370" s="74"/>
      <c r="AF370" s="76"/>
    </row>
    <row r="371">
      <c r="D371" s="123"/>
      <c r="L371" s="125"/>
      <c r="N371" s="126"/>
      <c r="P371" s="127"/>
      <c r="Q371" s="128"/>
      <c r="R371" s="74"/>
      <c r="AF371" s="76"/>
    </row>
    <row r="372">
      <c r="D372" s="123"/>
      <c r="L372" s="125"/>
      <c r="N372" s="126"/>
      <c r="P372" s="127"/>
      <c r="Q372" s="128"/>
      <c r="R372" s="74"/>
      <c r="AF372" s="76"/>
    </row>
    <row r="373">
      <c r="D373" s="123"/>
      <c r="L373" s="125"/>
      <c r="N373" s="126"/>
      <c r="P373" s="127"/>
      <c r="Q373" s="128"/>
      <c r="R373" s="74"/>
      <c r="AF373" s="76"/>
    </row>
    <row r="374">
      <c r="D374" s="123"/>
      <c r="L374" s="125"/>
      <c r="N374" s="126"/>
      <c r="P374" s="127"/>
      <c r="Q374" s="128"/>
      <c r="R374" s="74"/>
      <c r="AF374" s="76"/>
    </row>
    <row r="375">
      <c r="D375" s="123"/>
      <c r="L375" s="125"/>
      <c r="N375" s="126"/>
      <c r="P375" s="127"/>
      <c r="Q375" s="128"/>
      <c r="R375" s="74"/>
      <c r="AF375" s="76"/>
    </row>
    <row r="376">
      <c r="D376" s="123"/>
      <c r="L376" s="125"/>
      <c r="N376" s="126"/>
      <c r="P376" s="127"/>
      <c r="Q376" s="128"/>
      <c r="R376" s="74"/>
      <c r="AF376" s="76"/>
    </row>
    <row r="377">
      <c r="D377" s="123"/>
      <c r="L377" s="125"/>
      <c r="N377" s="126"/>
      <c r="P377" s="127"/>
      <c r="Q377" s="128"/>
      <c r="R377" s="74"/>
      <c r="AF377" s="76"/>
    </row>
    <row r="378">
      <c r="D378" s="123"/>
      <c r="L378" s="125"/>
      <c r="N378" s="126"/>
      <c r="P378" s="127"/>
      <c r="Q378" s="128"/>
      <c r="R378" s="74"/>
      <c r="AF378" s="76"/>
    </row>
    <row r="379">
      <c r="D379" s="123"/>
      <c r="L379" s="125"/>
      <c r="N379" s="126"/>
      <c r="P379" s="127"/>
      <c r="Q379" s="128"/>
      <c r="R379" s="74"/>
      <c r="AF379" s="76"/>
    </row>
    <row r="380">
      <c r="D380" s="123"/>
      <c r="L380" s="125"/>
      <c r="N380" s="126"/>
      <c r="P380" s="127"/>
      <c r="Q380" s="128"/>
      <c r="R380" s="74"/>
      <c r="AF380" s="76"/>
    </row>
    <row r="381">
      <c r="D381" s="123"/>
      <c r="L381" s="125"/>
      <c r="N381" s="126"/>
      <c r="P381" s="127"/>
      <c r="Q381" s="128"/>
      <c r="R381" s="74"/>
      <c r="AF381" s="76"/>
    </row>
    <row r="382">
      <c r="D382" s="123"/>
      <c r="L382" s="125"/>
      <c r="N382" s="126"/>
      <c r="P382" s="127"/>
      <c r="Q382" s="128"/>
      <c r="R382" s="74"/>
      <c r="AF382" s="76"/>
    </row>
    <row r="383">
      <c r="D383" s="123"/>
      <c r="L383" s="125"/>
      <c r="N383" s="126"/>
      <c r="P383" s="127"/>
      <c r="Q383" s="128"/>
      <c r="R383" s="74"/>
      <c r="AF383" s="76"/>
    </row>
    <row r="384">
      <c r="D384" s="123"/>
      <c r="L384" s="125"/>
      <c r="N384" s="126"/>
      <c r="P384" s="127"/>
      <c r="Q384" s="128"/>
      <c r="R384" s="74"/>
      <c r="AF384" s="76"/>
    </row>
    <row r="385">
      <c r="D385" s="123"/>
      <c r="L385" s="125"/>
      <c r="N385" s="126"/>
      <c r="P385" s="127"/>
      <c r="Q385" s="128"/>
      <c r="R385" s="74"/>
      <c r="AF385" s="76"/>
    </row>
    <row r="386">
      <c r="D386" s="123"/>
      <c r="L386" s="125"/>
      <c r="N386" s="126"/>
      <c r="P386" s="127"/>
      <c r="Q386" s="128"/>
      <c r="R386" s="74"/>
      <c r="AF386" s="76"/>
    </row>
    <row r="387">
      <c r="D387" s="123"/>
      <c r="L387" s="125"/>
      <c r="N387" s="126"/>
      <c r="P387" s="127"/>
      <c r="Q387" s="128"/>
      <c r="R387" s="74"/>
      <c r="AF387" s="76"/>
    </row>
    <row r="388">
      <c r="D388" s="123"/>
      <c r="L388" s="125"/>
      <c r="N388" s="126"/>
      <c r="P388" s="127"/>
      <c r="Q388" s="128"/>
      <c r="R388" s="74"/>
      <c r="AF388" s="76"/>
    </row>
    <row r="389">
      <c r="D389" s="123"/>
      <c r="L389" s="125"/>
      <c r="N389" s="126"/>
      <c r="P389" s="127"/>
      <c r="Q389" s="128"/>
      <c r="R389" s="74"/>
      <c r="AF389" s="76"/>
    </row>
    <row r="390">
      <c r="D390" s="123"/>
      <c r="L390" s="125"/>
      <c r="N390" s="126"/>
      <c r="P390" s="127"/>
      <c r="Q390" s="128"/>
      <c r="R390" s="74"/>
      <c r="AF390" s="76"/>
    </row>
    <row r="391">
      <c r="D391" s="123"/>
      <c r="L391" s="125"/>
      <c r="N391" s="126"/>
      <c r="P391" s="127"/>
      <c r="Q391" s="128"/>
      <c r="R391" s="74"/>
      <c r="AF391" s="76"/>
    </row>
    <row r="392">
      <c r="D392" s="123"/>
      <c r="L392" s="125"/>
      <c r="N392" s="126"/>
      <c r="P392" s="127"/>
      <c r="Q392" s="128"/>
      <c r="R392" s="74"/>
      <c r="AF392" s="76"/>
    </row>
    <row r="393">
      <c r="D393" s="123"/>
      <c r="L393" s="125"/>
      <c r="N393" s="126"/>
      <c r="P393" s="127"/>
      <c r="Q393" s="128"/>
      <c r="R393" s="74"/>
      <c r="AF393" s="76"/>
    </row>
    <row r="394">
      <c r="D394" s="123"/>
      <c r="L394" s="125"/>
      <c r="N394" s="126"/>
      <c r="P394" s="127"/>
      <c r="Q394" s="128"/>
      <c r="R394" s="74"/>
      <c r="AF394" s="76"/>
    </row>
    <row r="395">
      <c r="D395" s="123"/>
      <c r="L395" s="125"/>
      <c r="N395" s="126"/>
      <c r="P395" s="127"/>
      <c r="Q395" s="128"/>
      <c r="R395" s="74"/>
      <c r="AF395" s="76"/>
    </row>
    <row r="396">
      <c r="D396" s="123"/>
      <c r="L396" s="125"/>
      <c r="N396" s="126"/>
      <c r="P396" s="127"/>
      <c r="Q396" s="128"/>
      <c r="R396" s="74"/>
      <c r="AF396" s="76"/>
    </row>
    <row r="397">
      <c r="D397" s="123"/>
      <c r="L397" s="125"/>
      <c r="N397" s="126"/>
      <c r="P397" s="127"/>
      <c r="Q397" s="128"/>
      <c r="R397" s="74"/>
      <c r="AF397" s="76"/>
    </row>
    <row r="398">
      <c r="D398" s="123"/>
      <c r="L398" s="125"/>
      <c r="N398" s="126"/>
      <c r="P398" s="127"/>
      <c r="Q398" s="128"/>
      <c r="R398" s="74"/>
      <c r="AF398" s="76"/>
    </row>
    <row r="399">
      <c r="D399" s="123"/>
      <c r="L399" s="125"/>
      <c r="N399" s="126"/>
      <c r="P399" s="127"/>
      <c r="Q399" s="128"/>
      <c r="R399" s="74"/>
      <c r="AF399" s="76"/>
    </row>
    <row r="400">
      <c r="D400" s="123"/>
      <c r="L400" s="125"/>
      <c r="N400" s="126"/>
      <c r="P400" s="127"/>
      <c r="Q400" s="128"/>
      <c r="R400" s="74"/>
      <c r="AF400" s="76"/>
    </row>
    <row r="401">
      <c r="D401" s="123"/>
      <c r="L401" s="125"/>
      <c r="N401" s="126"/>
      <c r="P401" s="127"/>
      <c r="Q401" s="128"/>
      <c r="R401" s="74"/>
      <c r="AF401" s="76"/>
    </row>
    <row r="402">
      <c r="D402" s="123"/>
      <c r="L402" s="125"/>
      <c r="N402" s="126"/>
      <c r="P402" s="127"/>
      <c r="Q402" s="128"/>
      <c r="R402" s="74"/>
      <c r="AF402" s="76"/>
    </row>
    <row r="403">
      <c r="D403" s="123"/>
      <c r="L403" s="125"/>
      <c r="N403" s="126"/>
      <c r="P403" s="127"/>
      <c r="Q403" s="128"/>
      <c r="R403" s="74"/>
      <c r="AF403" s="76"/>
    </row>
    <row r="404">
      <c r="D404" s="123"/>
      <c r="L404" s="125"/>
      <c r="N404" s="126"/>
      <c r="P404" s="127"/>
      <c r="Q404" s="128"/>
      <c r="R404" s="74"/>
      <c r="AF404" s="76"/>
    </row>
    <row r="405">
      <c r="D405" s="123"/>
      <c r="L405" s="125"/>
      <c r="N405" s="126"/>
      <c r="P405" s="127"/>
      <c r="Q405" s="128"/>
      <c r="R405" s="74"/>
      <c r="AF405" s="76"/>
    </row>
    <row r="406">
      <c r="D406" s="123"/>
      <c r="L406" s="125"/>
      <c r="N406" s="126"/>
      <c r="P406" s="127"/>
      <c r="Q406" s="128"/>
      <c r="R406" s="74"/>
      <c r="AF406" s="76"/>
    </row>
    <row r="407">
      <c r="D407" s="123"/>
      <c r="L407" s="125"/>
      <c r="N407" s="126"/>
      <c r="P407" s="127"/>
      <c r="Q407" s="128"/>
      <c r="R407" s="74"/>
      <c r="AF407" s="76"/>
    </row>
    <row r="408">
      <c r="D408" s="123"/>
      <c r="L408" s="125"/>
      <c r="N408" s="126"/>
      <c r="P408" s="127"/>
      <c r="Q408" s="128"/>
      <c r="R408" s="74"/>
      <c r="AF408" s="76"/>
    </row>
    <row r="409">
      <c r="D409" s="123"/>
      <c r="L409" s="125"/>
      <c r="N409" s="126"/>
      <c r="P409" s="127"/>
      <c r="Q409" s="128"/>
      <c r="R409" s="74"/>
      <c r="AF409" s="76"/>
    </row>
    <row r="410">
      <c r="D410" s="123"/>
      <c r="L410" s="125"/>
      <c r="N410" s="126"/>
      <c r="P410" s="127"/>
      <c r="Q410" s="128"/>
      <c r="R410" s="74"/>
      <c r="AF410" s="76"/>
    </row>
    <row r="411">
      <c r="D411" s="123"/>
      <c r="L411" s="125"/>
      <c r="N411" s="126"/>
      <c r="P411" s="127"/>
      <c r="Q411" s="128"/>
      <c r="R411" s="74"/>
      <c r="AF411" s="76"/>
    </row>
    <row r="412">
      <c r="D412" s="123"/>
      <c r="L412" s="125"/>
      <c r="N412" s="126"/>
      <c r="P412" s="127"/>
      <c r="Q412" s="128"/>
      <c r="R412" s="74"/>
      <c r="AF412" s="76"/>
    </row>
    <row r="413">
      <c r="D413" s="123"/>
      <c r="L413" s="125"/>
      <c r="N413" s="126"/>
      <c r="P413" s="127"/>
      <c r="Q413" s="128"/>
      <c r="R413" s="74"/>
      <c r="AF413" s="76"/>
    </row>
    <row r="414">
      <c r="D414" s="123"/>
      <c r="L414" s="125"/>
      <c r="N414" s="126"/>
      <c r="P414" s="127"/>
      <c r="Q414" s="128"/>
      <c r="R414" s="74"/>
      <c r="AF414" s="76"/>
    </row>
    <row r="415">
      <c r="D415" s="123"/>
      <c r="L415" s="125"/>
      <c r="N415" s="126"/>
      <c r="P415" s="127"/>
      <c r="Q415" s="128"/>
      <c r="R415" s="74"/>
      <c r="AF415" s="76"/>
    </row>
    <row r="416">
      <c r="D416" s="123"/>
      <c r="L416" s="125"/>
      <c r="N416" s="126"/>
      <c r="P416" s="127"/>
      <c r="Q416" s="128"/>
      <c r="R416" s="74"/>
      <c r="AF416" s="76"/>
    </row>
    <row r="417">
      <c r="D417" s="123"/>
      <c r="L417" s="125"/>
      <c r="N417" s="126"/>
      <c r="P417" s="127"/>
      <c r="Q417" s="128"/>
      <c r="R417" s="74"/>
      <c r="AF417" s="76"/>
    </row>
    <row r="418">
      <c r="D418" s="123"/>
      <c r="L418" s="125"/>
      <c r="N418" s="126"/>
      <c r="P418" s="127"/>
      <c r="Q418" s="128"/>
      <c r="R418" s="74"/>
      <c r="AF418" s="76"/>
    </row>
    <row r="419">
      <c r="D419" s="123"/>
      <c r="L419" s="125"/>
      <c r="N419" s="126"/>
      <c r="P419" s="127"/>
      <c r="Q419" s="128"/>
      <c r="R419" s="74"/>
      <c r="AF419" s="76"/>
    </row>
    <row r="420">
      <c r="D420" s="123"/>
      <c r="L420" s="125"/>
      <c r="N420" s="126"/>
      <c r="P420" s="127"/>
      <c r="Q420" s="128"/>
      <c r="R420" s="74"/>
      <c r="AF420" s="76"/>
    </row>
    <row r="421">
      <c r="D421" s="123"/>
      <c r="L421" s="125"/>
      <c r="N421" s="126"/>
      <c r="P421" s="127"/>
      <c r="Q421" s="128"/>
      <c r="R421" s="74"/>
      <c r="AF421" s="76"/>
    </row>
    <row r="422">
      <c r="D422" s="123"/>
      <c r="L422" s="125"/>
      <c r="N422" s="126"/>
      <c r="P422" s="127"/>
      <c r="Q422" s="128"/>
      <c r="R422" s="74"/>
      <c r="AF422" s="76"/>
    </row>
    <row r="423">
      <c r="D423" s="123"/>
      <c r="L423" s="125"/>
      <c r="N423" s="126"/>
      <c r="P423" s="127"/>
      <c r="Q423" s="128"/>
      <c r="R423" s="74"/>
      <c r="AF423" s="76"/>
    </row>
    <row r="424">
      <c r="D424" s="123"/>
      <c r="L424" s="125"/>
      <c r="N424" s="126"/>
      <c r="P424" s="127"/>
      <c r="Q424" s="128"/>
      <c r="R424" s="74"/>
      <c r="AF424" s="76"/>
    </row>
    <row r="425">
      <c r="D425" s="123"/>
      <c r="L425" s="125"/>
      <c r="N425" s="126"/>
      <c r="P425" s="127"/>
      <c r="Q425" s="128"/>
      <c r="R425" s="74"/>
      <c r="AF425" s="76"/>
    </row>
    <row r="426">
      <c r="D426" s="123"/>
      <c r="L426" s="125"/>
      <c r="N426" s="126"/>
      <c r="P426" s="127"/>
      <c r="Q426" s="128"/>
      <c r="R426" s="74"/>
      <c r="AF426" s="76"/>
    </row>
    <row r="427">
      <c r="D427" s="123"/>
      <c r="L427" s="125"/>
      <c r="N427" s="126"/>
      <c r="P427" s="127"/>
      <c r="Q427" s="128"/>
      <c r="R427" s="74"/>
      <c r="AF427" s="76"/>
    </row>
    <row r="428">
      <c r="D428" s="123"/>
      <c r="L428" s="125"/>
      <c r="N428" s="126"/>
      <c r="P428" s="127"/>
      <c r="Q428" s="128"/>
      <c r="R428" s="74"/>
      <c r="AF428" s="76"/>
    </row>
    <row r="429">
      <c r="D429" s="123"/>
      <c r="L429" s="125"/>
      <c r="N429" s="126"/>
      <c r="P429" s="127"/>
      <c r="Q429" s="128"/>
      <c r="R429" s="74"/>
      <c r="AF429" s="76"/>
    </row>
    <row r="430">
      <c r="D430" s="123"/>
      <c r="L430" s="125"/>
      <c r="N430" s="126"/>
      <c r="P430" s="127"/>
      <c r="Q430" s="128"/>
      <c r="R430" s="74"/>
      <c r="AF430" s="76"/>
    </row>
    <row r="431">
      <c r="D431" s="123"/>
      <c r="L431" s="125"/>
      <c r="N431" s="126"/>
      <c r="P431" s="127"/>
      <c r="Q431" s="128"/>
      <c r="R431" s="74"/>
      <c r="AF431" s="76"/>
    </row>
    <row r="432">
      <c r="D432" s="123"/>
      <c r="L432" s="125"/>
      <c r="N432" s="126"/>
      <c r="P432" s="127"/>
      <c r="Q432" s="128"/>
      <c r="R432" s="74"/>
      <c r="AF432" s="76"/>
    </row>
    <row r="433">
      <c r="D433" s="123"/>
      <c r="L433" s="125"/>
      <c r="N433" s="126"/>
      <c r="P433" s="127"/>
      <c r="Q433" s="128"/>
      <c r="R433" s="74"/>
      <c r="AF433" s="76"/>
    </row>
    <row r="434">
      <c r="D434" s="123"/>
      <c r="L434" s="125"/>
      <c r="N434" s="126"/>
      <c r="P434" s="127"/>
      <c r="Q434" s="128"/>
      <c r="R434" s="74"/>
      <c r="AF434" s="76"/>
    </row>
    <row r="435">
      <c r="D435" s="123"/>
      <c r="L435" s="125"/>
      <c r="N435" s="126"/>
      <c r="P435" s="127"/>
      <c r="Q435" s="128"/>
      <c r="R435" s="74"/>
      <c r="AF435" s="76"/>
    </row>
    <row r="436">
      <c r="D436" s="123"/>
      <c r="L436" s="125"/>
      <c r="N436" s="126"/>
      <c r="P436" s="127"/>
      <c r="Q436" s="128"/>
      <c r="R436" s="74"/>
      <c r="AF436" s="76"/>
    </row>
    <row r="437">
      <c r="D437" s="123"/>
      <c r="L437" s="125"/>
      <c r="N437" s="126"/>
      <c r="P437" s="127"/>
      <c r="Q437" s="128"/>
      <c r="R437" s="74"/>
      <c r="AF437" s="76"/>
    </row>
    <row r="438">
      <c r="D438" s="123"/>
      <c r="L438" s="125"/>
      <c r="N438" s="126"/>
      <c r="P438" s="127"/>
      <c r="Q438" s="128"/>
      <c r="R438" s="74"/>
      <c r="AF438" s="76"/>
    </row>
    <row r="439">
      <c r="D439" s="123"/>
      <c r="L439" s="125"/>
      <c r="N439" s="126"/>
      <c r="P439" s="127"/>
      <c r="Q439" s="128"/>
      <c r="R439" s="74"/>
      <c r="AF439" s="76"/>
    </row>
    <row r="440">
      <c r="D440" s="123"/>
      <c r="L440" s="125"/>
      <c r="N440" s="126"/>
      <c r="P440" s="127"/>
      <c r="Q440" s="128"/>
      <c r="R440" s="74"/>
      <c r="AF440" s="76"/>
    </row>
    <row r="441">
      <c r="D441" s="123"/>
      <c r="L441" s="125"/>
      <c r="N441" s="126"/>
      <c r="P441" s="127"/>
      <c r="Q441" s="128"/>
      <c r="R441" s="74"/>
      <c r="AF441" s="76"/>
    </row>
    <row r="442">
      <c r="D442" s="123"/>
      <c r="L442" s="125"/>
      <c r="N442" s="126"/>
      <c r="P442" s="127"/>
      <c r="Q442" s="128"/>
      <c r="R442" s="74"/>
      <c r="AF442" s="76"/>
    </row>
    <row r="443">
      <c r="D443" s="123"/>
      <c r="L443" s="125"/>
      <c r="N443" s="126"/>
      <c r="P443" s="127"/>
      <c r="Q443" s="128"/>
      <c r="R443" s="74"/>
      <c r="AF443" s="76"/>
    </row>
    <row r="444">
      <c r="D444" s="123"/>
      <c r="L444" s="125"/>
      <c r="N444" s="126"/>
      <c r="P444" s="127"/>
      <c r="Q444" s="128"/>
      <c r="R444" s="74"/>
      <c r="AF444" s="76"/>
    </row>
    <row r="445">
      <c r="D445" s="123"/>
      <c r="L445" s="125"/>
      <c r="N445" s="126"/>
      <c r="P445" s="127"/>
      <c r="Q445" s="128"/>
      <c r="R445" s="74"/>
      <c r="AF445" s="76"/>
    </row>
    <row r="446">
      <c r="D446" s="123"/>
      <c r="L446" s="125"/>
      <c r="N446" s="126"/>
      <c r="P446" s="127"/>
      <c r="Q446" s="128"/>
      <c r="R446" s="74"/>
      <c r="AF446" s="76"/>
    </row>
    <row r="447">
      <c r="D447" s="123"/>
      <c r="L447" s="125"/>
      <c r="N447" s="126"/>
      <c r="P447" s="127"/>
      <c r="Q447" s="128"/>
      <c r="R447" s="74"/>
      <c r="AF447" s="76"/>
    </row>
    <row r="448">
      <c r="D448" s="123"/>
      <c r="L448" s="125"/>
      <c r="N448" s="126"/>
      <c r="P448" s="127"/>
      <c r="Q448" s="128"/>
      <c r="R448" s="74"/>
      <c r="AF448" s="76"/>
    </row>
    <row r="449">
      <c r="D449" s="123"/>
      <c r="L449" s="125"/>
      <c r="N449" s="126"/>
      <c r="P449" s="127"/>
      <c r="Q449" s="128"/>
      <c r="R449" s="74"/>
      <c r="AF449" s="76"/>
    </row>
    <row r="450">
      <c r="D450" s="123"/>
      <c r="L450" s="125"/>
      <c r="N450" s="126"/>
      <c r="P450" s="127"/>
      <c r="Q450" s="128"/>
      <c r="R450" s="74"/>
      <c r="AF450" s="76"/>
    </row>
    <row r="451">
      <c r="D451" s="123"/>
      <c r="L451" s="125"/>
      <c r="N451" s="126"/>
      <c r="P451" s="127"/>
      <c r="Q451" s="128"/>
      <c r="R451" s="74"/>
      <c r="AF451" s="76"/>
    </row>
    <row r="452">
      <c r="D452" s="123"/>
      <c r="L452" s="125"/>
      <c r="N452" s="126"/>
      <c r="P452" s="127"/>
      <c r="Q452" s="128"/>
      <c r="R452" s="74"/>
      <c r="AF452" s="76"/>
    </row>
    <row r="453">
      <c r="D453" s="123"/>
      <c r="L453" s="125"/>
      <c r="N453" s="126"/>
      <c r="P453" s="127"/>
      <c r="Q453" s="128"/>
      <c r="R453" s="74"/>
      <c r="AF453" s="76"/>
    </row>
    <row r="454">
      <c r="D454" s="123"/>
      <c r="L454" s="125"/>
      <c r="N454" s="126"/>
      <c r="P454" s="127"/>
      <c r="Q454" s="128"/>
      <c r="R454" s="74"/>
      <c r="AF454" s="76"/>
    </row>
    <row r="455">
      <c r="D455" s="123"/>
      <c r="L455" s="125"/>
      <c r="N455" s="126"/>
      <c r="P455" s="127"/>
      <c r="Q455" s="128"/>
      <c r="R455" s="74"/>
      <c r="AF455" s="76"/>
    </row>
    <row r="456">
      <c r="D456" s="123"/>
      <c r="L456" s="125"/>
      <c r="N456" s="126"/>
      <c r="P456" s="127"/>
      <c r="Q456" s="128"/>
      <c r="R456" s="74"/>
      <c r="AF456" s="76"/>
    </row>
    <row r="457">
      <c r="D457" s="123"/>
      <c r="L457" s="125"/>
      <c r="N457" s="126"/>
      <c r="P457" s="127"/>
      <c r="Q457" s="128"/>
      <c r="R457" s="74"/>
      <c r="AF457" s="76"/>
    </row>
    <row r="458">
      <c r="D458" s="123"/>
      <c r="L458" s="125"/>
      <c r="N458" s="126"/>
      <c r="P458" s="127"/>
      <c r="Q458" s="128"/>
      <c r="R458" s="74"/>
      <c r="AF458" s="76"/>
    </row>
    <row r="459">
      <c r="D459" s="123"/>
      <c r="L459" s="125"/>
      <c r="N459" s="126"/>
      <c r="P459" s="127"/>
      <c r="Q459" s="128"/>
      <c r="R459" s="74"/>
      <c r="AF459" s="76"/>
    </row>
    <row r="460">
      <c r="D460" s="123"/>
      <c r="L460" s="125"/>
      <c r="N460" s="126"/>
      <c r="P460" s="127"/>
      <c r="Q460" s="128"/>
      <c r="R460" s="74"/>
      <c r="AF460" s="76"/>
    </row>
    <row r="461">
      <c r="D461" s="123"/>
      <c r="L461" s="125"/>
      <c r="N461" s="126"/>
      <c r="P461" s="127"/>
      <c r="Q461" s="128"/>
      <c r="R461" s="74"/>
      <c r="AF461" s="76"/>
    </row>
    <row r="462">
      <c r="D462" s="123"/>
      <c r="L462" s="125"/>
      <c r="N462" s="126"/>
      <c r="P462" s="127"/>
      <c r="Q462" s="128"/>
      <c r="R462" s="74"/>
      <c r="AF462" s="76"/>
    </row>
    <row r="463">
      <c r="D463" s="123"/>
      <c r="L463" s="125"/>
      <c r="N463" s="126"/>
      <c r="P463" s="127"/>
      <c r="Q463" s="128"/>
      <c r="R463" s="74"/>
      <c r="AF463" s="76"/>
    </row>
    <row r="464">
      <c r="D464" s="123"/>
      <c r="L464" s="125"/>
      <c r="N464" s="126"/>
      <c r="P464" s="127"/>
      <c r="Q464" s="128"/>
      <c r="R464" s="74"/>
      <c r="AF464" s="76"/>
    </row>
    <row r="465">
      <c r="D465" s="123"/>
      <c r="L465" s="125"/>
      <c r="N465" s="126"/>
      <c r="P465" s="127"/>
      <c r="Q465" s="128"/>
      <c r="R465" s="74"/>
      <c r="AF465" s="76"/>
    </row>
    <row r="466">
      <c r="D466" s="123"/>
      <c r="L466" s="125"/>
      <c r="N466" s="126"/>
      <c r="P466" s="127"/>
      <c r="Q466" s="128"/>
      <c r="R466" s="74"/>
      <c r="AF466" s="76"/>
    </row>
    <row r="467">
      <c r="D467" s="123"/>
      <c r="L467" s="125"/>
      <c r="N467" s="126"/>
      <c r="P467" s="127"/>
      <c r="Q467" s="128"/>
      <c r="R467" s="74"/>
      <c r="AF467" s="76"/>
    </row>
    <row r="468">
      <c r="D468" s="123"/>
      <c r="L468" s="125"/>
      <c r="N468" s="126"/>
      <c r="P468" s="127"/>
      <c r="Q468" s="128"/>
      <c r="R468" s="74"/>
      <c r="AF468" s="76"/>
    </row>
    <row r="469">
      <c r="D469" s="123"/>
      <c r="L469" s="125"/>
      <c r="N469" s="126"/>
      <c r="P469" s="127"/>
      <c r="Q469" s="128"/>
      <c r="R469" s="74"/>
      <c r="AF469" s="76"/>
    </row>
    <row r="470">
      <c r="D470" s="123"/>
      <c r="L470" s="125"/>
      <c r="N470" s="126"/>
      <c r="P470" s="127"/>
      <c r="Q470" s="128"/>
      <c r="R470" s="74"/>
      <c r="AF470" s="76"/>
    </row>
    <row r="471">
      <c r="D471" s="123"/>
      <c r="L471" s="125"/>
      <c r="N471" s="126"/>
      <c r="P471" s="127"/>
      <c r="Q471" s="128"/>
      <c r="R471" s="74"/>
      <c r="AF471" s="76"/>
    </row>
    <row r="472">
      <c r="D472" s="123"/>
      <c r="L472" s="125"/>
      <c r="N472" s="126"/>
      <c r="P472" s="127"/>
      <c r="Q472" s="128"/>
      <c r="R472" s="74"/>
      <c r="AF472" s="76"/>
    </row>
    <row r="473">
      <c r="D473" s="123"/>
      <c r="L473" s="125"/>
      <c r="N473" s="126"/>
      <c r="P473" s="127"/>
      <c r="Q473" s="128"/>
      <c r="R473" s="74"/>
      <c r="AF473" s="76"/>
    </row>
    <row r="474">
      <c r="D474" s="123"/>
      <c r="L474" s="125"/>
      <c r="N474" s="126"/>
      <c r="P474" s="127"/>
      <c r="Q474" s="128"/>
      <c r="R474" s="74"/>
      <c r="AF474" s="76"/>
    </row>
    <row r="475">
      <c r="D475" s="123"/>
      <c r="L475" s="125"/>
      <c r="N475" s="126"/>
      <c r="P475" s="127"/>
      <c r="Q475" s="128"/>
      <c r="R475" s="74"/>
      <c r="AF475" s="76"/>
    </row>
    <row r="476">
      <c r="D476" s="123"/>
      <c r="L476" s="125"/>
      <c r="N476" s="126"/>
      <c r="P476" s="127"/>
      <c r="Q476" s="128"/>
      <c r="R476" s="74"/>
      <c r="AF476" s="76"/>
    </row>
    <row r="477">
      <c r="D477" s="123"/>
      <c r="L477" s="125"/>
      <c r="N477" s="126"/>
      <c r="P477" s="127"/>
      <c r="Q477" s="128"/>
      <c r="R477" s="74"/>
      <c r="AF477" s="76"/>
    </row>
    <row r="478">
      <c r="D478" s="123"/>
      <c r="L478" s="125"/>
      <c r="N478" s="126"/>
      <c r="P478" s="127"/>
      <c r="Q478" s="128"/>
      <c r="R478" s="74"/>
      <c r="AF478" s="76"/>
    </row>
    <row r="479">
      <c r="D479" s="123"/>
      <c r="L479" s="125"/>
      <c r="N479" s="126"/>
      <c r="P479" s="127"/>
      <c r="Q479" s="128"/>
      <c r="R479" s="74"/>
      <c r="AF479" s="76"/>
    </row>
    <row r="480">
      <c r="D480" s="123"/>
      <c r="L480" s="125"/>
      <c r="N480" s="126"/>
      <c r="P480" s="127"/>
      <c r="Q480" s="128"/>
      <c r="R480" s="74"/>
      <c r="AF480" s="76"/>
    </row>
    <row r="481">
      <c r="D481" s="123"/>
      <c r="L481" s="125"/>
      <c r="N481" s="126"/>
      <c r="P481" s="127"/>
      <c r="Q481" s="128"/>
      <c r="R481" s="74"/>
      <c r="AF481" s="76"/>
    </row>
    <row r="482">
      <c r="D482" s="123"/>
      <c r="L482" s="125"/>
      <c r="N482" s="126"/>
      <c r="P482" s="127"/>
      <c r="Q482" s="128"/>
      <c r="R482" s="74"/>
      <c r="AF482" s="76"/>
    </row>
    <row r="483">
      <c r="D483" s="123"/>
      <c r="L483" s="125"/>
      <c r="N483" s="126"/>
      <c r="P483" s="127"/>
      <c r="Q483" s="128"/>
      <c r="R483" s="74"/>
      <c r="AF483" s="76"/>
    </row>
    <row r="484">
      <c r="D484" s="123"/>
      <c r="L484" s="125"/>
      <c r="N484" s="126"/>
      <c r="P484" s="127"/>
      <c r="Q484" s="128"/>
      <c r="R484" s="74"/>
      <c r="AF484" s="76"/>
    </row>
    <row r="485">
      <c r="D485" s="123"/>
      <c r="L485" s="125"/>
      <c r="N485" s="126"/>
      <c r="P485" s="127"/>
      <c r="Q485" s="128"/>
      <c r="R485" s="74"/>
      <c r="AF485" s="76"/>
    </row>
    <row r="486">
      <c r="D486" s="123"/>
      <c r="L486" s="125"/>
      <c r="N486" s="126"/>
      <c r="P486" s="127"/>
      <c r="Q486" s="128"/>
      <c r="R486" s="74"/>
      <c r="AF486" s="76"/>
    </row>
    <row r="487">
      <c r="D487" s="123"/>
      <c r="L487" s="125"/>
      <c r="N487" s="126"/>
      <c r="P487" s="127"/>
      <c r="Q487" s="128"/>
      <c r="R487" s="74"/>
      <c r="AF487" s="76"/>
    </row>
    <row r="488">
      <c r="D488" s="123"/>
      <c r="L488" s="125"/>
      <c r="N488" s="126"/>
      <c r="P488" s="127"/>
      <c r="Q488" s="128"/>
      <c r="R488" s="74"/>
      <c r="AF488" s="76"/>
    </row>
    <row r="489">
      <c r="D489" s="123"/>
      <c r="L489" s="125"/>
      <c r="N489" s="126"/>
      <c r="P489" s="127"/>
      <c r="Q489" s="128"/>
      <c r="R489" s="74"/>
      <c r="AF489" s="76"/>
    </row>
    <row r="490">
      <c r="D490" s="123"/>
      <c r="L490" s="125"/>
      <c r="N490" s="126"/>
      <c r="P490" s="127"/>
      <c r="Q490" s="128"/>
      <c r="R490" s="74"/>
      <c r="AF490" s="76"/>
    </row>
    <row r="491">
      <c r="D491" s="123"/>
      <c r="L491" s="125"/>
      <c r="N491" s="126"/>
      <c r="P491" s="127"/>
      <c r="Q491" s="128"/>
      <c r="R491" s="74"/>
      <c r="AF491" s="76"/>
    </row>
    <row r="492">
      <c r="D492" s="123"/>
      <c r="L492" s="125"/>
      <c r="N492" s="126"/>
      <c r="P492" s="127"/>
      <c r="Q492" s="128"/>
      <c r="R492" s="74"/>
      <c r="AF492" s="76"/>
    </row>
    <row r="493">
      <c r="D493" s="123"/>
      <c r="L493" s="125"/>
      <c r="N493" s="126"/>
      <c r="P493" s="127"/>
      <c r="Q493" s="128"/>
      <c r="R493" s="74"/>
      <c r="AF493" s="76"/>
    </row>
    <row r="494">
      <c r="D494" s="123"/>
      <c r="L494" s="125"/>
      <c r="N494" s="126"/>
      <c r="P494" s="127"/>
      <c r="Q494" s="128"/>
      <c r="R494" s="74"/>
      <c r="AF494" s="76"/>
    </row>
    <row r="495">
      <c r="D495" s="123"/>
      <c r="L495" s="125"/>
      <c r="N495" s="126"/>
      <c r="P495" s="127"/>
      <c r="Q495" s="128"/>
      <c r="R495" s="74"/>
      <c r="AF495" s="76"/>
    </row>
    <row r="496">
      <c r="D496" s="123"/>
      <c r="L496" s="125"/>
      <c r="N496" s="126"/>
      <c r="P496" s="127"/>
      <c r="Q496" s="128"/>
      <c r="R496" s="74"/>
      <c r="AF496" s="76"/>
    </row>
    <row r="497">
      <c r="D497" s="123"/>
      <c r="L497" s="125"/>
      <c r="N497" s="126"/>
      <c r="P497" s="127"/>
      <c r="Q497" s="128"/>
      <c r="R497" s="74"/>
      <c r="AF497" s="76"/>
    </row>
    <row r="498">
      <c r="D498" s="123"/>
      <c r="L498" s="125"/>
      <c r="N498" s="126"/>
      <c r="P498" s="127"/>
      <c r="Q498" s="128"/>
      <c r="R498" s="74"/>
      <c r="AF498" s="76"/>
    </row>
    <row r="499">
      <c r="D499" s="123"/>
      <c r="L499" s="125"/>
      <c r="N499" s="126"/>
      <c r="P499" s="127"/>
      <c r="Q499" s="128"/>
      <c r="R499" s="74"/>
      <c r="AF499" s="76"/>
    </row>
    <row r="500">
      <c r="D500" s="123"/>
      <c r="L500" s="125"/>
      <c r="N500" s="126"/>
      <c r="P500" s="127"/>
      <c r="Q500" s="128"/>
      <c r="R500" s="74"/>
      <c r="AF500" s="76"/>
    </row>
    <row r="501">
      <c r="D501" s="123"/>
      <c r="L501" s="125"/>
      <c r="N501" s="126"/>
      <c r="P501" s="127"/>
      <c r="Q501" s="128"/>
      <c r="R501" s="74"/>
      <c r="AF501" s="76"/>
    </row>
    <row r="502">
      <c r="D502" s="123"/>
      <c r="L502" s="125"/>
      <c r="N502" s="126"/>
      <c r="P502" s="127"/>
      <c r="Q502" s="128"/>
      <c r="R502" s="74"/>
      <c r="AF502" s="76"/>
    </row>
    <row r="503">
      <c r="D503" s="123"/>
      <c r="L503" s="125"/>
      <c r="N503" s="126"/>
      <c r="P503" s="127"/>
      <c r="Q503" s="128"/>
      <c r="R503" s="74"/>
      <c r="AF503" s="76"/>
    </row>
    <row r="504">
      <c r="D504" s="123"/>
      <c r="L504" s="125"/>
      <c r="N504" s="126"/>
      <c r="P504" s="127"/>
      <c r="Q504" s="128"/>
      <c r="R504" s="74"/>
      <c r="AF504" s="76"/>
    </row>
    <row r="505">
      <c r="D505" s="123"/>
      <c r="L505" s="125"/>
      <c r="N505" s="126"/>
      <c r="P505" s="127"/>
      <c r="Q505" s="128"/>
      <c r="R505" s="74"/>
      <c r="AF505" s="76"/>
    </row>
    <row r="506">
      <c r="D506" s="123"/>
      <c r="L506" s="125"/>
      <c r="N506" s="126"/>
      <c r="P506" s="127"/>
      <c r="Q506" s="128"/>
      <c r="R506" s="74"/>
      <c r="AF506" s="76"/>
    </row>
    <row r="507">
      <c r="D507" s="123"/>
      <c r="L507" s="125"/>
      <c r="N507" s="126"/>
      <c r="P507" s="127"/>
      <c r="Q507" s="128"/>
      <c r="R507" s="74"/>
      <c r="AF507" s="76"/>
    </row>
    <row r="508">
      <c r="D508" s="123"/>
      <c r="L508" s="125"/>
      <c r="N508" s="126"/>
      <c r="P508" s="127"/>
      <c r="Q508" s="128"/>
      <c r="R508" s="74"/>
      <c r="AF508" s="76"/>
    </row>
    <row r="509">
      <c r="D509" s="123"/>
      <c r="L509" s="125"/>
      <c r="N509" s="126"/>
      <c r="P509" s="127"/>
      <c r="Q509" s="128"/>
      <c r="R509" s="74"/>
      <c r="AF509" s="76"/>
    </row>
    <row r="510">
      <c r="D510" s="123"/>
      <c r="L510" s="125"/>
      <c r="N510" s="126"/>
      <c r="P510" s="127"/>
      <c r="Q510" s="128"/>
      <c r="R510" s="74"/>
      <c r="AF510" s="76"/>
    </row>
    <row r="511">
      <c r="D511" s="123"/>
      <c r="L511" s="125"/>
      <c r="N511" s="126"/>
      <c r="P511" s="127"/>
      <c r="Q511" s="128"/>
      <c r="R511" s="74"/>
      <c r="AF511" s="76"/>
    </row>
    <row r="512">
      <c r="D512" s="123"/>
      <c r="L512" s="125"/>
      <c r="N512" s="126"/>
      <c r="P512" s="127"/>
      <c r="Q512" s="128"/>
      <c r="R512" s="74"/>
      <c r="AF512" s="76"/>
    </row>
    <row r="513">
      <c r="D513" s="123"/>
      <c r="L513" s="125"/>
      <c r="N513" s="126"/>
      <c r="P513" s="127"/>
      <c r="Q513" s="128"/>
      <c r="R513" s="74"/>
      <c r="AF513" s="76"/>
    </row>
    <row r="514">
      <c r="D514" s="123"/>
      <c r="L514" s="125"/>
      <c r="N514" s="126"/>
      <c r="P514" s="127"/>
      <c r="Q514" s="128"/>
      <c r="R514" s="74"/>
      <c r="AF514" s="76"/>
    </row>
    <row r="515">
      <c r="D515" s="123"/>
      <c r="L515" s="125"/>
      <c r="N515" s="126"/>
      <c r="P515" s="127"/>
      <c r="Q515" s="128"/>
      <c r="R515" s="74"/>
      <c r="AF515" s="76"/>
    </row>
    <row r="516">
      <c r="D516" s="123"/>
      <c r="L516" s="125"/>
      <c r="N516" s="126"/>
      <c r="P516" s="127"/>
      <c r="Q516" s="128"/>
      <c r="R516" s="74"/>
      <c r="AF516" s="76"/>
    </row>
    <row r="517">
      <c r="D517" s="123"/>
      <c r="L517" s="125"/>
      <c r="N517" s="126"/>
      <c r="P517" s="127"/>
      <c r="Q517" s="128"/>
      <c r="R517" s="74"/>
      <c r="AF517" s="76"/>
    </row>
    <row r="518">
      <c r="D518" s="123"/>
      <c r="L518" s="125"/>
      <c r="N518" s="126"/>
      <c r="P518" s="127"/>
      <c r="Q518" s="128"/>
      <c r="R518" s="74"/>
      <c r="AF518" s="76"/>
    </row>
    <row r="519">
      <c r="D519" s="123"/>
      <c r="L519" s="125"/>
      <c r="N519" s="126"/>
      <c r="P519" s="127"/>
      <c r="Q519" s="128"/>
      <c r="R519" s="74"/>
      <c r="AF519" s="76"/>
    </row>
    <row r="520">
      <c r="D520" s="123"/>
      <c r="L520" s="125"/>
      <c r="N520" s="126"/>
      <c r="P520" s="127"/>
      <c r="Q520" s="128"/>
      <c r="R520" s="74"/>
      <c r="AF520" s="76"/>
    </row>
    <row r="521">
      <c r="D521" s="123"/>
      <c r="L521" s="125"/>
      <c r="N521" s="126"/>
      <c r="P521" s="127"/>
      <c r="Q521" s="128"/>
      <c r="R521" s="74"/>
      <c r="AF521" s="76"/>
    </row>
    <row r="522">
      <c r="D522" s="123"/>
      <c r="L522" s="125"/>
      <c r="N522" s="126"/>
      <c r="P522" s="127"/>
      <c r="Q522" s="128"/>
      <c r="R522" s="74"/>
      <c r="AF522" s="76"/>
    </row>
    <row r="523">
      <c r="D523" s="123"/>
      <c r="L523" s="125"/>
      <c r="N523" s="126"/>
      <c r="P523" s="127"/>
      <c r="Q523" s="128"/>
      <c r="R523" s="74"/>
      <c r="AF523" s="76"/>
    </row>
    <row r="524">
      <c r="D524" s="123"/>
      <c r="L524" s="125"/>
      <c r="N524" s="126"/>
      <c r="P524" s="127"/>
      <c r="Q524" s="128"/>
      <c r="R524" s="74"/>
      <c r="AF524" s="76"/>
    </row>
    <row r="525">
      <c r="D525" s="123"/>
      <c r="L525" s="125"/>
      <c r="N525" s="126"/>
      <c r="P525" s="127"/>
      <c r="Q525" s="128"/>
      <c r="R525" s="74"/>
      <c r="AF525" s="76"/>
    </row>
    <row r="526">
      <c r="D526" s="123"/>
      <c r="L526" s="125"/>
      <c r="N526" s="126"/>
      <c r="P526" s="127"/>
      <c r="Q526" s="128"/>
      <c r="R526" s="74"/>
      <c r="AF526" s="76"/>
    </row>
    <row r="527">
      <c r="D527" s="123"/>
      <c r="L527" s="125"/>
      <c r="N527" s="126"/>
      <c r="P527" s="127"/>
      <c r="Q527" s="128"/>
      <c r="R527" s="74"/>
      <c r="AF527" s="76"/>
    </row>
    <row r="528">
      <c r="D528" s="123"/>
      <c r="L528" s="125"/>
      <c r="N528" s="126"/>
      <c r="P528" s="127"/>
      <c r="Q528" s="128"/>
      <c r="R528" s="74"/>
      <c r="AF528" s="76"/>
    </row>
    <row r="529">
      <c r="D529" s="123"/>
      <c r="L529" s="125"/>
      <c r="N529" s="126"/>
      <c r="P529" s="127"/>
      <c r="Q529" s="128"/>
      <c r="R529" s="74"/>
      <c r="AF529" s="76"/>
    </row>
    <row r="530">
      <c r="D530" s="123"/>
      <c r="L530" s="125"/>
      <c r="N530" s="126"/>
      <c r="P530" s="127"/>
      <c r="Q530" s="128"/>
      <c r="R530" s="74"/>
      <c r="AF530" s="76"/>
    </row>
    <row r="531">
      <c r="D531" s="123"/>
      <c r="L531" s="125"/>
      <c r="N531" s="126"/>
      <c r="P531" s="127"/>
      <c r="Q531" s="128"/>
      <c r="R531" s="74"/>
      <c r="AF531" s="76"/>
    </row>
    <row r="532">
      <c r="D532" s="123"/>
      <c r="L532" s="125"/>
      <c r="N532" s="126"/>
      <c r="P532" s="127"/>
      <c r="Q532" s="128"/>
      <c r="R532" s="74"/>
      <c r="AF532" s="76"/>
    </row>
    <row r="533">
      <c r="D533" s="123"/>
      <c r="L533" s="125"/>
      <c r="N533" s="126"/>
      <c r="P533" s="127"/>
      <c r="Q533" s="128"/>
      <c r="R533" s="74"/>
      <c r="AF533" s="76"/>
    </row>
    <row r="534">
      <c r="D534" s="123"/>
      <c r="L534" s="125"/>
      <c r="N534" s="126"/>
      <c r="P534" s="127"/>
      <c r="Q534" s="128"/>
      <c r="R534" s="74"/>
      <c r="AF534" s="76"/>
    </row>
    <row r="535">
      <c r="D535" s="123"/>
      <c r="L535" s="125"/>
      <c r="N535" s="126"/>
      <c r="P535" s="127"/>
      <c r="Q535" s="128"/>
      <c r="R535" s="74"/>
      <c r="AF535" s="76"/>
    </row>
    <row r="536">
      <c r="D536" s="123"/>
      <c r="L536" s="125"/>
      <c r="N536" s="126"/>
      <c r="P536" s="127"/>
      <c r="Q536" s="128"/>
      <c r="R536" s="74"/>
      <c r="AF536" s="76"/>
    </row>
    <row r="537">
      <c r="D537" s="123"/>
      <c r="L537" s="125"/>
      <c r="N537" s="126"/>
      <c r="P537" s="127"/>
      <c r="Q537" s="128"/>
      <c r="R537" s="74"/>
      <c r="AF537" s="76"/>
    </row>
    <row r="538">
      <c r="D538" s="123"/>
      <c r="L538" s="125"/>
      <c r="N538" s="126"/>
      <c r="P538" s="127"/>
      <c r="Q538" s="128"/>
      <c r="R538" s="74"/>
      <c r="AF538" s="76"/>
    </row>
    <row r="539">
      <c r="D539" s="123"/>
      <c r="L539" s="125"/>
      <c r="N539" s="126"/>
      <c r="P539" s="127"/>
      <c r="Q539" s="128"/>
      <c r="R539" s="74"/>
      <c r="AF539" s="76"/>
    </row>
    <row r="540">
      <c r="D540" s="123"/>
      <c r="L540" s="125"/>
      <c r="N540" s="126"/>
      <c r="P540" s="127"/>
      <c r="Q540" s="128"/>
      <c r="R540" s="74"/>
      <c r="AF540" s="76"/>
    </row>
    <row r="541">
      <c r="D541" s="123"/>
      <c r="L541" s="125"/>
      <c r="N541" s="126"/>
      <c r="P541" s="127"/>
      <c r="Q541" s="128"/>
      <c r="R541" s="74"/>
      <c r="AF541" s="76"/>
    </row>
    <row r="542">
      <c r="D542" s="123"/>
      <c r="L542" s="125"/>
      <c r="N542" s="126"/>
      <c r="P542" s="127"/>
      <c r="Q542" s="128"/>
      <c r="R542" s="74"/>
      <c r="AF542" s="76"/>
    </row>
    <row r="543">
      <c r="D543" s="123"/>
      <c r="L543" s="125"/>
      <c r="N543" s="126"/>
      <c r="P543" s="127"/>
      <c r="Q543" s="128"/>
      <c r="R543" s="74"/>
      <c r="AF543" s="76"/>
    </row>
    <row r="544">
      <c r="D544" s="123"/>
      <c r="L544" s="125"/>
      <c r="N544" s="126"/>
      <c r="P544" s="127"/>
      <c r="Q544" s="128"/>
      <c r="R544" s="74"/>
      <c r="AF544" s="76"/>
    </row>
    <row r="545">
      <c r="D545" s="123"/>
      <c r="L545" s="125"/>
      <c r="N545" s="126"/>
      <c r="P545" s="127"/>
      <c r="Q545" s="128"/>
      <c r="R545" s="74"/>
      <c r="AF545" s="76"/>
    </row>
    <row r="546">
      <c r="D546" s="123"/>
      <c r="L546" s="125"/>
      <c r="N546" s="126"/>
      <c r="P546" s="127"/>
      <c r="Q546" s="128"/>
      <c r="R546" s="74"/>
      <c r="AF546" s="76"/>
    </row>
    <row r="547">
      <c r="D547" s="123"/>
      <c r="L547" s="125"/>
      <c r="N547" s="126"/>
      <c r="P547" s="127"/>
      <c r="Q547" s="128"/>
      <c r="R547" s="74"/>
      <c r="AF547" s="76"/>
    </row>
    <row r="548">
      <c r="D548" s="123"/>
      <c r="L548" s="125"/>
      <c r="N548" s="126"/>
      <c r="P548" s="127"/>
      <c r="Q548" s="128"/>
      <c r="R548" s="74"/>
      <c r="AF548" s="76"/>
    </row>
    <row r="549">
      <c r="D549" s="123"/>
      <c r="L549" s="125"/>
      <c r="N549" s="126"/>
      <c r="P549" s="127"/>
      <c r="Q549" s="128"/>
      <c r="R549" s="74"/>
      <c r="AF549" s="76"/>
    </row>
    <row r="550">
      <c r="D550" s="123"/>
      <c r="L550" s="125"/>
      <c r="N550" s="126"/>
      <c r="P550" s="127"/>
      <c r="Q550" s="128"/>
      <c r="R550" s="74"/>
      <c r="AF550" s="76"/>
    </row>
    <row r="551">
      <c r="D551" s="123"/>
      <c r="L551" s="125"/>
      <c r="N551" s="126"/>
      <c r="P551" s="127"/>
      <c r="Q551" s="128"/>
      <c r="R551" s="74"/>
      <c r="AF551" s="76"/>
    </row>
    <row r="552">
      <c r="D552" s="123"/>
      <c r="L552" s="125"/>
      <c r="N552" s="126"/>
      <c r="P552" s="127"/>
      <c r="Q552" s="128"/>
      <c r="R552" s="74"/>
      <c r="AF552" s="76"/>
    </row>
    <row r="553">
      <c r="D553" s="123"/>
      <c r="L553" s="125"/>
      <c r="N553" s="126"/>
      <c r="P553" s="127"/>
      <c r="Q553" s="128"/>
      <c r="R553" s="74"/>
      <c r="AF553" s="76"/>
    </row>
    <row r="554">
      <c r="D554" s="123"/>
      <c r="L554" s="125"/>
      <c r="N554" s="126"/>
      <c r="P554" s="127"/>
      <c r="Q554" s="128"/>
      <c r="R554" s="74"/>
      <c r="AF554" s="76"/>
    </row>
    <row r="555">
      <c r="D555" s="123"/>
      <c r="L555" s="125"/>
      <c r="N555" s="126"/>
      <c r="P555" s="127"/>
      <c r="Q555" s="128"/>
      <c r="R555" s="74"/>
      <c r="AF555" s="76"/>
    </row>
    <row r="556">
      <c r="D556" s="123"/>
      <c r="L556" s="125"/>
      <c r="N556" s="126"/>
      <c r="P556" s="127"/>
      <c r="Q556" s="128"/>
      <c r="R556" s="74"/>
      <c r="AF556" s="76"/>
    </row>
    <row r="557">
      <c r="D557" s="123"/>
      <c r="L557" s="125"/>
      <c r="N557" s="126"/>
      <c r="P557" s="127"/>
      <c r="Q557" s="128"/>
      <c r="R557" s="74"/>
      <c r="AF557" s="76"/>
    </row>
    <row r="558">
      <c r="D558" s="123"/>
      <c r="L558" s="125"/>
      <c r="N558" s="126"/>
      <c r="P558" s="127"/>
      <c r="Q558" s="128"/>
      <c r="R558" s="74"/>
      <c r="AF558" s="76"/>
    </row>
    <row r="559">
      <c r="D559" s="123"/>
      <c r="L559" s="125"/>
      <c r="N559" s="126"/>
      <c r="P559" s="127"/>
      <c r="Q559" s="128"/>
      <c r="R559" s="74"/>
      <c r="AF559" s="76"/>
    </row>
    <row r="560">
      <c r="D560" s="123"/>
      <c r="L560" s="125"/>
      <c r="N560" s="126"/>
      <c r="P560" s="127"/>
      <c r="Q560" s="128"/>
      <c r="R560" s="74"/>
      <c r="AF560" s="76"/>
    </row>
    <row r="561">
      <c r="D561" s="123"/>
      <c r="L561" s="125"/>
      <c r="N561" s="126"/>
      <c r="P561" s="127"/>
      <c r="Q561" s="128"/>
      <c r="R561" s="74"/>
      <c r="AF561" s="76"/>
    </row>
    <row r="562">
      <c r="D562" s="123"/>
      <c r="L562" s="125"/>
      <c r="N562" s="126"/>
      <c r="P562" s="127"/>
      <c r="Q562" s="128"/>
      <c r="R562" s="74"/>
      <c r="AF562" s="76"/>
    </row>
    <row r="563">
      <c r="D563" s="123"/>
      <c r="L563" s="125"/>
      <c r="N563" s="126"/>
      <c r="P563" s="127"/>
      <c r="Q563" s="128"/>
      <c r="R563" s="74"/>
      <c r="AF563" s="76"/>
    </row>
    <row r="564">
      <c r="D564" s="123"/>
      <c r="L564" s="125"/>
      <c r="N564" s="126"/>
      <c r="P564" s="127"/>
      <c r="Q564" s="128"/>
      <c r="R564" s="74"/>
      <c r="AF564" s="76"/>
    </row>
    <row r="565">
      <c r="D565" s="123"/>
      <c r="L565" s="125"/>
      <c r="N565" s="126"/>
      <c r="P565" s="127"/>
      <c r="Q565" s="128"/>
      <c r="R565" s="74"/>
      <c r="AF565" s="76"/>
    </row>
    <row r="566">
      <c r="D566" s="123"/>
      <c r="L566" s="125"/>
      <c r="N566" s="126"/>
      <c r="P566" s="127"/>
      <c r="Q566" s="128"/>
      <c r="R566" s="74"/>
      <c r="AF566" s="76"/>
    </row>
    <row r="567">
      <c r="D567" s="123"/>
      <c r="L567" s="125"/>
      <c r="N567" s="126"/>
      <c r="P567" s="127"/>
      <c r="Q567" s="128"/>
      <c r="R567" s="74"/>
      <c r="AF567" s="76"/>
    </row>
    <row r="568">
      <c r="D568" s="123"/>
      <c r="L568" s="125"/>
      <c r="N568" s="126"/>
      <c r="P568" s="127"/>
      <c r="Q568" s="128"/>
      <c r="R568" s="74"/>
      <c r="AF568" s="76"/>
    </row>
    <row r="569">
      <c r="D569" s="123"/>
      <c r="L569" s="125"/>
      <c r="N569" s="126"/>
      <c r="P569" s="127"/>
      <c r="Q569" s="128"/>
      <c r="R569" s="74"/>
      <c r="AF569" s="76"/>
    </row>
    <row r="570">
      <c r="D570" s="123"/>
      <c r="L570" s="125"/>
      <c r="N570" s="126"/>
      <c r="P570" s="127"/>
      <c r="Q570" s="128"/>
      <c r="R570" s="74"/>
      <c r="AF570" s="76"/>
    </row>
    <row r="571">
      <c r="D571" s="123"/>
      <c r="L571" s="125"/>
      <c r="N571" s="126"/>
      <c r="P571" s="127"/>
      <c r="Q571" s="128"/>
      <c r="R571" s="74"/>
      <c r="AF571" s="76"/>
    </row>
    <row r="572">
      <c r="D572" s="123"/>
      <c r="L572" s="125"/>
      <c r="N572" s="126"/>
      <c r="P572" s="127"/>
      <c r="Q572" s="128"/>
      <c r="R572" s="74"/>
      <c r="AF572" s="76"/>
    </row>
    <row r="573">
      <c r="D573" s="123"/>
      <c r="L573" s="125"/>
      <c r="N573" s="126"/>
      <c r="P573" s="127"/>
      <c r="Q573" s="128"/>
      <c r="R573" s="74"/>
      <c r="AF573" s="76"/>
    </row>
    <row r="574">
      <c r="D574" s="123"/>
      <c r="L574" s="125"/>
      <c r="N574" s="126"/>
      <c r="P574" s="127"/>
      <c r="Q574" s="128"/>
      <c r="R574" s="74"/>
      <c r="AF574" s="76"/>
    </row>
    <row r="575">
      <c r="D575" s="123"/>
      <c r="L575" s="125"/>
      <c r="N575" s="126"/>
      <c r="P575" s="127"/>
      <c r="Q575" s="128"/>
      <c r="R575" s="74"/>
      <c r="AF575" s="76"/>
    </row>
    <row r="576">
      <c r="D576" s="123"/>
      <c r="L576" s="125"/>
      <c r="N576" s="126"/>
      <c r="P576" s="127"/>
      <c r="Q576" s="128"/>
      <c r="R576" s="74"/>
      <c r="AF576" s="76"/>
    </row>
    <row r="577">
      <c r="D577" s="123"/>
      <c r="L577" s="125"/>
      <c r="N577" s="126"/>
      <c r="P577" s="127"/>
      <c r="Q577" s="128"/>
      <c r="R577" s="74"/>
      <c r="AF577" s="76"/>
    </row>
    <row r="578">
      <c r="D578" s="123"/>
      <c r="L578" s="125"/>
      <c r="N578" s="126"/>
      <c r="P578" s="127"/>
      <c r="Q578" s="128"/>
      <c r="R578" s="74"/>
      <c r="AF578" s="76"/>
    </row>
    <row r="579">
      <c r="D579" s="123"/>
      <c r="L579" s="125"/>
      <c r="N579" s="126"/>
      <c r="P579" s="127"/>
      <c r="Q579" s="128"/>
      <c r="R579" s="74"/>
      <c r="AF579" s="76"/>
    </row>
    <row r="580">
      <c r="D580" s="123"/>
      <c r="L580" s="125"/>
      <c r="N580" s="126"/>
      <c r="P580" s="127"/>
      <c r="Q580" s="128"/>
      <c r="R580" s="74"/>
      <c r="AF580" s="76"/>
    </row>
    <row r="581">
      <c r="D581" s="123"/>
      <c r="L581" s="125"/>
      <c r="N581" s="126"/>
      <c r="P581" s="127"/>
      <c r="Q581" s="128"/>
      <c r="R581" s="74"/>
      <c r="AF581" s="76"/>
    </row>
    <row r="582">
      <c r="D582" s="123"/>
      <c r="L582" s="125"/>
      <c r="N582" s="126"/>
      <c r="P582" s="127"/>
      <c r="Q582" s="128"/>
      <c r="R582" s="74"/>
      <c r="AF582" s="76"/>
    </row>
    <row r="583">
      <c r="D583" s="123"/>
      <c r="L583" s="125"/>
      <c r="N583" s="126"/>
      <c r="P583" s="127"/>
      <c r="Q583" s="128"/>
      <c r="R583" s="74"/>
      <c r="AF583" s="76"/>
    </row>
    <row r="584">
      <c r="D584" s="123"/>
      <c r="L584" s="125"/>
      <c r="N584" s="126"/>
      <c r="P584" s="127"/>
      <c r="Q584" s="128"/>
      <c r="R584" s="74"/>
      <c r="AF584" s="76"/>
    </row>
    <row r="585">
      <c r="D585" s="123"/>
      <c r="L585" s="125"/>
      <c r="N585" s="126"/>
      <c r="P585" s="127"/>
      <c r="Q585" s="128"/>
      <c r="R585" s="74"/>
      <c r="AF585" s="76"/>
    </row>
    <row r="586">
      <c r="D586" s="123"/>
      <c r="L586" s="125"/>
      <c r="N586" s="126"/>
      <c r="P586" s="127"/>
      <c r="Q586" s="128"/>
      <c r="R586" s="74"/>
      <c r="AF586" s="76"/>
    </row>
    <row r="587">
      <c r="D587" s="123"/>
      <c r="L587" s="125"/>
      <c r="N587" s="126"/>
      <c r="P587" s="127"/>
      <c r="Q587" s="128"/>
      <c r="R587" s="74"/>
      <c r="AF587" s="76"/>
    </row>
    <row r="588">
      <c r="D588" s="123"/>
      <c r="L588" s="125"/>
      <c r="N588" s="126"/>
      <c r="P588" s="127"/>
      <c r="Q588" s="128"/>
      <c r="R588" s="74"/>
      <c r="AF588" s="76"/>
    </row>
    <row r="589">
      <c r="D589" s="123"/>
      <c r="L589" s="125"/>
      <c r="N589" s="126"/>
      <c r="P589" s="127"/>
      <c r="Q589" s="128"/>
      <c r="R589" s="74"/>
      <c r="AF589" s="76"/>
    </row>
    <row r="590">
      <c r="D590" s="123"/>
      <c r="L590" s="125"/>
      <c r="N590" s="126"/>
      <c r="P590" s="127"/>
      <c r="Q590" s="128"/>
      <c r="R590" s="74"/>
      <c r="AF590" s="76"/>
    </row>
    <row r="591">
      <c r="D591" s="123"/>
      <c r="L591" s="125"/>
      <c r="N591" s="126"/>
      <c r="P591" s="127"/>
      <c r="Q591" s="128"/>
      <c r="R591" s="74"/>
      <c r="AF591" s="76"/>
    </row>
    <row r="592">
      <c r="D592" s="123"/>
      <c r="L592" s="125"/>
      <c r="N592" s="126"/>
      <c r="P592" s="127"/>
      <c r="Q592" s="128"/>
      <c r="R592" s="74"/>
      <c r="AF592" s="76"/>
    </row>
    <row r="593">
      <c r="D593" s="123"/>
      <c r="L593" s="125"/>
      <c r="N593" s="126"/>
      <c r="P593" s="127"/>
      <c r="Q593" s="128"/>
      <c r="R593" s="74"/>
      <c r="AF593" s="76"/>
    </row>
    <row r="594">
      <c r="D594" s="123"/>
      <c r="L594" s="125"/>
      <c r="N594" s="126"/>
      <c r="P594" s="127"/>
      <c r="Q594" s="128"/>
      <c r="R594" s="74"/>
      <c r="AF594" s="76"/>
    </row>
    <row r="595">
      <c r="D595" s="123"/>
      <c r="L595" s="125"/>
      <c r="N595" s="126"/>
      <c r="P595" s="127"/>
      <c r="Q595" s="128"/>
      <c r="R595" s="74"/>
      <c r="AF595" s="76"/>
    </row>
    <row r="596">
      <c r="D596" s="123"/>
      <c r="L596" s="125"/>
      <c r="N596" s="126"/>
      <c r="P596" s="127"/>
      <c r="Q596" s="128"/>
      <c r="R596" s="74"/>
      <c r="AF596" s="76"/>
    </row>
    <row r="597">
      <c r="D597" s="123"/>
      <c r="L597" s="125"/>
      <c r="N597" s="126"/>
      <c r="P597" s="127"/>
      <c r="Q597" s="128"/>
      <c r="R597" s="74"/>
      <c r="AF597" s="76"/>
    </row>
    <row r="598">
      <c r="D598" s="123"/>
      <c r="L598" s="125"/>
      <c r="N598" s="126"/>
      <c r="P598" s="127"/>
      <c r="Q598" s="128"/>
      <c r="R598" s="74"/>
      <c r="AF598" s="76"/>
    </row>
    <row r="599">
      <c r="D599" s="123"/>
      <c r="L599" s="125"/>
      <c r="N599" s="126"/>
      <c r="P599" s="127"/>
      <c r="Q599" s="128"/>
      <c r="R599" s="74"/>
      <c r="AF599" s="76"/>
    </row>
    <row r="600">
      <c r="D600" s="123"/>
      <c r="L600" s="125"/>
      <c r="N600" s="126"/>
      <c r="P600" s="127"/>
      <c r="Q600" s="128"/>
      <c r="R600" s="74"/>
      <c r="AF600" s="76"/>
    </row>
    <row r="601">
      <c r="D601" s="123"/>
      <c r="L601" s="125"/>
      <c r="N601" s="126"/>
      <c r="P601" s="127"/>
      <c r="Q601" s="128"/>
      <c r="R601" s="74"/>
      <c r="AF601" s="76"/>
    </row>
    <row r="602">
      <c r="D602" s="123"/>
      <c r="L602" s="125"/>
      <c r="N602" s="126"/>
      <c r="P602" s="127"/>
      <c r="Q602" s="128"/>
      <c r="R602" s="74"/>
      <c r="AF602" s="76"/>
    </row>
    <row r="603">
      <c r="D603" s="123"/>
      <c r="L603" s="125"/>
      <c r="N603" s="126"/>
      <c r="P603" s="127"/>
      <c r="Q603" s="128"/>
      <c r="R603" s="74"/>
      <c r="AF603" s="76"/>
    </row>
    <row r="604">
      <c r="D604" s="123"/>
      <c r="L604" s="125"/>
      <c r="N604" s="126"/>
      <c r="P604" s="127"/>
      <c r="Q604" s="128"/>
      <c r="R604" s="74"/>
      <c r="AF604" s="76"/>
    </row>
    <row r="605">
      <c r="D605" s="123"/>
      <c r="L605" s="125"/>
      <c r="N605" s="126"/>
      <c r="P605" s="127"/>
      <c r="Q605" s="128"/>
      <c r="R605" s="74"/>
      <c r="AF605" s="76"/>
    </row>
    <row r="606">
      <c r="D606" s="123"/>
      <c r="L606" s="125"/>
      <c r="N606" s="126"/>
      <c r="P606" s="127"/>
      <c r="Q606" s="128"/>
      <c r="R606" s="74"/>
      <c r="AF606" s="76"/>
    </row>
    <row r="607">
      <c r="D607" s="123"/>
      <c r="L607" s="125"/>
      <c r="N607" s="126"/>
      <c r="P607" s="127"/>
      <c r="Q607" s="128"/>
      <c r="R607" s="74"/>
      <c r="AF607" s="76"/>
    </row>
    <row r="608">
      <c r="D608" s="123"/>
      <c r="L608" s="125"/>
      <c r="N608" s="126"/>
      <c r="P608" s="127"/>
      <c r="Q608" s="128"/>
      <c r="R608" s="74"/>
      <c r="AF608" s="76"/>
    </row>
    <row r="609">
      <c r="D609" s="123"/>
      <c r="L609" s="125"/>
      <c r="N609" s="126"/>
      <c r="P609" s="127"/>
      <c r="Q609" s="128"/>
      <c r="R609" s="74"/>
      <c r="AF609" s="76"/>
    </row>
    <row r="610">
      <c r="D610" s="123"/>
      <c r="L610" s="125"/>
      <c r="N610" s="126"/>
      <c r="P610" s="127"/>
      <c r="Q610" s="128"/>
      <c r="R610" s="74"/>
      <c r="AF610" s="76"/>
    </row>
    <row r="611">
      <c r="D611" s="123"/>
      <c r="L611" s="125"/>
      <c r="N611" s="126"/>
      <c r="P611" s="127"/>
      <c r="Q611" s="128"/>
      <c r="R611" s="74"/>
      <c r="AF611" s="76"/>
    </row>
    <row r="612">
      <c r="D612" s="123"/>
      <c r="L612" s="125"/>
      <c r="N612" s="126"/>
      <c r="P612" s="127"/>
      <c r="Q612" s="128"/>
      <c r="R612" s="74"/>
      <c r="AF612" s="76"/>
    </row>
    <row r="613">
      <c r="D613" s="123"/>
      <c r="L613" s="125"/>
      <c r="N613" s="126"/>
      <c r="P613" s="127"/>
      <c r="Q613" s="128"/>
      <c r="R613" s="74"/>
      <c r="AF613" s="76"/>
    </row>
    <row r="614">
      <c r="D614" s="123"/>
      <c r="L614" s="125"/>
      <c r="N614" s="126"/>
      <c r="P614" s="127"/>
      <c r="Q614" s="128"/>
      <c r="R614" s="74"/>
      <c r="AF614" s="76"/>
    </row>
    <row r="615">
      <c r="D615" s="123"/>
      <c r="L615" s="125"/>
      <c r="N615" s="126"/>
      <c r="P615" s="127"/>
      <c r="Q615" s="128"/>
      <c r="R615" s="74"/>
      <c r="AF615" s="76"/>
    </row>
    <row r="616">
      <c r="D616" s="123"/>
      <c r="L616" s="125"/>
      <c r="N616" s="126"/>
      <c r="P616" s="127"/>
      <c r="Q616" s="128"/>
      <c r="R616" s="74"/>
      <c r="AF616" s="76"/>
    </row>
    <row r="617">
      <c r="D617" s="123"/>
      <c r="L617" s="125"/>
      <c r="N617" s="126"/>
      <c r="P617" s="127"/>
      <c r="Q617" s="128"/>
      <c r="R617" s="74"/>
      <c r="AF617" s="76"/>
    </row>
    <row r="618">
      <c r="D618" s="123"/>
      <c r="L618" s="125"/>
      <c r="N618" s="126"/>
      <c r="P618" s="127"/>
      <c r="Q618" s="128"/>
      <c r="R618" s="74"/>
      <c r="AF618" s="76"/>
    </row>
    <row r="619">
      <c r="D619" s="123"/>
      <c r="L619" s="125"/>
      <c r="N619" s="126"/>
      <c r="P619" s="127"/>
      <c r="Q619" s="128"/>
      <c r="R619" s="74"/>
      <c r="AF619" s="76"/>
    </row>
    <row r="620">
      <c r="D620" s="123"/>
      <c r="L620" s="125"/>
      <c r="N620" s="126"/>
      <c r="P620" s="127"/>
      <c r="Q620" s="128"/>
      <c r="R620" s="74"/>
      <c r="AF620" s="76"/>
    </row>
    <row r="621">
      <c r="D621" s="123"/>
      <c r="L621" s="125"/>
      <c r="N621" s="126"/>
      <c r="P621" s="127"/>
      <c r="Q621" s="128"/>
      <c r="R621" s="74"/>
      <c r="AF621" s="76"/>
    </row>
    <row r="622">
      <c r="D622" s="123"/>
      <c r="L622" s="125"/>
      <c r="N622" s="126"/>
      <c r="P622" s="127"/>
      <c r="Q622" s="128"/>
      <c r="R622" s="74"/>
      <c r="AF622" s="76"/>
    </row>
    <row r="623">
      <c r="D623" s="123"/>
      <c r="L623" s="125"/>
      <c r="N623" s="126"/>
      <c r="P623" s="127"/>
      <c r="Q623" s="128"/>
      <c r="R623" s="74"/>
      <c r="AF623" s="76"/>
    </row>
    <row r="624">
      <c r="D624" s="123"/>
      <c r="L624" s="125"/>
      <c r="N624" s="126"/>
      <c r="P624" s="127"/>
      <c r="Q624" s="128"/>
      <c r="R624" s="74"/>
      <c r="AF624" s="76"/>
    </row>
    <row r="625">
      <c r="D625" s="123"/>
      <c r="L625" s="125"/>
      <c r="N625" s="126"/>
      <c r="P625" s="127"/>
      <c r="Q625" s="128"/>
      <c r="R625" s="74"/>
      <c r="AF625" s="76"/>
    </row>
    <row r="626">
      <c r="D626" s="123"/>
      <c r="L626" s="125"/>
      <c r="N626" s="126"/>
      <c r="P626" s="127"/>
      <c r="Q626" s="128"/>
      <c r="R626" s="74"/>
      <c r="AF626" s="76"/>
    </row>
    <row r="627">
      <c r="D627" s="123"/>
      <c r="L627" s="125"/>
      <c r="N627" s="126"/>
      <c r="P627" s="127"/>
      <c r="Q627" s="128"/>
      <c r="R627" s="74"/>
      <c r="AF627" s="76"/>
    </row>
    <row r="628">
      <c r="D628" s="123"/>
      <c r="L628" s="125"/>
      <c r="N628" s="126"/>
      <c r="P628" s="127"/>
      <c r="Q628" s="128"/>
      <c r="R628" s="74"/>
      <c r="AF628" s="76"/>
    </row>
    <row r="629">
      <c r="D629" s="123"/>
      <c r="L629" s="125"/>
      <c r="N629" s="126"/>
      <c r="P629" s="127"/>
      <c r="Q629" s="128"/>
      <c r="R629" s="74"/>
      <c r="AF629" s="76"/>
    </row>
    <row r="630">
      <c r="D630" s="123"/>
      <c r="L630" s="125"/>
      <c r="N630" s="126"/>
      <c r="P630" s="127"/>
      <c r="Q630" s="128"/>
      <c r="R630" s="74"/>
      <c r="AF630" s="76"/>
    </row>
    <row r="631">
      <c r="D631" s="123"/>
      <c r="L631" s="125"/>
      <c r="N631" s="126"/>
      <c r="P631" s="127"/>
      <c r="Q631" s="128"/>
      <c r="R631" s="74"/>
      <c r="AF631" s="76"/>
    </row>
    <row r="632">
      <c r="D632" s="123"/>
      <c r="L632" s="125"/>
      <c r="N632" s="126"/>
      <c r="P632" s="127"/>
      <c r="Q632" s="128"/>
      <c r="R632" s="74"/>
      <c r="AF632" s="76"/>
    </row>
    <row r="633">
      <c r="D633" s="123"/>
      <c r="L633" s="125"/>
      <c r="N633" s="126"/>
      <c r="P633" s="127"/>
      <c r="Q633" s="128"/>
      <c r="R633" s="74"/>
      <c r="AF633" s="76"/>
    </row>
    <row r="634">
      <c r="D634" s="123"/>
      <c r="L634" s="125"/>
      <c r="N634" s="126"/>
      <c r="P634" s="127"/>
      <c r="Q634" s="128"/>
      <c r="R634" s="74"/>
      <c r="AF634" s="76"/>
    </row>
    <row r="635">
      <c r="D635" s="123"/>
      <c r="L635" s="125"/>
      <c r="N635" s="126"/>
      <c r="P635" s="127"/>
      <c r="Q635" s="128"/>
      <c r="R635" s="74"/>
      <c r="AF635" s="76"/>
    </row>
    <row r="636">
      <c r="D636" s="123"/>
      <c r="L636" s="125"/>
      <c r="N636" s="126"/>
      <c r="P636" s="127"/>
      <c r="Q636" s="128"/>
      <c r="R636" s="74"/>
      <c r="AF636" s="76"/>
    </row>
    <row r="637">
      <c r="D637" s="123"/>
      <c r="L637" s="125"/>
      <c r="N637" s="126"/>
      <c r="P637" s="127"/>
      <c r="Q637" s="128"/>
      <c r="R637" s="74"/>
      <c r="AF637" s="76"/>
    </row>
    <row r="638">
      <c r="D638" s="123"/>
      <c r="L638" s="125"/>
      <c r="N638" s="126"/>
      <c r="P638" s="127"/>
      <c r="Q638" s="128"/>
      <c r="R638" s="74"/>
      <c r="AF638" s="76"/>
    </row>
    <row r="639">
      <c r="D639" s="123"/>
      <c r="L639" s="125"/>
      <c r="N639" s="126"/>
      <c r="P639" s="127"/>
      <c r="Q639" s="128"/>
      <c r="R639" s="74"/>
      <c r="AF639" s="76"/>
    </row>
    <row r="640">
      <c r="D640" s="123"/>
      <c r="L640" s="125"/>
      <c r="N640" s="126"/>
      <c r="P640" s="127"/>
      <c r="Q640" s="128"/>
      <c r="R640" s="74"/>
      <c r="AF640" s="76"/>
    </row>
    <row r="641">
      <c r="D641" s="123"/>
      <c r="L641" s="125"/>
      <c r="N641" s="126"/>
      <c r="P641" s="127"/>
      <c r="Q641" s="128"/>
      <c r="R641" s="74"/>
      <c r="AF641" s="76"/>
    </row>
    <row r="642">
      <c r="D642" s="123"/>
      <c r="L642" s="125"/>
      <c r="N642" s="126"/>
      <c r="P642" s="127"/>
      <c r="Q642" s="128"/>
      <c r="R642" s="74"/>
      <c r="AF642" s="76"/>
    </row>
    <row r="643">
      <c r="D643" s="123"/>
      <c r="L643" s="125"/>
      <c r="N643" s="126"/>
      <c r="P643" s="127"/>
      <c r="Q643" s="128"/>
      <c r="R643" s="74"/>
      <c r="AF643" s="76"/>
    </row>
    <row r="644">
      <c r="D644" s="123"/>
      <c r="L644" s="125"/>
      <c r="N644" s="126"/>
      <c r="P644" s="127"/>
      <c r="Q644" s="128"/>
      <c r="R644" s="74"/>
      <c r="AF644" s="76"/>
    </row>
    <row r="645">
      <c r="D645" s="123"/>
      <c r="L645" s="125"/>
      <c r="N645" s="126"/>
      <c r="P645" s="127"/>
      <c r="Q645" s="128"/>
      <c r="R645" s="74"/>
      <c r="AF645" s="76"/>
    </row>
    <row r="646">
      <c r="D646" s="123"/>
      <c r="L646" s="125"/>
      <c r="N646" s="126"/>
      <c r="P646" s="127"/>
      <c r="Q646" s="128"/>
      <c r="R646" s="74"/>
      <c r="AF646" s="76"/>
    </row>
    <row r="647">
      <c r="D647" s="123"/>
      <c r="L647" s="125"/>
      <c r="N647" s="126"/>
      <c r="P647" s="127"/>
      <c r="Q647" s="128"/>
      <c r="R647" s="74"/>
      <c r="AF647" s="76"/>
    </row>
    <row r="648">
      <c r="D648" s="123"/>
      <c r="L648" s="125"/>
      <c r="N648" s="126"/>
      <c r="P648" s="127"/>
      <c r="Q648" s="128"/>
      <c r="R648" s="74"/>
      <c r="AF648" s="76"/>
    </row>
    <row r="649">
      <c r="D649" s="123"/>
      <c r="L649" s="125"/>
      <c r="N649" s="126"/>
      <c r="P649" s="127"/>
      <c r="Q649" s="128"/>
      <c r="R649" s="74"/>
      <c r="AF649" s="76"/>
    </row>
    <row r="650">
      <c r="D650" s="123"/>
      <c r="L650" s="125"/>
      <c r="N650" s="126"/>
      <c r="P650" s="127"/>
      <c r="Q650" s="128"/>
      <c r="R650" s="74"/>
      <c r="AF650" s="76"/>
    </row>
    <row r="651">
      <c r="D651" s="123"/>
      <c r="L651" s="125"/>
      <c r="N651" s="126"/>
      <c r="P651" s="127"/>
      <c r="Q651" s="128"/>
      <c r="R651" s="74"/>
      <c r="AF651" s="76"/>
    </row>
    <row r="652">
      <c r="D652" s="123"/>
      <c r="L652" s="125"/>
      <c r="N652" s="126"/>
      <c r="P652" s="127"/>
      <c r="Q652" s="128"/>
      <c r="R652" s="74"/>
      <c r="AF652" s="76"/>
    </row>
    <row r="653">
      <c r="D653" s="123"/>
      <c r="L653" s="125"/>
      <c r="N653" s="126"/>
      <c r="P653" s="127"/>
      <c r="Q653" s="128"/>
      <c r="R653" s="74"/>
      <c r="AF653" s="76"/>
    </row>
    <row r="654">
      <c r="D654" s="123"/>
      <c r="L654" s="125"/>
      <c r="N654" s="126"/>
      <c r="P654" s="127"/>
      <c r="Q654" s="128"/>
      <c r="R654" s="74"/>
      <c r="AF654" s="76"/>
    </row>
    <row r="655">
      <c r="D655" s="123"/>
      <c r="L655" s="125"/>
      <c r="N655" s="126"/>
      <c r="P655" s="127"/>
      <c r="Q655" s="128"/>
      <c r="R655" s="74"/>
      <c r="AF655" s="76"/>
    </row>
    <row r="656">
      <c r="D656" s="123"/>
      <c r="L656" s="125"/>
      <c r="N656" s="126"/>
      <c r="P656" s="127"/>
      <c r="Q656" s="128"/>
      <c r="R656" s="74"/>
      <c r="AF656" s="76"/>
    </row>
    <row r="657">
      <c r="D657" s="123"/>
      <c r="L657" s="125"/>
      <c r="N657" s="126"/>
      <c r="P657" s="127"/>
      <c r="Q657" s="128"/>
      <c r="R657" s="74"/>
      <c r="AF657" s="76"/>
    </row>
    <row r="658">
      <c r="D658" s="123"/>
      <c r="L658" s="125"/>
      <c r="N658" s="126"/>
      <c r="P658" s="127"/>
      <c r="Q658" s="128"/>
      <c r="R658" s="74"/>
      <c r="AF658" s="76"/>
    </row>
    <row r="659">
      <c r="D659" s="123"/>
      <c r="L659" s="125"/>
      <c r="N659" s="126"/>
      <c r="P659" s="127"/>
      <c r="Q659" s="128"/>
      <c r="R659" s="74"/>
      <c r="AF659" s="76"/>
    </row>
    <row r="660">
      <c r="D660" s="123"/>
      <c r="L660" s="125"/>
      <c r="N660" s="126"/>
      <c r="P660" s="127"/>
      <c r="Q660" s="128"/>
      <c r="R660" s="74"/>
      <c r="AF660" s="76"/>
    </row>
    <row r="661">
      <c r="D661" s="123"/>
      <c r="L661" s="125"/>
      <c r="N661" s="126"/>
      <c r="P661" s="127"/>
      <c r="Q661" s="128"/>
      <c r="R661" s="74"/>
      <c r="AF661" s="76"/>
    </row>
    <row r="662">
      <c r="D662" s="123"/>
      <c r="L662" s="125"/>
      <c r="N662" s="126"/>
      <c r="P662" s="127"/>
      <c r="Q662" s="128"/>
      <c r="R662" s="74"/>
      <c r="AF662" s="76"/>
    </row>
    <row r="663">
      <c r="D663" s="123"/>
      <c r="L663" s="125"/>
      <c r="N663" s="126"/>
      <c r="P663" s="127"/>
      <c r="Q663" s="128"/>
      <c r="R663" s="74"/>
      <c r="AF663" s="76"/>
    </row>
    <row r="664">
      <c r="D664" s="123"/>
      <c r="L664" s="125"/>
      <c r="N664" s="126"/>
      <c r="P664" s="127"/>
      <c r="Q664" s="128"/>
      <c r="R664" s="74"/>
      <c r="AF664" s="76"/>
    </row>
    <row r="665">
      <c r="D665" s="123"/>
      <c r="L665" s="125"/>
      <c r="N665" s="126"/>
      <c r="P665" s="127"/>
      <c r="Q665" s="128"/>
      <c r="R665" s="74"/>
      <c r="AF665" s="76"/>
    </row>
    <row r="666">
      <c r="D666" s="123"/>
      <c r="L666" s="125"/>
      <c r="N666" s="126"/>
      <c r="P666" s="127"/>
      <c r="Q666" s="128"/>
      <c r="R666" s="74"/>
      <c r="AF666" s="76"/>
    </row>
    <row r="667">
      <c r="D667" s="123"/>
      <c r="L667" s="125"/>
      <c r="N667" s="126"/>
      <c r="P667" s="127"/>
      <c r="Q667" s="128"/>
      <c r="R667" s="74"/>
      <c r="AF667" s="76"/>
    </row>
    <row r="668">
      <c r="D668" s="123"/>
      <c r="L668" s="125"/>
      <c r="N668" s="126"/>
      <c r="P668" s="127"/>
      <c r="Q668" s="128"/>
      <c r="R668" s="74"/>
      <c r="AF668" s="76"/>
    </row>
    <row r="669">
      <c r="D669" s="123"/>
      <c r="L669" s="125"/>
      <c r="N669" s="126"/>
      <c r="P669" s="127"/>
      <c r="Q669" s="128"/>
      <c r="R669" s="74"/>
      <c r="AF669" s="76"/>
    </row>
    <row r="670">
      <c r="D670" s="123"/>
      <c r="L670" s="125"/>
      <c r="N670" s="126"/>
      <c r="P670" s="127"/>
      <c r="Q670" s="128"/>
      <c r="R670" s="74"/>
      <c r="AF670" s="76"/>
    </row>
    <row r="671">
      <c r="D671" s="123"/>
      <c r="L671" s="125"/>
      <c r="N671" s="126"/>
      <c r="P671" s="127"/>
      <c r="Q671" s="128"/>
      <c r="R671" s="74"/>
      <c r="AF671" s="76"/>
    </row>
    <row r="672">
      <c r="D672" s="123"/>
      <c r="L672" s="125"/>
      <c r="N672" s="126"/>
      <c r="P672" s="127"/>
      <c r="Q672" s="128"/>
      <c r="R672" s="74"/>
      <c r="AF672" s="76"/>
    </row>
    <row r="673">
      <c r="D673" s="123"/>
      <c r="L673" s="125"/>
      <c r="N673" s="126"/>
      <c r="P673" s="127"/>
      <c r="Q673" s="128"/>
      <c r="R673" s="74"/>
      <c r="AF673" s="76"/>
    </row>
    <row r="674">
      <c r="D674" s="123"/>
      <c r="L674" s="125"/>
      <c r="N674" s="126"/>
      <c r="P674" s="127"/>
      <c r="Q674" s="128"/>
      <c r="R674" s="74"/>
      <c r="AF674" s="76"/>
    </row>
    <row r="675">
      <c r="D675" s="123"/>
      <c r="L675" s="125"/>
      <c r="N675" s="126"/>
      <c r="P675" s="127"/>
      <c r="Q675" s="128"/>
      <c r="R675" s="74"/>
      <c r="AF675" s="76"/>
    </row>
    <row r="676">
      <c r="D676" s="123"/>
      <c r="L676" s="125"/>
      <c r="N676" s="126"/>
      <c r="P676" s="127"/>
      <c r="Q676" s="128"/>
      <c r="R676" s="74"/>
      <c r="AF676" s="76"/>
    </row>
    <row r="677">
      <c r="D677" s="123"/>
      <c r="L677" s="125"/>
      <c r="N677" s="126"/>
      <c r="P677" s="127"/>
      <c r="Q677" s="128"/>
      <c r="R677" s="74"/>
      <c r="AF677" s="76"/>
    </row>
    <row r="678">
      <c r="D678" s="123"/>
      <c r="L678" s="125"/>
      <c r="N678" s="126"/>
      <c r="P678" s="127"/>
      <c r="Q678" s="128"/>
      <c r="R678" s="74"/>
      <c r="AF678" s="76"/>
    </row>
    <row r="679">
      <c r="D679" s="123"/>
      <c r="L679" s="125"/>
      <c r="N679" s="126"/>
      <c r="P679" s="127"/>
      <c r="Q679" s="128"/>
      <c r="R679" s="74"/>
      <c r="AF679" s="76"/>
    </row>
    <row r="680">
      <c r="D680" s="123"/>
      <c r="L680" s="125"/>
      <c r="N680" s="126"/>
      <c r="P680" s="127"/>
      <c r="Q680" s="128"/>
      <c r="R680" s="74"/>
      <c r="AF680" s="76"/>
    </row>
    <row r="681">
      <c r="D681" s="123"/>
      <c r="L681" s="125"/>
      <c r="N681" s="126"/>
      <c r="P681" s="127"/>
      <c r="Q681" s="128"/>
      <c r="R681" s="74"/>
      <c r="AF681" s="76"/>
    </row>
    <row r="682">
      <c r="D682" s="123"/>
      <c r="L682" s="125"/>
      <c r="N682" s="126"/>
      <c r="P682" s="127"/>
      <c r="Q682" s="128"/>
      <c r="R682" s="74"/>
      <c r="AF682" s="76"/>
    </row>
    <row r="683">
      <c r="D683" s="123"/>
      <c r="L683" s="125"/>
      <c r="N683" s="126"/>
      <c r="P683" s="127"/>
      <c r="Q683" s="128"/>
      <c r="R683" s="74"/>
      <c r="AF683" s="76"/>
    </row>
    <row r="684">
      <c r="D684" s="123"/>
      <c r="L684" s="125"/>
      <c r="N684" s="126"/>
      <c r="P684" s="127"/>
      <c r="Q684" s="128"/>
      <c r="R684" s="74"/>
      <c r="AF684" s="76"/>
    </row>
    <row r="685">
      <c r="D685" s="123"/>
      <c r="L685" s="125"/>
      <c r="N685" s="126"/>
      <c r="P685" s="127"/>
      <c r="Q685" s="128"/>
      <c r="R685" s="74"/>
      <c r="AF685" s="76"/>
    </row>
    <row r="686">
      <c r="D686" s="123"/>
      <c r="L686" s="125"/>
      <c r="N686" s="126"/>
      <c r="P686" s="127"/>
      <c r="Q686" s="128"/>
      <c r="R686" s="74"/>
      <c r="AF686" s="76"/>
    </row>
    <row r="687">
      <c r="D687" s="123"/>
      <c r="L687" s="125"/>
      <c r="N687" s="126"/>
      <c r="P687" s="127"/>
      <c r="Q687" s="128"/>
      <c r="R687" s="74"/>
      <c r="AF687" s="76"/>
    </row>
    <row r="688">
      <c r="D688" s="123"/>
      <c r="L688" s="125"/>
      <c r="N688" s="126"/>
      <c r="P688" s="127"/>
      <c r="Q688" s="128"/>
      <c r="R688" s="74"/>
      <c r="AF688" s="76"/>
    </row>
    <row r="689">
      <c r="D689" s="123"/>
      <c r="L689" s="125"/>
      <c r="N689" s="126"/>
      <c r="P689" s="127"/>
      <c r="Q689" s="128"/>
      <c r="R689" s="74"/>
      <c r="AF689" s="76"/>
    </row>
    <row r="690">
      <c r="D690" s="123"/>
      <c r="L690" s="125"/>
      <c r="N690" s="126"/>
      <c r="P690" s="127"/>
      <c r="Q690" s="128"/>
      <c r="R690" s="74"/>
      <c r="AF690" s="76"/>
    </row>
    <row r="691">
      <c r="D691" s="123"/>
      <c r="L691" s="125"/>
      <c r="N691" s="126"/>
      <c r="P691" s="127"/>
      <c r="Q691" s="128"/>
      <c r="R691" s="74"/>
      <c r="AF691" s="76"/>
    </row>
    <row r="692">
      <c r="D692" s="123"/>
      <c r="L692" s="125"/>
      <c r="N692" s="126"/>
      <c r="P692" s="127"/>
      <c r="Q692" s="128"/>
      <c r="R692" s="74"/>
      <c r="AF692" s="76"/>
    </row>
    <row r="693">
      <c r="D693" s="123"/>
      <c r="L693" s="125"/>
      <c r="N693" s="126"/>
      <c r="P693" s="127"/>
      <c r="Q693" s="128"/>
      <c r="R693" s="74"/>
      <c r="AF693" s="76"/>
    </row>
    <row r="694">
      <c r="D694" s="123"/>
      <c r="L694" s="125"/>
      <c r="N694" s="126"/>
      <c r="P694" s="127"/>
      <c r="Q694" s="128"/>
      <c r="R694" s="74"/>
      <c r="AF694" s="76"/>
    </row>
    <row r="695">
      <c r="D695" s="123"/>
      <c r="L695" s="125"/>
      <c r="N695" s="126"/>
      <c r="P695" s="127"/>
      <c r="Q695" s="128"/>
      <c r="R695" s="74"/>
      <c r="AF695" s="76"/>
    </row>
    <row r="696">
      <c r="D696" s="123"/>
      <c r="L696" s="125"/>
      <c r="N696" s="126"/>
      <c r="P696" s="127"/>
      <c r="Q696" s="128"/>
      <c r="R696" s="74"/>
      <c r="AF696" s="76"/>
    </row>
    <row r="697">
      <c r="D697" s="123"/>
      <c r="L697" s="125"/>
      <c r="N697" s="126"/>
      <c r="P697" s="127"/>
      <c r="Q697" s="128"/>
      <c r="R697" s="74"/>
      <c r="AF697" s="76"/>
    </row>
    <row r="698">
      <c r="D698" s="123"/>
      <c r="L698" s="125"/>
      <c r="N698" s="126"/>
      <c r="P698" s="127"/>
      <c r="Q698" s="128"/>
      <c r="R698" s="74"/>
      <c r="AF698" s="76"/>
    </row>
    <row r="699">
      <c r="D699" s="123"/>
      <c r="L699" s="125"/>
      <c r="N699" s="126"/>
      <c r="P699" s="127"/>
      <c r="Q699" s="128"/>
      <c r="R699" s="74"/>
      <c r="AF699" s="76"/>
    </row>
    <row r="700">
      <c r="D700" s="123"/>
      <c r="L700" s="125"/>
      <c r="N700" s="126"/>
      <c r="P700" s="127"/>
      <c r="Q700" s="128"/>
      <c r="R700" s="74"/>
      <c r="AF700" s="76"/>
    </row>
    <row r="701">
      <c r="D701" s="123"/>
      <c r="L701" s="125"/>
      <c r="N701" s="126"/>
      <c r="P701" s="127"/>
      <c r="Q701" s="128"/>
      <c r="R701" s="74"/>
      <c r="AF701" s="76"/>
    </row>
    <row r="702">
      <c r="D702" s="123"/>
      <c r="L702" s="125"/>
      <c r="N702" s="126"/>
      <c r="P702" s="127"/>
      <c r="Q702" s="128"/>
      <c r="R702" s="74"/>
      <c r="AF702" s="76"/>
    </row>
    <row r="703">
      <c r="D703" s="123"/>
      <c r="L703" s="125"/>
      <c r="N703" s="126"/>
      <c r="P703" s="127"/>
      <c r="Q703" s="128"/>
      <c r="R703" s="74"/>
      <c r="AF703" s="76"/>
    </row>
    <row r="704">
      <c r="D704" s="123"/>
      <c r="L704" s="125"/>
      <c r="N704" s="126"/>
      <c r="P704" s="127"/>
      <c r="Q704" s="128"/>
      <c r="R704" s="74"/>
      <c r="AF704" s="76"/>
    </row>
    <row r="705">
      <c r="D705" s="123"/>
      <c r="L705" s="125"/>
      <c r="N705" s="126"/>
      <c r="P705" s="127"/>
      <c r="Q705" s="128"/>
      <c r="R705" s="74"/>
      <c r="AF705" s="76"/>
    </row>
    <row r="706">
      <c r="D706" s="123"/>
      <c r="L706" s="125"/>
      <c r="N706" s="126"/>
      <c r="P706" s="127"/>
      <c r="Q706" s="128"/>
      <c r="R706" s="74"/>
      <c r="AF706" s="76"/>
    </row>
    <row r="707">
      <c r="D707" s="123"/>
      <c r="L707" s="125"/>
      <c r="N707" s="126"/>
      <c r="P707" s="127"/>
      <c r="Q707" s="128"/>
      <c r="R707" s="74"/>
      <c r="AF707" s="76"/>
    </row>
    <row r="708">
      <c r="D708" s="123"/>
      <c r="L708" s="125"/>
      <c r="N708" s="126"/>
      <c r="P708" s="127"/>
      <c r="Q708" s="128"/>
      <c r="R708" s="74"/>
      <c r="AF708" s="76"/>
    </row>
    <row r="709">
      <c r="D709" s="123"/>
      <c r="L709" s="125"/>
      <c r="N709" s="126"/>
      <c r="P709" s="127"/>
      <c r="Q709" s="128"/>
      <c r="R709" s="74"/>
      <c r="AF709" s="76"/>
    </row>
    <row r="710">
      <c r="D710" s="123"/>
      <c r="L710" s="125"/>
      <c r="N710" s="126"/>
      <c r="P710" s="127"/>
      <c r="Q710" s="128"/>
      <c r="R710" s="74"/>
      <c r="AF710" s="76"/>
    </row>
    <row r="711">
      <c r="D711" s="123"/>
      <c r="L711" s="125"/>
      <c r="N711" s="126"/>
      <c r="P711" s="127"/>
      <c r="Q711" s="128"/>
      <c r="R711" s="74"/>
      <c r="AF711" s="76"/>
    </row>
    <row r="712">
      <c r="D712" s="123"/>
      <c r="L712" s="125"/>
      <c r="N712" s="126"/>
      <c r="P712" s="127"/>
      <c r="Q712" s="128"/>
      <c r="R712" s="74"/>
      <c r="AF712" s="76"/>
    </row>
    <row r="713">
      <c r="D713" s="123"/>
      <c r="L713" s="125"/>
      <c r="N713" s="126"/>
      <c r="P713" s="127"/>
      <c r="Q713" s="128"/>
      <c r="R713" s="74"/>
      <c r="AF713" s="76"/>
    </row>
    <row r="714">
      <c r="D714" s="123"/>
      <c r="L714" s="125"/>
      <c r="N714" s="126"/>
      <c r="P714" s="127"/>
      <c r="Q714" s="128"/>
      <c r="R714" s="74"/>
      <c r="AF714" s="76"/>
    </row>
    <row r="715">
      <c r="D715" s="123"/>
      <c r="L715" s="125"/>
      <c r="N715" s="126"/>
      <c r="P715" s="127"/>
      <c r="Q715" s="128"/>
      <c r="R715" s="74"/>
      <c r="AF715" s="76"/>
    </row>
    <row r="716">
      <c r="D716" s="123"/>
      <c r="L716" s="125"/>
      <c r="N716" s="126"/>
      <c r="P716" s="127"/>
      <c r="Q716" s="128"/>
      <c r="R716" s="74"/>
      <c r="AF716" s="76"/>
    </row>
    <row r="717">
      <c r="D717" s="123"/>
      <c r="L717" s="125"/>
      <c r="N717" s="126"/>
      <c r="P717" s="127"/>
      <c r="Q717" s="128"/>
      <c r="R717" s="74"/>
      <c r="AF717" s="76"/>
    </row>
    <row r="718">
      <c r="D718" s="123"/>
      <c r="L718" s="125"/>
      <c r="N718" s="126"/>
      <c r="P718" s="127"/>
      <c r="Q718" s="128"/>
      <c r="R718" s="74"/>
      <c r="AF718" s="76"/>
    </row>
    <row r="719">
      <c r="D719" s="123"/>
      <c r="L719" s="125"/>
      <c r="N719" s="126"/>
      <c r="P719" s="127"/>
      <c r="Q719" s="128"/>
      <c r="R719" s="74"/>
      <c r="AF719" s="76"/>
    </row>
    <row r="720">
      <c r="D720" s="123"/>
      <c r="L720" s="125"/>
      <c r="N720" s="126"/>
      <c r="P720" s="127"/>
      <c r="Q720" s="128"/>
      <c r="R720" s="74"/>
      <c r="AF720" s="76"/>
    </row>
    <row r="721">
      <c r="D721" s="123"/>
      <c r="L721" s="125"/>
      <c r="N721" s="126"/>
      <c r="P721" s="127"/>
      <c r="Q721" s="128"/>
      <c r="R721" s="74"/>
      <c r="AF721" s="76"/>
    </row>
    <row r="722">
      <c r="D722" s="123"/>
      <c r="L722" s="125"/>
      <c r="N722" s="126"/>
      <c r="P722" s="127"/>
      <c r="Q722" s="128"/>
      <c r="R722" s="74"/>
      <c r="AF722" s="76"/>
    </row>
    <row r="723">
      <c r="D723" s="123"/>
      <c r="L723" s="125"/>
      <c r="N723" s="126"/>
      <c r="P723" s="127"/>
      <c r="Q723" s="128"/>
      <c r="R723" s="74"/>
      <c r="AF723" s="76"/>
    </row>
    <row r="724">
      <c r="D724" s="123"/>
      <c r="L724" s="125"/>
      <c r="N724" s="126"/>
      <c r="P724" s="127"/>
      <c r="Q724" s="128"/>
      <c r="R724" s="74"/>
      <c r="AF724" s="76"/>
    </row>
    <row r="725">
      <c r="D725" s="123"/>
      <c r="L725" s="125"/>
      <c r="N725" s="126"/>
      <c r="P725" s="127"/>
      <c r="Q725" s="128"/>
      <c r="R725" s="74"/>
      <c r="AF725" s="76"/>
    </row>
    <row r="726">
      <c r="D726" s="123"/>
      <c r="L726" s="125"/>
      <c r="N726" s="126"/>
      <c r="P726" s="127"/>
      <c r="Q726" s="128"/>
      <c r="R726" s="74"/>
      <c r="AF726" s="76"/>
    </row>
    <row r="727">
      <c r="D727" s="123"/>
      <c r="L727" s="125"/>
      <c r="N727" s="126"/>
      <c r="P727" s="127"/>
      <c r="Q727" s="128"/>
      <c r="R727" s="74"/>
      <c r="AF727" s="76"/>
    </row>
    <row r="728">
      <c r="D728" s="123"/>
      <c r="L728" s="125"/>
      <c r="N728" s="126"/>
      <c r="P728" s="127"/>
      <c r="Q728" s="128"/>
      <c r="R728" s="74"/>
      <c r="AF728" s="76"/>
    </row>
    <row r="729">
      <c r="D729" s="123"/>
      <c r="L729" s="125"/>
      <c r="N729" s="126"/>
      <c r="P729" s="127"/>
      <c r="Q729" s="128"/>
      <c r="R729" s="74"/>
      <c r="AF729" s="76"/>
    </row>
    <row r="730">
      <c r="D730" s="123"/>
      <c r="L730" s="125"/>
      <c r="N730" s="126"/>
      <c r="P730" s="127"/>
      <c r="Q730" s="128"/>
      <c r="R730" s="74"/>
      <c r="AF730" s="76"/>
    </row>
    <row r="731">
      <c r="D731" s="123"/>
      <c r="L731" s="125"/>
      <c r="N731" s="126"/>
      <c r="P731" s="127"/>
      <c r="Q731" s="128"/>
      <c r="R731" s="74"/>
      <c r="AF731" s="76"/>
    </row>
    <row r="732">
      <c r="D732" s="123"/>
      <c r="L732" s="125"/>
      <c r="N732" s="126"/>
      <c r="P732" s="127"/>
      <c r="Q732" s="128"/>
      <c r="R732" s="74"/>
      <c r="AF732" s="76"/>
    </row>
    <row r="733">
      <c r="D733" s="123"/>
      <c r="L733" s="125"/>
      <c r="N733" s="126"/>
      <c r="P733" s="127"/>
      <c r="Q733" s="128"/>
      <c r="R733" s="74"/>
      <c r="AF733" s="76"/>
    </row>
    <row r="734">
      <c r="D734" s="123"/>
      <c r="L734" s="125"/>
      <c r="N734" s="126"/>
      <c r="P734" s="127"/>
      <c r="Q734" s="128"/>
      <c r="R734" s="74"/>
      <c r="AF734" s="76"/>
    </row>
    <row r="735">
      <c r="D735" s="123"/>
      <c r="L735" s="125"/>
      <c r="N735" s="126"/>
      <c r="P735" s="127"/>
      <c r="Q735" s="128"/>
      <c r="R735" s="74"/>
      <c r="AF735" s="76"/>
    </row>
    <row r="736">
      <c r="D736" s="123"/>
      <c r="L736" s="125"/>
      <c r="N736" s="126"/>
      <c r="P736" s="127"/>
      <c r="Q736" s="128"/>
      <c r="R736" s="74"/>
      <c r="AF736" s="76"/>
    </row>
    <row r="737">
      <c r="D737" s="123"/>
      <c r="L737" s="125"/>
      <c r="N737" s="126"/>
      <c r="P737" s="127"/>
      <c r="Q737" s="128"/>
      <c r="R737" s="74"/>
      <c r="AF737" s="76"/>
    </row>
    <row r="738">
      <c r="D738" s="123"/>
      <c r="L738" s="125"/>
      <c r="N738" s="126"/>
      <c r="P738" s="127"/>
      <c r="Q738" s="128"/>
      <c r="R738" s="74"/>
      <c r="AF738" s="76"/>
    </row>
    <row r="739">
      <c r="D739" s="123"/>
      <c r="L739" s="125"/>
      <c r="N739" s="126"/>
      <c r="P739" s="127"/>
      <c r="Q739" s="128"/>
      <c r="R739" s="74"/>
      <c r="AF739" s="76"/>
    </row>
    <row r="740">
      <c r="D740" s="123"/>
      <c r="L740" s="125"/>
      <c r="N740" s="126"/>
      <c r="P740" s="127"/>
      <c r="Q740" s="128"/>
      <c r="R740" s="74"/>
      <c r="AF740" s="76"/>
    </row>
    <row r="741">
      <c r="D741" s="123"/>
      <c r="L741" s="125"/>
      <c r="N741" s="126"/>
      <c r="P741" s="127"/>
      <c r="Q741" s="128"/>
      <c r="R741" s="74"/>
      <c r="AF741" s="76"/>
    </row>
    <row r="742">
      <c r="D742" s="123"/>
      <c r="L742" s="125"/>
      <c r="N742" s="126"/>
      <c r="P742" s="127"/>
      <c r="Q742" s="128"/>
      <c r="R742" s="74"/>
      <c r="AF742" s="76"/>
    </row>
    <row r="743">
      <c r="D743" s="123"/>
      <c r="L743" s="125"/>
      <c r="N743" s="126"/>
      <c r="P743" s="127"/>
      <c r="Q743" s="128"/>
      <c r="R743" s="74"/>
      <c r="AF743" s="76"/>
    </row>
    <row r="744">
      <c r="D744" s="123"/>
      <c r="L744" s="125"/>
      <c r="N744" s="126"/>
      <c r="P744" s="127"/>
      <c r="Q744" s="128"/>
      <c r="R744" s="74"/>
      <c r="AF744" s="76"/>
    </row>
    <row r="745">
      <c r="D745" s="123"/>
      <c r="L745" s="125"/>
      <c r="N745" s="126"/>
      <c r="P745" s="127"/>
      <c r="Q745" s="128"/>
      <c r="R745" s="74"/>
      <c r="AF745" s="76"/>
    </row>
    <row r="746">
      <c r="D746" s="123"/>
      <c r="L746" s="125"/>
      <c r="N746" s="126"/>
      <c r="P746" s="127"/>
      <c r="Q746" s="128"/>
      <c r="R746" s="74"/>
      <c r="AF746" s="76"/>
    </row>
    <row r="747">
      <c r="D747" s="123"/>
      <c r="L747" s="125"/>
      <c r="N747" s="126"/>
      <c r="P747" s="127"/>
      <c r="Q747" s="128"/>
      <c r="R747" s="74"/>
      <c r="AF747" s="76"/>
    </row>
    <row r="748">
      <c r="D748" s="123"/>
      <c r="L748" s="125"/>
      <c r="N748" s="126"/>
      <c r="P748" s="127"/>
      <c r="Q748" s="128"/>
      <c r="R748" s="74"/>
      <c r="AF748" s="76"/>
    </row>
    <row r="749">
      <c r="D749" s="123"/>
      <c r="L749" s="125"/>
      <c r="N749" s="126"/>
      <c r="P749" s="127"/>
      <c r="Q749" s="128"/>
      <c r="R749" s="74"/>
      <c r="AF749" s="76"/>
    </row>
    <row r="750">
      <c r="D750" s="123"/>
      <c r="L750" s="125"/>
      <c r="N750" s="126"/>
      <c r="P750" s="127"/>
      <c r="Q750" s="128"/>
      <c r="R750" s="74"/>
      <c r="AF750" s="76"/>
    </row>
    <row r="751">
      <c r="D751" s="123"/>
      <c r="L751" s="125"/>
      <c r="N751" s="126"/>
      <c r="P751" s="127"/>
      <c r="Q751" s="128"/>
      <c r="R751" s="74"/>
      <c r="AF751" s="76"/>
    </row>
    <row r="752">
      <c r="D752" s="123"/>
      <c r="L752" s="125"/>
      <c r="N752" s="126"/>
      <c r="P752" s="127"/>
      <c r="Q752" s="128"/>
      <c r="R752" s="74"/>
      <c r="AF752" s="76"/>
    </row>
    <row r="753">
      <c r="D753" s="123"/>
      <c r="L753" s="125"/>
      <c r="N753" s="126"/>
      <c r="P753" s="127"/>
      <c r="Q753" s="128"/>
      <c r="R753" s="74"/>
      <c r="AF753" s="76"/>
    </row>
    <row r="754">
      <c r="D754" s="123"/>
      <c r="L754" s="125"/>
      <c r="N754" s="126"/>
      <c r="P754" s="127"/>
      <c r="Q754" s="128"/>
      <c r="R754" s="74"/>
      <c r="AF754" s="76"/>
    </row>
    <row r="755">
      <c r="D755" s="123"/>
      <c r="L755" s="125"/>
      <c r="N755" s="126"/>
      <c r="P755" s="127"/>
      <c r="Q755" s="128"/>
      <c r="R755" s="74"/>
      <c r="AF755" s="76"/>
    </row>
    <row r="756">
      <c r="D756" s="123"/>
      <c r="L756" s="125"/>
      <c r="N756" s="126"/>
      <c r="P756" s="127"/>
      <c r="Q756" s="128"/>
      <c r="R756" s="74"/>
      <c r="AF756" s="76"/>
    </row>
    <row r="757">
      <c r="D757" s="123"/>
      <c r="L757" s="125"/>
      <c r="N757" s="126"/>
      <c r="P757" s="127"/>
      <c r="Q757" s="128"/>
      <c r="R757" s="74"/>
      <c r="AF757" s="76"/>
    </row>
    <row r="758">
      <c r="D758" s="123"/>
      <c r="L758" s="125"/>
      <c r="N758" s="126"/>
      <c r="P758" s="127"/>
      <c r="Q758" s="128"/>
      <c r="R758" s="74"/>
      <c r="AF758" s="76"/>
    </row>
    <row r="759">
      <c r="D759" s="123"/>
      <c r="L759" s="125"/>
      <c r="N759" s="126"/>
      <c r="P759" s="127"/>
      <c r="Q759" s="128"/>
      <c r="R759" s="74"/>
      <c r="AF759" s="76"/>
    </row>
    <row r="760">
      <c r="D760" s="123"/>
      <c r="L760" s="125"/>
      <c r="N760" s="126"/>
      <c r="P760" s="127"/>
      <c r="Q760" s="128"/>
      <c r="R760" s="74"/>
      <c r="AF760" s="76"/>
    </row>
    <row r="761">
      <c r="D761" s="123"/>
      <c r="L761" s="125"/>
      <c r="N761" s="126"/>
      <c r="P761" s="127"/>
      <c r="Q761" s="128"/>
      <c r="R761" s="74"/>
      <c r="AF761" s="76"/>
    </row>
    <row r="762">
      <c r="D762" s="123"/>
      <c r="L762" s="125"/>
      <c r="N762" s="126"/>
      <c r="P762" s="127"/>
      <c r="Q762" s="128"/>
      <c r="R762" s="74"/>
      <c r="AF762" s="76"/>
    </row>
    <row r="763">
      <c r="D763" s="123"/>
      <c r="L763" s="125"/>
      <c r="N763" s="126"/>
      <c r="P763" s="127"/>
      <c r="Q763" s="128"/>
      <c r="R763" s="74"/>
      <c r="AF763" s="76"/>
    </row>
    <row r="764">
      <c r="D764" s="123"/>
      <c r="L764" s="125"/>
      <c r="N764" s="126"/>
      <c r="P764" s="127"/>
      <c r="Q764" s="128"/>
      <c r="R764" s="74"/>
      <c r="AF764" s="76"/>
    </row>
    <row r="765">
      <c r="D765" s="123"/>
      <c r="L765" s="125"/>
      <c r="N765" s="126"/>
      <c r="P765" s="127"/>
      <c r="Q765" s="128"/>
      <c r="R765" s="74"/>
      <c r="AF765" s="76"/>
    </row>
    <row r="766">
      <c r="D766" s="123"/>
      <c r="L766" s="125"/>
      <c r="N766" s="126"/>
      <c r="P766" s="127"/>
      <c r="Q766" s="128"/>
      <c r="R766" s="74"/>
      <c r="AF766" s="76"/>
    </row>
    <row r="767">
      <c r="D767" s="123"/>
      <c r="L767" s="125"/>
      <c r="N767" s="126"/>
      <c r="P767" s="127"/>
      <c r="Q767" s="128"/>
      <c r="R767" s="74"/>
      <c r="AF767" s="76"/>
    </row>
    <row r="768">
      <c r="D768" s="123"/>
      <c r="L768" s="125"/>
      <c r="N768" s="126"/>
      <c r="P768" s="127"/>
      <c r="Q768" s="128"/>
      <c r="R768" s="74"/>
      <c r="AF768" s="76"/>
    </row>
    <row r="769">
      <c r="D769" s="123"/>
      <c r="L769" s="125"/>
      <c r="N769" s="126"/>
      <c r="P769" s="127"/>
      <c r="Q769" s="128"/>
      <c r="R769" s="74"/>
      <c r="AF769" s="76"/>
    </row>
    <row r="770">
      <c r="D770" s="123"/>
      <c r="L770" s="125"/>
      <c r="N770" s="126"/>
      <c r="P770" s="127"/>
      <c r="Q770" s="128"/>
      <c r="R770" s="74"/>
      <c r="AF770" s="76"/>
    </row>
    <row r="771">
      <c r="D771" s="123"/>
      <c r="L771" s="125"/>
      <c r="N771" s="126"/>
      <c r="P771" s="127"/>
      <c r="Q771" s="128"/>
      <c r="R771" s="74"/>
      <c r="AF771" s="76"/>
    </row>
    <row r="772">
      <c r="D772" s="123"/>
      <c r="L772" s="125"/>
      <c r="N772" s="126"/>
      <c r="P772" s="127"/>
      <c r="Q772" s="128"/>
      <c r="R772" s="74"/>
      <c r="AF772" s="76"/>
    </row>
    <row r="773">
      <c r="D773" s="123"/>
      <c r="L773" s="125"/>
      <c r="N773" s="126"/>
      <c r="P773" s="127"/>
      <c r="Q773" s="128"/>
      <c r="R773" s="74"/>
      <c r="AF773" s="76"/>
    </row>
    <row r="774">
      <c r="D774" s="123"/>
      <c r="L774" s="125"/>
      <c r="N774" s="126"/>
      <c r="P774" s="127"/>
      <c r="Q774" s="128"/>
      <c r="R774" s="74"/>
      <c r="AF774" s="76"/>
    </row>
    <row r="775">
      <c r="D775" s="123"/>
      <c r="L775" s="125"/>
      <c r="N775" s="126"/>
      <c r="P775" s="127"/>
      <c r="Q775" s="128"/>
      <c r="R775" s="74"/>
      <c r="AF775" s="76"/>
    </row>
    <row r="776">
      <c r="D776" s="123"/>
      <c r="L776" s="125"/>
      <c r="N776" s="126"/>
      <c r="P776" s="127"/>
      <c r="Q776" s="128"/>
      <c r="R776" s="74"/>
      <c r="AF776" s="76"/>
    </row>
    <row r="777">
      <c r="D777" s="123"/>
      <c r="L777" s="125"/>
      <c r="N777" s="126"/>
      <c r="P777" s="127"/>
      <c r="Q777" s="128"/>
      <c r="R777" s="74"/>
      <c r="AF777" s="76"/>
    </row>
    <row r="778">
      <c r="D778" s="123"/>
      <c r="L778" s="125"/>
      <c r="N778" s="126"/>
      <c r="P778" s="127"/>
      <c r="Q778" s="128"/>
      <c r="R778" s="74"/>
      <c r="AF778" s="76"/>
    </row>
    <row r="779">
      <c r="D779" s="123"/>
      <c r="L779" s="125"/>
      <c r="N779" s="126"/>
      <c r="P779" s="127"/>
      <c r="Q779" s="128"/>
      <c r="R779" s="74"/>
      <c r="AF779" s="76"/>
    </row>
    <row r="780">
      <c r="D780" s="123"/>
      <c r="L780" s="125"/>
      <c r="N780" s="126"/>
      <c r="P780" s="127"/>
      <c r="Q780" s="128"/>
      <c r="R780" s="74"/>
      <c r="AF780" s="76"/>
    </row>
    <row r="781">
      <c r="D781" s="123"/>
      <c r="L781" s="125"/>
      <c r="N781" s="126"/>
      <c r="P781" s="127"/>
      <c r="Q781" s="128"/>
      <c r="R781" s="74"/>
      <c r="AF781" s="76"/>
    </row>
    <row r="782">
      <c r="D782" s="123"/>
      <c r="L782" s="125"/>
      <c r="N782" s="126"/>
      <c r="P782" s="127"/>
      <c r="Q782" s="128"/>
      <c r="R782" s="74"/>
      <c r="AF782" s="76"/>
    </row>
    <row r="783">
      <c r="D783" s="123"/>
      <c r="L783" s="125"/>
      <c r="N783" s="126"/>
      <c r="P783" s="127"/>
      <c r="Q783" s="128"/>
      <c r="R783" s="74"/>
      <c r="AF783" s="76"/>
    </row>
    <row r="784">
      <c r="D784" s="123"/>
      <c r="L784" s="125"/>
      <c r="N784" s="126"/>
      <c r="P784" s="127"/>
      <c r="Q784" s="128"/>
      <c r="R784" s="74"/>
      <c r="AF784" s="76"/>
    </row>
    <row r="785">
      <c r="D785" s="123"/>
      <c r="L785" s="125"/>
      <c r="N785" s="126"/>
      <c r="P785" s="127"/>
      <c r="Q785" s="128"/>
      <c r="R785" s="74"/>
      <c r="AF785" s="76"/>
    </row>
    <row r="786">
      <c r="D786" s="123"/>
      <c r="L786" s="125"/>
      <c r="N786" s="126"/>
      <c r="P786" s="127"/>
      <c r="Q786" s="128"/>
      <c r="R786" s="74"/>
      <c r="AF786" s="76"/>
    </row>
    <row r="787">
      <c r="D787" s="123"/>
      <c r="L787" s="125"/>
      <c r="N787" s="126"/>
      <c r="P787" s="127"/>
      <c r="Q787" s="128"/>
      <c r="R787" s="74"/>
      <c r="AF787" s="76"/>
    </row>
    <row r="788">
      <c r="D788" s="123"/>
      <c r="L788" s="125"/>
      <c r="N788" s="126"/>
      <c r="P788" s="127"/>
      <c r="Q788" s="128"/>
      <c r="R788" s="74"/>
      <c r="AF788" s="76"/>
    </row>
    <row r="789">
      <c r="D789" s="123"/>
      <c r="L789" s="125"/>
      <c r="N789" s="126"/>
      <c r="P789" s="127"/>
      <c r="Q789" s="128"/>
      <c r="R789" s="74"/>
      <c r="AF789" s="76"/>
    </row>
    <row r="790">
      <c r="D790" s="123"/>
      <c r="L790" s="125"/>
      <c r="N790" s="126"/>
      <c r="P790" s="127"/>
      <c r="Q790" s="128"/>
      <c r="R790" s="74"/>
      <c r="AF790" s="76"/>
    </row>
    <row r="791">
      <c r="D791" s="123"/>
      <c r="L791" s="125"/>
      <c r="N791" s="126"/>
      <c r="P791" s="127"/>
      <c r="Q791" s="128"/>
      <c r="R791" s="74"/>
      <c r="AF791" s="76"/>
    </row>
    <row r="792">
      <c r="D792" s="123"/>
      <c r="L792" s="125"/>
      <c r="N792" s="126"/>
      <c r="P792" s="127"/>
      <c r="Q792" s="128"/>
      <c r="R792" s="74"/>
      <c r="AF792" s="76"/>
    </row>
    <row r="793">
      <c r="D793" s="123"/>
      <c r="L793" s="125"/>
      <c r="N793" s="126"/>
      <c r="P793" s="127"/>
      <c r="Q793" s="128"/>
      <c r="R793" s="74"/>
      <c r="AF793" s="76"/>
    </row>
    <row r="794">
      <c r="D794" s="123"/>
      <c r="L794" s="125"/>
      <c r="N794" s="126"/>
      <c r="P794" s="127"/>
      <c r="Q794" s="128"/>
      <c r="R794" s="74"/>
      <c r="AF794" s="76"/>
    </row>
    <row r="795">
      <c r="D795" s="123"/>
      <c r="L795" s="125"/>
      <c r="N795" s="126"/>
      <c r="P795" s="127"/>
      <c r="Q795" s="128"/>
      <c r="R795" s="74"/>
      <c r="AF795" s="76"/>
    </row>
    <row r="796">
      <c r="D796" s="123"/>
      <c r="L796" s="125"/>
      <c r="N796" s="126"/>
      <c r="P796" s="127"/>
      <c r="Q796" s="128"/>
      <c r="R796" s="74"/>
      <c r="AF796" s="76"/>
    </row>
    <row r="797">
      <c r="D797" s="123"/>
      <c r="L797" s="125"/>
      <c r="N797" s="126"/>
      <c r="P797" s="127"/>
      <c r="Q797" s="128"/>
      <c r="R797" s="74"/>
      <c r="AF797" s="76"/>
    </row>
    <row r="798">
      <c r="D798" s="123"/>
      <c r="L798" s="125"/>
      <c r="N798" s="126"/>
      <c r="P798" s="127"/>
      <c r="Q798" s="128"/>
      <c r="R798" s="74"/>
      <c r="AF798" s="76"/>
    </row>
    <row r="799">
      <c r="D799" s="123"/>
      <c r="L799" s="125"/>
      <c r="N799" s="126"/>
      <c r="P799" s="127"/>
      <c r="Q799" s="128"/>
      <c r="R799" s="74"/>
      <c r="AF799" s="76"/>
    </row>
    <row r="800">
      <c r="D800" s="123"/>
      <c r="L800" s="125"/>
      <c r="N800" s="126"/>
      <c r="P800" s="127"/>
      <c r="Q800" s="128"/>
      <c r="R800" s="74"/>
      <c r="AF800" s="76"/>
    </row>
    <row r="801">
      <c r="D801" s="123"/>
      <c r="L801" s="125"/>
      <c r="N801" s="126"/>
      <c r="P801" s="127"/>
      <c r="Q801" s="128"/>
      <c r="R801" s="74"/>
      <c r="AF801" s="76"/>
    </row>
    <row r="802">
      <c r="D802" s="123"/>
      <c r="L802" s="125"/>
      <c r="N802" s="126"/>
      <c r="P802" s="127"/>
      <c r="Q802" s="128"/>
      <c r="R802" s="74"/>
      <c r="AF802" s="76"/>
    </row>
    <row r="803">
      <c r="D803" s="123"/>
      <c r="L803" s="125"/>
      <c r="N803" s="126"/>
      <c r="P803" s="127"/>
      <c r="Q803" s="128"/>
      <c r="R803" s="74"/>
      <c r="AF803" s="76"/>
    </row>
    <row r="804">
      <c r="D804" s="123"/>
      <c r="L804" s="125"/>
      <c r="N804" s="126"/>
      <c r="P804" s="127"/>
      <c r="Q804" s="128"/>
      <c r="R804" s="74"/>
      <c r="AF804" s="76"/>
    </row>
    <row r="805">
      <c r="D805" s="123"/>
      <c r="L805" s="125"/>
      <c r="N805" s="126"/>
      <c r="P805" s="127"/>
      <c r="Q805" s="128"/>
      <c r="R805" s="74"/>
      <c r="AF805" s="76"/>
    </row>
    <row r="806">
      <c r="D806" s="123"/>
      <c r="L806" s="125"/>
      <c r="N806" s="126"/>
      <c r="P806" s="127"/>
      <c r="Q806" s="128"/>
      <c r="R806" s="74"/>
      <c r="AF806" s="76"/>
    </row>
    <row r="807">
      <c r="D807" s="123"/>
      <c r="L807" s="125"/>
      <c r="N807" s="126"/>
      <c r="P807" s="127"/>
      <c r="Q807" s="128"/>
      <c r="R807" s="74"/>
      <c r="AF807" s="76"/>
    </row>
    <row r="808">
      <c r="D808" s="123"/>
      <c r="L808" s="125"/>
      <c r="N808" s="126"/>
      <c r="P808" s="127"/>
      <c r="Q808" s="128"/>
      <c r="R808" s="74"/>
      <c r="AF808" s="76"/>
    </row>
    <row r="809">
      <c r="D809" s="123"/>
      <c r="L809" s="125"/>
      <c r="N809" s="126"/>
      <c r="P809" s="127"/>
      <c r="Q809" s="128"/>
      <c r="R809" s="74"/>
      <c r="AF809" s="76"/>
    </row>
    <row r="810">
      <c r="D810" s="123"/>
      <c r="L810" s="125"/>
      <c r="N810" s="126"/>
      <c r="P810" s="127"/>
      <c r="Q810" s="128"/>
      <c r="R810" s="74"/>
      <c r="AF810" s="76"/>
    </row>
    <row r="811">
      <c r="D811" s="123"/>
      <c r="L811" s="125"/>
      <c r="N811" s="126"/>
      <c r="P811" s="127"/>
      <c r="Q811" s="128"/>
      <c r="R811" s="74"/>
      <c r="AF811" s="76"/>
    </row>
    <row r="812">
      <c r="D812" s="123"/>
      <c r="L812" s="125"/>
      <c r="N812" s="126"/>
      <c r="P812" s="127"/>
      <c r="Q812" s="128"/>
      <c r="R812" s="74"/>
      <c r="AF812" s="76"/>
    </row>
    <row r="813">
      <c r="D813" s="123"/>
      <c r="L813" s="125"/>
      <c r="N813" s="126"/>
      <c r="P813" s="127"/>
      <c r="Q813" s="128"/>
      <c r="R813" s="74"/>
      <c r="AF813" s="76"/>
    </row>
    <row r="814">
      <c r="D814" s="123"/>
      <c r="L814" s="125"/>
      <c r="N814" s="126"/>
      <c r="P814" s="127"/>
      <c r="Q814" s="128"/>
      <c r="R814" s="74"/>
      <c r="AF814" s="76"/>
    </row>
    <row r="815">
      <c r="D815" s="123"/>
      <c r="L815" s="125"/>
      <c r="N815" s="126"/>
      <c r="P815" s="127"/>
      <c r="Q815" s="128"/>
      <c r="R815" s="74"/>
      <c r="AF815" s="76"/>
    </row>
    <row r="816">
      <c r="D816" s="123"/>
      <c r="L816" s="125"/>
      <c r="N816" s="126"/>
      <c r="P816" s="127"/>
      <c r="Q816" s="128"/>
      <c r="R816" s="74"/>
      <c r="AF816" s="76"/>
    </row>
    <row r="817">
      <c r="D817" s="123"/>
      <c r="L817" s="125"/>
      <c r="N817" s="126"/>
      <c r="P817" s="127"/>
      <c r="Q817" s="128"/>
      <c r="R817" s="74"/>
      <c r="AF817" s="76"/>
    </row>
    <row r="818">
      <c r="D818" s="123"/>
      <c r="L818" s="125"/>
      <c r="N818" s="126"/>
      <c r="P818" s="127"/>
      <c r="Q818" s="128"/>
      <c r="R818" s="74"/>
      <c r="AF818" s="76"/>
    </row>
    <row r="819">
      <c r="D819" s="123"/>
      <c r="L819" s="125"/>
      <c r="N819" s="126"/>
      <c r="P819" s="127"/>
      <c r="Q819" s="128"/>
      <c r="R819" s="74"/>
      <c r="AF819" s="76"/>
    </row>
    <row r="820">
      <c r="D820" s="123"/>
      <c r="L820" s="125"/>
      <c r="N820" s="126"/>
      <c r="P820" s="127"/>
      <c r="Q820" s="128"/>
      <c r="R820" s="74"/>
      <c r="AF820" s="76"/>
    </row>
    <row r="821">
      <c r="D821" s="123"/>
      <c r="L821" s="125"/>
      <c r="N821" s="126"/>
      <c r="P821" s="127"/>
      <c r="Q821" s="128"/>
      <c r="R821" s="74"/>
      <c r="AF821" s="76"/>
    </row>
    <row r="822">
      <c r="D822" s="123"/>
      <c r="L822" s="125"/>
      <c r="N822" s="126"/>
      <c r="P822" s="127"/>
      <c r="Q822" s="128"/>
      <c r="R822" s="74"/>
      <c r="AF822" s="76"/>
    </row>
    <row r="823">
      <c r="D823" s="123"/>
      <c r="L823" s="125"/>
      <c r="N823" s="126"/>
      <c r="P823" s="127"/>
      <c r="Q823" s="128"/>
      <c r="R823" s="74"/>
      <c r="AF823" s="76"/>
    </row>
    <row r="824">
      <c r="D824" s="123"/>
      <c r="L824" s="125"/>
      <c r="N824" s="126"/>
      <c r="P824" s="127"/>
      <c r="Q824" s="128"/>
      <c r="R824" s="74"/>
      <c r="AF824" s="76"/>
    </row>
    <row r="825">
      <c r="D825" s="123"/>
      <c r="L825" s="125"/>
      <c r="N825" s="126"/>
      <c r="P825" s="127"/>
      <c r="Q825" s="128"/>
      <c r="R825" s="74"/>
      <c r="AF825" s="76"/>
    </row>
    <row r="826">
      <c r="D826" s="123"/>
      <c r="L826" s="125"/>
      <c r="N826" s="126"/>
      <c r="P826" s="127"/>
      <c r="Q826" s="128"/>
      <c r="R826" s="74"/>
      <c r="AF826" s="76"/>
    </row>
    <row r="827">
      <c r="D827" s="123"/>
      <c r="L827" s="125"/>
      <c r="N827" s="126"/>
      <c r="P827" s="127"/>
      <c r="Q827" s="128"/>
      <c r="R827" s="74"/>
      <c r="AF827" s="76"/>
    </row>
    <row r="828">
      <c r="D828" s="123"/>
      <c r="L828" s="125"/>
      <c r="N828" s="126"/>
      <c r="P828" s="127"/>
      <c r="Q828" s="128"/>
      <c r="R828" s="74"/>
      <c r="AF828" s="76"/>
    </row>
    <row r="829">
      <c r="D829" s="123"/>
      <c r="L829" s="125"/>
      <c r="N829" s="126"/>
      <c r="P829" s="127"/>
      <c r="Q829" s="128"/>
      <c r="R829" s="74"/>
      <c r="AF829" s="76"/>
    </row>
    <row r="830">
      <c r="D830" s="123"/>
      <c r="L830" s="125"/>
      <c r="N830" s="126"/>
      <c r="P830" s="127"/>
      <c r="Q830" s="128"/>
      <c r="R830" s="74"/>
      <c r="AF830" s="76"/>
    </row>
    <row r="831">
      <c r="D831" s="123"/>
      <c r="L831" s="125"/>
      <c r="N831" s="126"/>
      <c r="P831" s="127"/>
      <c r="Q831" s="128"/>
      <c r="R831" s="74"/>
      <c r="AF831" s="76"/>
    </row>
    <row r="832">
      <c r="D832" s="123"/>
      <c r="L832" s="125"/>
      <c r="N832" s="126"/>
      <c r="P832" s="127"/>
      <c r="Q832" s="128"/>
      <c r="R832" s="74"/>
      <c r="AF832" s="76"/>
    </row>
    <row r="833">
      <c r="D833" s="123"/>
      <c r="L833" s="125"/>
      <c r="N833" s="126"/>
      <c r="P833" s="127"/>
      <c r="Q833" s="128"/>
      <c r="R833" s="74"/>
      <c r="AF833" s="76"/>
    </row>
    <row r="834">
      <c r="D834" s="123"/>
      <c r="L834" s="125"/>
      <c r="N834" s="126"/>
      <c r="P834" s="127"/>
      <c r="Q834" s="128"/>
      <c r="R834" s="74"/>
      <c r="AF834" s="76"/>
    </row>
    <row r="835">
      <c r="D835" s="123"/>
      <c r="L835" s="125"/>
      <c r="N835" s="126"/>
      <c r="P835" s="127"/>
      <c r="Q835" s="128"/>
      <c r="R835" s="74"/>
      <c r="AF835" s="76"/>
    </row>
    <row r="836">
      <c r="D836" s="123"/>
      <c r="L836" s="125"/>
      <c r="N836" s="126"/>
      <c r="P836" s="127"/>
      <c r="Q836" s="128"/>
      <c r="R836" s="74"/>
      <c r="AF836" s="76"/>
    </row>
    <row r="837">
      <c r="D837" s="123"/>
      <c r="L837" s="125"/>
      <c r="N837" s="126"/>
      <c r="P837" s="127"/>
      <c r="Q837" s="128"/>
      <c r="R837" s="74"/>
      <c r="AF837" s="76"/>
    </row>
    <row r="838">
      <c r="D838" s="123"/>
      <c r="L838" s="125"/>
      <c r="N838" s="126"/>
      <c r="P838" s="127"/>
      <c r="Q838" s="128"/>
      <c r="R838" s="74"/>
      <c r="AF838" s="76"/>
    </row>
    <row r="839">
      <c r="D839" s="123"/>
      <c r="L839" s="125"/>
      <c r="N839" s="126"/>
      <c r="P839" s="127"/>
      <c r="Q839" s="128"/>
      <c r="R839" s="74"/>
      <c r="AF839" s="76"/>
    </row>
    <row r="840">
      <c r="D840" s="123"/>
      <c r="L840" s="125"/>
      <c r="N840" s="126"/>
      <c r="P840" s="127"/>
      <c r="Q840" s="128"/>
      <c r="R840" s="74"/>
      <c r="AF840" s="76"/>
    </row>
    <row r="841">
      <c r="D841" s="123"/>
      <c r="L841" s="125"/>
      <c r="N841" s="126"/>
      <c r="P841" s="127"/>
      <c r="Q841" s="128"/>
      <c r="R841" s="74"/>
      <c r="AF841" s="76"/>
    </row>
    <row r="842">
      <c r="D842" s="123"/>
      <c r="L842" s="125"/>
      <c r="N842" s="126"/>
      <c r="P842" s="127"/>
      <c r="Q842" s="128"/>
      <c r="R842" s="74"/>
      <c r="AF842" s="76"/>
    </row>
    <row r="843">
      <c r="D843" s="123"/>
      <c r="L843" s="125"/>
      <c r="N843" s="126"/>
      <c r="P843" s="127"/>
      <c r="Q843" s="128"/>
      <c r="R843" s="74"/>
      <c r="AF843" s="76"/>
    </row>
    <row r="844">
      <c r="D844" s="123"/>
      <c r="L844" s="125"/>
      <c r="N844" s="126"/>
      <c r="P844" s="127"/>
      <c r="Q844" s="128"/>
      <c r="R844" s="74"/>
      <c r="AF844" s="76"/>
    </row>
    <row r="845">
      <c r="D845" s="123"/>
      <c r="L845" s="125"/>
      <c r="N845" s="126"/>
      <c r="P845" s="127"/>
      <c r="Q845" s="128"/>
      <c r="R845" s="74"/>
      <c r="AF845" s="76"/>
    </row>
    <row r="846">
      <c r="D846" s="123"/>
      <c r="L846" s="125"/>
      <c r="N846" s="126"/>
      <c r="P846" s="127"/>
      <c r="Q846" s="128"/>
      <c r="R846" s="74"/>
      <c r="AF846" s="76"/>
    </row>
    <row r="847">
      <c r="D847" s="123"/>
      <c r="L847" s="125"/>
      <c r="N847" s="126"/>
      <c r="P847" s="127"/>
      <c r="Q847" s="128"/>
      <c r="R847" s="74"/>
      <c r="AF847" s="76"/>
    </row>
    <row r="848">
      <c r="D848" s="123"/>
      <c r="L848" s="125"/>
      <c r="N848" s="126"/>
      <c r="P848" s="127"/>
      <c r="Q848" s="128"/>
      <c r="R848" s="74"/>
      <c r="AF848" s="76"/>
    </row>
    <row r="849">
      <c r="D849" s="123"/>
      <c r="L849" s="125"/>
      <c r="N849" s="126"/>
      <c r="P849" s="127"/>
      <c r="Q849" s="128"/>
      <c r="R849" s="74"/>
      <c r="AF849" s="76"/>
    </row>
    <row r="850">
      <c r="D850" s="123"/>
      <c r="L850" s="125"/>
      <c r="N850" s="126"/>
      <c r="P850" s="127"/>
      <c r="Q850" s="128"/>
      <c r="R850" s="74"/>
      <c r="AF850" s="76"/>
    </row>
    <row r="851">
      <c r="D851" s="123"/>
      <c r="L851" s="125"/>
      <c r="N851" s="126"/>
      <c r="P851" s="127"/>
      <c r="Q851" s="128"/>
      <c r="R851" s="74"/>
      <c r="AF851" s="76"/>
    </row>
    <row r="852">
      <c r="D852" s="123"/>
      <c r="L852" s="125"/>
      <c r="N852" s="126"/>
      <c r="P852" s="127"/>
      <c r="Q852" s="128"/>
      <c r="R852" s="74"/>
      <c r="AF852" s="76"/>
    </row>
    <row r="853">
      <c r="D853" s="123"/>
      <c r="L853" s="125"/>
      <c r="N853" s="126"/>
      <c r="P853" s="127"/>
      <c r="Q853" s="128"/>
      <c r="R853" s="74"/>
      <c r="AF853" s="76"/>
    </row>
    <row r="854">
      <c r="D854" s="123"/>
      <c r="L854" s="125"/>
      <c r="N854" s="126"/>
      <c r="P854" s="127"/>
      <c r="Q854" s="128"/>
      <c r="R854" s="74"/>
      <c r="AF854" s="76"/>
    </row>
    <row r="855">
      <c r="D855" s="123"/>
      <c r="L855" s="125"/>
      <c r="N855" s="126"/>
      <c r="P855" s="127"/>
      <c r="Q855" s="128"/>
      <c r="R855" s="74"/>
      <c r="AF855" s="76"/>
    </row>
    <row r="856">
      <c r="D856" s="123"/>
      <c r="L856" s="125"/>
      <c r="N856" s="126"/>
      <c r="P856" s="127"/>
      <c r="Q856" s="128"/>
      <c r="R856" s="74"/>
      <c r="AF856" s="76"/>
    </row>
    <row r="857">
      <c r="D857" s="123"/>
      <c r="L857" s="125"/>
      <c r="N857" s="126"/>
      <c r="P857" s="127"/>
      <c r="Q857" s="128"/>
      <c r="R857" s="74"/>
      <c r="AF857" s="76"/>
    </row>
    <row r="858">
      <c r="D858" s="123"/>
      <c r="L858" s="125"/>
      <c r="N858" s="126"/>
      <c r="P858" s="127"/>
      <c r="Q858" s="128"/>
      <c r="R858" s="74"/>
      <c r="AF858" s="76"/>
    </row>
    <row r="859">
      <c r="D859" s="123"/>
      <c r="L859" s="125"/>
      <c r="N859" s="126"/>
      <c r="P859" s="127"/>
      <c r="Q859" s="128"/>
      <c r="R859" s="74"/>
      <c r="AF859" s="76"/>
    </row>
    <row r="860">
      <c r="D860" s="123"/>
      <c r="L860" s="125"/>
      <c r="N860" s="126"/>
      <c r="P860" s="127"/>
      <c r="Q860" s="128"/>
      <c r="R860" s="74"/>
      <c r="AF860" s="76"/>
    </row>
    <row r="861">
      <c r="D861" s="123"/>
      <c r="L861" s="125"/>
      <c r="N861" s="126"/>
      <c r="P861" s="127"/>
      <c r="Q861" s="128"/>
      <c r="R861" s="74"/>
      <c r="AF861" s="76"/>
    </row>
    <row r="862">
      <c r="D862" s="123"/>
      <c r="L862" s="125"/>
      <c r="N862" s="126"/>
      <c r="P862" s="127"/>
      <c r="Q862" s="128"/>
      <c r="R862" s="74"/>
      <c r="AF862" s="76"/>
    </row>
    <row r="863">
      <c r="D863" s="123"/>
      <c r="L863" s="125"/>
      <c r="N863" s="126"/>
      <c r="P863" s="127"/>
      <c r="Q863" s="128"/>
      <c r="R863" s="74"/>
      <c r="AF863" s="76"/>
    </row>
    <row r="864">
      <c r="D864" s="123"/>
      <c r="L864" s="125"/>
      <c r="N864" s="126"/>
      <c r="P864" s="127"/>
      <c r="Q864" s="128"/>
      <c r="R864" s="74"/>
      <c r="AF864" s="76"/>
    </row>
    <row r="865">
      <c r="D865" s="123"/>
      <c r="L865" s="125"/>
      <c r="N865" s="126"/>
      <c r="P865" s="127"/>
      <c r="Q865" s="128"/>
      <c r="R865" s="74"/>
      <c r="AF865" s="76"/>
    </row>
    <row r="866">
      <c r="D866" s="123"/>
      <c r="L866" s="125"/>
      <c r="N866" s="126"/>
      <c r="P866" s="127"/>
      <c r="Q866" s="128"/>
      <c r="R866" s="74"/>
      <c r="AF866" s="76"/>
    </row>
    <row r="867">
      <c r="D867" s="123"/>
      <c r="L867" s="125"/>
      <c r="N867" s="126"/>
      <c r="P867" s="127"/>
      <c r="Q867" s="128"/>
      <c r="R867" s="74"/>
      <c r="AF867" s="76"/>
    </row>
    <row r="868">
      <c r="D868" s="123"/>
      <c r="L868" s="125"/>
      <c r="N868" s="126"/>
      <c r="P868" s="127"/>
      <c r="Q868" s="128"/>
      <c r="R868" s="74"/>
      <c r="AF868" s="76"/>
    </row>
    <row r="869">
      <c r="D869" s="123"/>
      <c r="L869" s="125"/>
      <c r="N869" s="126"/>
      <c r="P869" s="127"/>
      <c r="Q869" s="128"/>
      <c r="R869" s="74"/>
      <c r="AF869" s="76"/>
    </row>
    <row r="870">
      <c r="D870" s="123"/>
      <c r="L870" s="125"/>
      <c r="N870" s="126"/>
      <c r="P870" s="127"/>
      <c r="Q870" s="128"/>
      <c r="R870" s="74"/>
      <c r="AF870" s="76"/>
    </row>
    <row r="871">
      <c r="D871" s="123"/>
      <c r="L871" s="125"/>
      <c r="N871" s="126"/>
      <c r="P871" s="127"/>
      <c r="Q871" s="128"/>
      <c r="R871" s="74"/>
      <c r="AF871" s="76"/>
    </row>
    <row r="872">
      <c r="D872" s="123"/>
      <c r="L872" s="125"/>
      <c r="N872" s="126"/>
      <c r="P872" s="127"/>
      <c r="Q872" s="128"/>
      <c r="R872" s="74"/>
      <c r="AF872" s="76"/>
    </row>
    <row r="873">
      <c r="D873" s="123"/>
      <c r="L873" s="125"/>
      <c r="N873" s="126"/>
      <c r="P873" s="127"/>
      <c r="Q873" s="128"/>
      <c r="R873" s="74"/>
      <c r="AF873" s="76"/>
    </row>
    <row r="874">
      <c r="D874" s="123"/>
      <c r="L874" s="125"/>
      <c r="N874" s="126"/>
      <c r="P874" s="127"/>
      <c r="Q874" s="128"/>
      <c r="R874" s="74"/>
      <c r="AF874" s="76"/>
    </row>
    <row r="875">
      <c r="D875" s="123"/>
      <c r="L875" s="125"/>
      <c r="N875" s="126"/>
      <c r="P875" s="127"/>
      <c r="Q875" s="128"/>
      <c r="R875" s="74"/>
      <c r="AF875" s="76"/>
    </row>
    <row r="876">
      <c r="D876" s="123"/>
      <c r="L876" s="125"/>
      <c r="N876" s="126"/>
      <c r="P876" s="127"/>
      <c r="Q876" s="128"/>
      <c r="R876" s="74"/>
      <c r="AF876" s="76"/>
    </row>
    <row r="877">
      <c r="D877" s="123"/>
      <c r="L877" s="125"/>
      <c r="N877" s="126"/>
      <c r="P877" s="127"/>
      <c r="Q877" s="128"/>
      <c r="R877" s="74"/>
      <c r="AF877" s="76"/>
    </row>
    <row r="878">
      <c r="D878" s="123"/>
      <c r="L878" s="125"/>
      <c r="N878" s="126"/>
      <c r="P878" s="127"/>
      <c r="Q878" s="128"/>
      <c r="R878" s="74"/>
      <c r="AF878" s="76"/>
    </row>
    <row r="879">
      <c r="D879" s="123"/>
      <c r="L879" s="125"/>
      <c r="N879" s="126"/>
      <c r="P879" s="127"/>
      <c r="Q879" s="128"/>
      <c r="R879" s="74"/>
      <c r="AF879" s="76"/>
    </row>
    <row r="880">
      <c r="D880" s="123"/>
      <c r="L880" s="125"/>
      <c r="N880" s="126"/>
      <c r="P880" s="127"/>
      <c r="Q880" s="128"/>
      <c r="R880" s="74"/>
      <c r="AF880" s="76"/>
    </row>
    <row r="881">
      <c r="D881" s="123"/>
      <c r="L881" s="125"/>
      <c r="N881" s="126"/>
      <c r="P881" s="127"/>
      <c r="Q881" s="128"/>
      <c r="R881" s="74"/>
      <c r="AF881" s="76"/>
    </row>
    <row r="882">
      <c r="D882" s="123"/>
      <c r="L882" s="125"/>
      <c r="N882" s="126"/>
      <c r="P882" s="127"/>
      <c r="Q882" s="128"/>
      <c r="R882" s="74"/>
      <c r="AF882" s="76"/>
    </row>
    <row r="883">
      <c r="D883" s="123"/>
      <c r="L883" s="125"/>
      <c r="N883" s="126"/>
      <c r="P883" s="127"/>
      <c r="Q883" s="128"/>
      <c r="R883" s="74"/>
      <c r="AF883" s="76"/>
    </row>
    <row r="884">
      <c r="D884" s="123"/>
      <c r="L884" s="125"/>
      <c r="N884" s="126"/>
      <c r="P884" s="127"/>
      <c r="Q884" s="128"/>
      <c r="R884" s="74"/>
      <c r="AF884" s="76"/>
    </row>
    <row r="885">
      <c r="D885" s="123"/>
      <c r="L885" s="125"/>
      <c r="N885" s="126"/>
      <c r="P885" s="127"/>
      <c r="Q885" s="128"/>
      <c r="R885" s="74"/>
      <c r="AF885" s="76"/>
    </row>
    <row r="886">
      <c r="D886" s="123"/>
      <c r="L886" s="125"/>
      <c r="N886" s="126"/>
      <c r="P886" s="127"/>
      <c r="Q886" s="128"/>
      <c r="R886" s="74"/>
      <c r="AF886" s="76"/>
    </row>
    <row r="887">
      <c r="D887" s="123"/>
      <c r="L887" s="125"/>
      <c r="N887" s="126"/>
      <c r="P887" s="127"/>
      <c r="Q887" s="128"/>
      <c r="R887" s="74"/>
      <c r="AF887" s="76"/>
    </row>
    <row r="888">
      <c r="D888" s="123"/>
      <c r="L888" s="125"/>
      <c r="N888" s="126"/>
      <c r="P888" s="127"/>
      <c r="Q888" s="128"/>
      <c r="R888" s="74"/>
      <c r="AF888" s="76"/>
    </row>
    <row r="889">
      <c r="D889" s="123"/>
      <c r="L889" s="125"/>
      <c r="N889" s="126"/>
      <c r="P889" s="127"/>
      <c r="Q889" s="128"/>
      <c r="R889" s="74"/>
      <c r="AF889" s="76"/>
    </row>
    <row r="890">
      <c r="D890" s="123"/>
      <c r="L890" s="125"/>
      <c r="N890" s="126"/>
      <c r="P890" s="127"/>
      <c r="Q890" s="128"/>
      <c r="R890" s="74"/>
      <c r="AF890" s="76"/>
    </row>
    <row r="891">
      <c r="D891" s="123"/>
      <c r="L891" s="125"/>
      <c r="N891" s="126"/>
      <c r="P891" s="127"/>
      <c r="Q891" s="128"/>
      <c r="R891" s="74"/>
      <c r="AF891" s="76"/>
    </row>
    <row r="892">
      <c r="D892" s="123"/>
      <c r="L892" s="125"/>
      <c r="N892" s="126"/>
      <c r="P892" s="127"/>
      <c r="Q892" s="128"/>
      <c r="R892" s="74"/>
      <c r="AF892" s="76"/>
    </row>
    <row r="893">
      <c r="D893" s="123"/>
      <c r="L893" s="125"/>
      <c r="N893" s="126"/>
      <c r="P893" s="127"/>
      <c r="Q893" s="128"/>
      <c r="R893" s="74"/>
      <c r="AF893" s="76"/>
    </row>
    <row r="894">
      <c r="D894" s="123"/>
      <c r="L894" s="125"/>
      <c r="N894" s="126"/>
      <c r="P894" s="127"/>
      <c r="Q894" s="128"/>
      <c r="R894" s="74"/>
      <c r="AF894" s="76"/>
    </row>
    <row r="895">
      <c r="D895" s="123"/>
      <c r="L895" s="125"/>
      <c r="N895" s="126"/>
      <c r="P895" s="127"/>
      <c r="Q895" s="128"/>
      <c r="R895" s="74"/>
      <c r="AF895" s="76"/>
    </row>
    <row r="896">
      <c r="D896" s="123"/>
      <c r="L896" s="125"/>
      <c r="N896" s="126"/>
      <c r="P896" s="127"/>
      <c r="Q896" s="128"/>
      <c r="R896" s="74"/>
      <c r="AF896" s="76"/>
    </row>
    <row r="897">
      <c r="D897" s="123"/>
      <c r="L897" s="125"/>
      <c r="N897" s="126"/>
      <c r="P897" s="127"/>
      <c r="Q897" s="128"/>
      <c r="R897" s="74"/>
      <c r="AF897" s="76"/>
    </row>
    <row r="898">
      <c r="D898" s="123"/>
      <c r="L898" s="125"/>
      <c r="N898" s="126"/>
      <c r="P898" s="127"/>
      <c r="Q898" s="128"/>
      <c r="R898" s="74"/>
      <c r="AF898" s="76"/>
    </row>
    <row r="899">
      <c r="D899" s="123"/>
      <c r="L899" s="125"/>
      <c r="N899" s="126"/>
      <c r="P899" s="127"/>
      <c r="Q899" s="128"/>
      <c r="R899" s="74"/>
      <c r="AF899" s="76"/>
    </row>
    <row r="900">
      <c r="D900" s="123"/>
      <c r="L900" s="125"/>
      <c r="N900" s="126"/>
      <c r="P900" s="127"/>
      <c r="Q900" s="128"/>
      <c r="R900" s="74"/>
      <c r="AF900" s="76"/>
    </row>
    <row r="901">
      <c r="D901" s="123"/>
      <c r="L901" s="125"/>
      <c r="N901" s="126"/>
      <c r="P901" s="127"/>
      <c r="Q901" s="128"/>
      <c r="R901" s="74"/>
      <c r="AF901" s="76"/>
    </row>
    <row r="902">
      <c r="D902" s="123"/>
      <c r="L902" s="125"/>
      <c r="N902" s="126"/>
      <c r="P902" s="127"/>
      <c r="Q902" s="128"/>
      <c r="R902" s="74"/>
      <c r="AF902" s="76"/>
    </row>
    <row r="903">
      <c r="D903" s="123"/>
      <c r="L903" s="125"/>
      <c r="N903" s="126"/>
      <c r="P903" s="127"/>
      <c r="Q903" s="128"/>
      <c r="R903" s="74"/>
      <c r="AF903" s="76"/>
    </row>
    <row r="904">
      <c r="D904" s="123"/>
      <c r="L904" s="125"/>
      <c r="N904" s="126"/>
      <c r="P904" s="127"/>
      <c r="Q904" s="128"/>
      <c r="R904" s="74"/>
      <c r="AF904" s="76"/>
    </row>
    <row r="905">
      <c r="D905" s="123"/>
      <c r="L905" s="125"/>
      <c r="N905" s="126"/>
      <c r="P905" s="127"/>
      <c r="Q905" s="128"/>
      <c r="R905" s="74"/>
      <c r="AF905" s="76"/>
    </row>
    <row r="906">
      <c r="D906" s="123"/>
      <c r="L906" s="125"/>
      <c r="N906" s="126"/>
      <c r="P906" s="127"/>
      <c r="Q906" s="128"/>
      <c r="R906" s="74"/>
      <c r="AF906" s="76"/>
    </row>
    <row r="907">
      <c r="D907" s="123"/>
      <c r="L907" s="125"/>
      <c r="N907" s="126"/>
      <c r="P907" s="127"/>
      <c r="Q907" s="128"/>
      <c r="R907" s="74"/>
      <c r="AF907" s="76"/>
    </row>
    <row r="908">
      <c r="D908" s="123"/>
      <c r="L908" s="125"/>
      <c r="N908" s="126"/>
      <c r="P908" s="127"/>
      <c r="Q908" s="128"/>
      <c r="R908" s="74"/>
      <c r="AF908" s="76"/>
    </row>
    <row r="909">
      <c r="D909" s="123"/>
      <c r="L909" s="125"/>
      <c r="N909" s="126"/>
      <c r="P909" s="127"/>
      <c r="Q909" s="128"/>
      <c r="R909" s="74"/>
      <c r="AF909" s="76"/>
    </row>
    <row r="910">
      <c r="D910" s="123"/>
      <c r="L910" s="125"/>
      <c r="N910" s="126"/>
      <c r="P910" s="127"/>
      <c r="Q910" s="128"/>
      <c r="R910" s="74"/>
      <c r="AF910" s="76"/>
    </row>
    <row r="911">
      <c r="D911" s="123"/>
      <c r="L911" s="125"/>
      <c r="N911" s="126"/>
      <c r="P911" s="127"/>
      <c r="Q911" s="128"/>
      <c r="R911" s="74"/>
      <c r="AF911" s="76"/>
    </row>
    <row r="912">
      <c r="D912" s="123"/>
      <c r="L912" s="125"/>
      <c r="N912" s="126"/>
      <c r="P912" s="127"/>
      <c r="Q912" s="128"/>
      <c r="R912" s="74"/>
      <c r="AF912" s="76"/>
    </row>
    <row r="913">
      <c r="D913" s="123"/>
      <c r="L913" s="125"/>
      <c r="N913" s="126"/>
      <c r="P913" s="127"/>
      <c r="Q913" s="128"/>
      <c r="R913" s="74"/>
      <c r="AF913" s="76"/>
    </row>
    <row r="914">
      <c r="D914" s="123"/>
      <c r="L914" s="125"/>
      <c r="N914" s="126"/>
      <c r="P914" s="127"/>
      <c r="Q914" s="128"/>
      <c r="R914" s="74"/>
      <c r="AF914" s="76"/>
    </row>
    <row r="915">
      <c r="D915" s="123"/>
      <c r="L915" s="125"/>
      <c r="N915" s="126"/>
      <c r="P915" s="127"/>
      <c r="Q915" s="128"/>
      <c r="R915" s="74"/>
      <c r="AF915" s="76"/>
    </row>
    <row r="916">
      <c r="D916" s="123"/>
      <c r="L916" s="125"/>
      <c r="N916" s="126"/>
      <c r="P916" s="127"/>
      <c r="Q916" s="128"/>
      <c r="R916" s="74"/>
      <c r="AF916" s="76"/>
    </row>
    <row r="917">
      <c r="D917" s="123"/>
      <c r="L917" s="125"/>
      <c r="N917" s="126"/>
      <c r="P917" s="127"/>
      <c r="Q917" s="128"/>
      <c r="R917" s="74"/>
      <c r="AF917" s="76"/>
    </row>
    <row r="918">
      <c r="D918" s="123"/>
      <c r="L918" s="125"/>
      <c r="N918" s="126"/>
      <c r="P918" s="127"/>
      <c r="Q918" s="128"/>
      <c r="R918" s="74"/>
      <c r="AF918" s="76"/>
    </row>
    <row r="919">
      <c r="D919" s="123"/>
      <c r="L919" s="125"/>
      <c r="N919" s="126"/>
      <c r="P919" s="127"/>
      <c r="Q919" s="128"/>
      <c r="R919" s="74"/>
      <c r="AF919" s="76"/>
    </row>
    <row r="920">
      <c r="D920" s="123"/>
      <c r="L920" s="125"/>
      <c r="N920" s="126"/>
      <c r="P920" s="127"/>
      <c r="Q920" s="128"/>
      <c r="R920" s="74"/>
      <c r="AF920" s="76"/>
    </row>
    <row r="921">
      <c r="D921" s="123"/>
      <c r="L921" s="125"/>
      <c r="N921" s="126"/>
      <c r="P921" s="127"/>
      <c r="Q921" s="128"/>
      <c r="R921" s="74"/>
      <c r="AF921" s="76"/>
    </row>
    <row r="922">
      <c r="D922" s="123"/>
      <c r="L922" s="125"/>
      <c r="N922" s="126"/>
      <c r="P922" s="127"/>
      <c r="Q922" s="128"/>
      <c r="R922" s="74"/>
      <c r="AF922" s="76"/>
    </row>
    <row r="923">
      <c r="D923" s="123"/>
      <c r="L923" s="125"/>
      <c r="N923" s="126"/>
      <c r="P923" s="127"/>
      <c r="Q923" s="128"/>
      <c r="R923" s="74"/>
      <c r="AF923" s="76"/>
    </row>
    <row r="924">
      <c r="D924" s="123"/>
      <c r="L924" s="125"/>
      <c r="N924" s="126"/>
      <c r="P924" s="127"/>
      <c r="Q924" s="128"/>
      <c r="R924" s="74"/>
      <c r="AF924" s="76"/>
    </row>
    <row r="925">
      <c r="D925" s="123"/>
      <c r="L925" s="125"/>
      <c r="N925" s="126"/>
      <c r="P925" s="127"/>
      <c r="Q925" s="128"/>
      <c r="R925" s="74"/>
      <c r="AF925" s="76"/>
    </row>
    <row r="926">
      <c r="D926" s="123"/>
      <c r="L926" s="125"/>
      <c r="N926" s="126"/>
      <c r="P926" s="127"/>
      <c r="Q926" s="128"/>
      <c r="R926" s="74"/>
      <c r="AF926" s="76"/>
    </row>
    <row r="927">
      <c r="D927" s="123"/>
      <c r="L927" s="125"/>
      <c r="N927" s="126"/>
      <c r="P927" s="127"/>
      <c r="Q927" s="128"/>
      <c r="R927" s="74"/>
      <c r="AF927" s="76"/>
    </row>
    <row r="928">
      <c r="D928" s="123"/>
      <c r="L928" s="125"/>
      <c r="N928" s="126"/>
      <c r="P928" s="127"/>
      <c r="Q928" s="128"/>
      <c r="R928" s="74"/>
      <c r="AF928" s="76"/>
    </row>
    <row r="929">
      <c r="D929" s="123"/>
      <c r="L929" s="125"/>
      <c r="N929" s="126"/>
      <c r="P929" s="127"/>
      <c r="Q929" s="128"/>
      <c r="R929" s="74"/>
      <c r="AF929" s="76"/>
    </row>
    <row r="930">
      <c r="D930" s="123"/>
      <c r="L930" s="125"/>
      <c r="N930" s="126"/>
      <c r="P930" s="127"/>
      <c r="Q930" s="128"/>
      <c r="R930" s="74"/>
      <c r="AF930" s="76"/>
    </row>
    <row r="931">
      <c r="D931" s="123"/>
      <c r="L931" s="125"/>
      <c r="N931" s="126"/>
      <c r="P931" s="127"/>
      <c r="Q931" s="128"/>
      <c r="R931" s="74"/>
      <c r="AF931" s="76"/>
    </row>
    <row r="932">
      <c r="D932" s="123"/>
      <c r="L932" s="125"/>
      <c r="N932" s="126"/>
      <c r="P932" s="127"/>
      <c r="Q932" s="128"/>
      <c r="R932" s="74"/>
      <c r="AF932" s="76"/>
    </row>
    <row r="933">
      <c r="D933" s="123"/>
      <c r="L933" s="125"/>
      <c r="N933" s="126"/>
      <c r="P933" s="127"/>
      <c r="Q933" s="128"/>
      <c r="R933" s="74"/>
      <c r="AF933" s="76"/>
    </row>
    <row r="934">
      <c r="D934" s="123"/>
      <c r="L934" s="125"/>
      <c r="N934" s="126"/>
      <c r="P934" s="127"/>
      <c r="Q934" s="128"/>
      <c r="R934" s="74"/>
      <c r="AF934" s="76"/>
    </row>
    <row r="935">
      <c r="D935" s="123"/>
      <c r="L935" s="125"/>
      <c r="N935" s="126"/>
      <c r="P935" s="127"/>
      <c r="Q935" s="128"/>
      <c r="R935" s="74"/>
      <c r="AF935" s="76"/>
    </row>
    <row r="936">
      <c r="D936" s="123"/>
      <c r="L936" s="125"/>
      <c r="N936" s="126"/>
      <c r="P936" s="127"/>
      <c r="Q936" s="128"/>
      <c r="R936" s="74"/>
      <c r="AF936" s="76"/>
    </row>
    <row r="937">
      <c r="D937" s="123"/>
      <c r="L937" s="125"/>
      <c r="N937" s="126"/>
      <c r="P937" s="127"/>
      <c r="Q937" s="128"/>
      <c r="R937" s="74"/>
      <c r="AF937" s="76"/>
    </row>
    <row r="938">
      <c r="D938" s="123"/>
      <c r="L938" s="125"/>
      <c r="N938" s="126"/>
      <c r="P938" s="127"/>
      <c r="Q938" s="128"/>
      <c r="R938" s="74"/>
      <c r="AF938" s="76"/>
    </row>
    <row r="939">
      <c r="D939" s="123"/>
      <c r="L939" s="125"/>
      <c r="N939" s="126"/>
      <c r="P939" s="127"/>
      <c r="Q939" s="128"/>
      <c r="R939" s="74"/>
      <c r="AF939" s="76"/>
    </row>
    <row r="940">
      <c r="D940" s="123"/>
      <c r="L940" s="125"/>
      <c r="N940" s="126"/>
      <c r="P940" s="127"/>
      <c r="Q940" s="128"/>
      <c r="R940" s="74"/>
      <c r="AF940" s="76"/>
    </row>
    <row r="941">
      <c r="D941" s="123"/>
      <c r="L941" s="125"/>
      <c r="N941" s="126"/>
      <c r="P941" s="127"/>
      <c r="Q941" s="128"/>
      <c r="R941" s="74"/>
      <c r="AF941" s="76"/>
    </row>
    <row r="942">
      <c r="D942" s="123"/>
      <c r="L942" s="125"/>
      <c r="N942" s="126"/>
      <c r="P942" s="127"/>
      <c r="Q942" s="128"/>
      <c r="R942" s="74"/>
      <c r="AF942" s="76"/>
    </row>
    <row r="943">
      <c r="D943" s="123"/>
      <c r="L943" s="125"/>
      <c r="N943" s="126"/>
      <c r="P943" s="127"/>
      <c r="Q943" s="128"/>
      <c r="R943" s="74"/>
      <c r="AF943" s="76"/>
    </row>
    <row r="944">
      <c r="D944" s="123"/>
      <c r="L944" s="125"/>
      <c r="N944" s="126"/>
      <c r="P944" s="127"/>
      <c r="Q944" s="128"/>
      <c r="R944" s="74"/>
      <c r="AF944" s="76"/>
    </row>
    <row r="945">
      <c r="D945" s="123"/>
      <c r="L945" s="125"/>
      <c r="N945" s="126"/>
      <c r="P945" s="127"/>
      <c r="Q945" s="128"/>
      <c r="R945" s="74"/>
      <c r="AF945" s="76"/>
    </row>
    <row r="946">
      <c r="D946" s="123"/>
      <c r="L946" s="125"/>
      <c r="N946" s="126"/>
      <c r="P946" s="127"/>
      <c r="Q946" s="128"/>
      <c r="R946" s="74"/>
      <c r="AF946" s="76"/>
    </row>
    <row r="947">
      <c r="D947" s="123"/>
      <c r="L947" s="125"/>
      <c r="N947" s="126"/>
      <c r="P947" s="127"/>
      <c r="Q947" s="128"/>
      <c r="R947" s="74"/>
      <c r="AF947" s="76"/>
    </row>
    <row r="948">
      <c r="D948" s="123"/>
      <c r="L948" s="125"/>
      <c r="N948" s="126"/>
      <c r="P948" s="127"/>
      <c r="Q948" s="128"/>
      <c r="R948" s="74"/>
      <c r="AF948" s="76"/>
    </row>
    <row r="949">
      <c r="D949" s="123"/>
      <c r="L949" s="125"/>
      <c r="N949" s="126"/>
      <c r="P949" s="127"/>
      <c r="Q949" s="128"/>
      <c r="R949" s="74"/>
      <c r="AF949" s="76"/>
    </row>
    <row r="950">
      <c r="D950" s="123"/>
      <c r="L950" s="125"/>
      <c r="N950" s="126"/>
      <c r="P950" s="127"/>
      <c r="Q950" s="128"/>
      <c r="R950" s="74"/>
      <c r="AF950" s="76"/>
    </row>
    <row r="951">
      <c r="D951" s="123"/>
      <c r="L951" s="125"/>
      <c r="N951" s="126"/>
      <c r="P951" s="127"/>
      <c r="Q951" s="128"/>
      <c r="R951" s="74"/>
      <c r="AF951" s="76"/>
    </row>
    <row r="952">
      <c r="D952" s="123"/>
      <c r="L952" s="125"/>
      <c r="N952" s="126"/>
      <c r="P952" s="127"/>
      <c r="Q952" s="128"/>
      <c r="R952" s="74"/>
      <c r="AF952" s="76"/>
    </row>
    <row r="953">
      <c r="D953" s="123"/>
      <c r="L953" s="125"/>
      <c r="N953" s="126"/>
      <c r="P953" s="127"/>
      <c r="Q953" s="128"/>
      <c r="R953" s="74"/>
      <c r="AF953" s="76"/>
    </row>
    <row r="954">
      <c r="D954" s="123"/>
      <c r="L954" s="125"/>
      <c r="N954" s="126"/>
      <c r="P954" s="127"/>
      <c r="Q954" s="128"/>
      <c r="R954" s="74"/>
      <c r="AF954" s="76"/>
    </row>
    <row r="955">
      <c r="D955" s="123"/>
      <c r="L955" s="125"/>
      <c r="N955" s="126"/>
      <c r="P955" s="127"/>
      <c r="Q955" s="128"/>
      <c r="R955" s="74"/>
      <c r="AF955" s="76"/>
    </row>
    <row r="956">
      <c r="D956" s="123"/>
      <c r="L956" s="125"/>
      <c r="N956" s="126"/>
      <c r="P956" s="127"/>
      <c r="Q956" s="128"/>
      <c r="R956" s="74"/>
      <c r="AF956" s="76"/>
    </row>
    <row r="957">
      <c r="D957" s="123"/>
      <c r="L957" s="125"/>
      <c r="N957" s="126"/>
      <c r="P957" s="127"/>
      <c r="Q957" s="128"/>
      <c r="R957" s="74"/>
      <c r="AF957" s="76"/>
    </row>
    <row r="958">
      <c r="D958" s="123"/>
      <c r="L958" s="125"/>
      <c r="N958" s="126"/>
      <c r="P958" s="127"/>
      <c r="Q958" s="128"/>
      <c r="R958" s="74"/>
      <c r="AF958" s="76"/>
    </row>
    <row r="959">
      <c r="D959" s="123"/>
      <c r="L959" s="125"/>
      <c r="N959" s="126"/>
      <c r="P959" s="127"/>
      <c r="Q959" s="128"/>
      <c r="R959" s="74"/>
      <c r="AF959" s="76"/>
    </row>
    <row r="960">
      <c r="D960" s="123"/>
      <c r="L960" s="125"/>
      <c r="N960" s="126"/>
      <c r="P960" s="127"/>
      <c r="Q960" s="128"/>
      <c r="R960" s="74"/>
      <c r="AF960" s="76"/>
    </row>
    <row r="961">
      <c r="D961" s="123"/>
      <c r="L961" s="125"/>
      <c r="N961" s="126"/>
      <c r="P961" s="127"/>
      <c r="Q961" s="128"/>
      <c r="R961" s="74"/>
      <c r="AF961" s="76"/>
    </row>
    <row r="962">
      <c r="D962" s="123"/>
      <c r="L962" s="125"/>
      <c r="N962" s="126"/>
      <c r="P962" s="127"/>
      <c r="Q962" s="128"/>
      <c r="R962" s="74"/>
      <c r="AF962" s="76"/>
    </row>
    <row r="963">
      <c r="D963" s="123"/>
      <c r="L963" s="125"/>
      <c r="N963" s="126"/>
      <c r="P963" s="127"/>
      <c r="Q963" s="128"/>
      <c r="R963" s="74"/>
      <c r="AF963" s="76"/>
    </row>
    <row r="964">
      <c r="D964" s="123"/>
      <c r="L964" s="125"/>
      <c r="N964" s="126"/>
      <c r="P964" s="127"/>
      <c r="Q964" s="128"/>
      <c r="R964" s="74"/>
      <c r="AF964" s="76"/>
    </row>
    <row r="965">
      <c r="D965" s="123"/>
      <c r="L965" s="125"/>
      <c r="N965" s="126"/>
      <c r="P965" s="127"/>
      <c r="Q965" s="128"/>
      <c r="R965" s="74"/>
      <c r="AF965" s="76"/>
    </row>
    <row r="966">
      <c r="D966" s="123"/>
      <c r="L966" s="125"/>
      <c r="N966" s="126"/>
      <c r="P966" s="127"/>
      <c r="Q966" s="128"/>
      <c r="R966" s="74"/>
      <c r="AF966" s="76"/>
    </row>
    <row r="967">
      <c r="D967" s="123"/>
      <c r="L967" s="125"/>
      <c r="N967" s="126"/>
      <c r="P967" s="127"/>
      <c r="Q967" s="128"/>
      <c r="R967" s="74"/>
      <c r="AF967" s="76"/>
    </row>
    <row r="968">
      <c r="D968" s="123"/>
      <c r="L968" s="125"/>
      <c r="N968" s="126"/>
      <c r="P968" s="127"/>
      <c r="Q968" s="128"/>
      <c r="R968" s="74"/>
      <c r="AF968" s="76"/>
    </row>
    <row r="969">
      <c r="D969" s="123"/>
      <c r="L969" s="125"/>
      <c r="N969" s="126"/>
      <c r="P969" s="127"/>
      <c r="Q969" s="128"/>
      <c r="R969" s="74"/>
      <c r="AF969" s="76"/>
    </row>
    <row r="970">
      <c r="D970" s="123"/>
      <c r="L970" s="125"/>
      <c r="N970" s="126"/>
      <c r="P970" s="127"/>
      <c r="Q970" s="128"/>
      <c r="R970" s="74"/>
      <c r="AF970" s="76"/>
    </row>
    <row r="971">
      <c r="D971" s="123"/>
      <c r="L971" s="125"/>
      <c r="N971" s="126"/>
      <c r="P971" s="127"/>
      <c r="Q971" s="128"/>
      <c r="R971" s="74"/>
      <c r="AF971" s="76"/>
    </row>
    <row r="972">
      <c r="D972" s="123"/>
      <c r="L972" s="125"/>
      <c r="N972" s="126"/>
      <c r="P972" s="127"/>
      <c r="Q972" s="128"/>
      <c r="R972" s="74"/>
      <c r="AF972" s="76"/>
    </row>
    <row r="973">
      <c r="D973" s="123"/>
      <c r="L973" s="125"/>
      <c r="N973" s="126"/>
      <c r="P973" s="127"/>
      <c r="Q973" s="128"/>
      <c r="R973" s="74"/>
      <c r="AF973" s="76"/>
    </row>
    <row r="974">
      <c r="D974" s="123"/>
      <c r="L974" s="125"/>
      <c r="N974" s="126"/>
      <c r="P974" s="127"/>
      <c r="Q974" s="128"/>
      <c r="R974" s="74"/>
      <c r="AF974" s="76"/>
    </row>
    <row r="975">
      <c r="D975" s="123"/>
      <c r="L975" s="125"/>
      <c r="N975" s="126"/>
      <c r="P975" s="127"/>
      <c r="Q975" s="128"/>
      <c r="R975" s="74"/>
      <c r="AF975" s="76"/>
    </row>
    <row r="976">
      <c r="D976" s="123"/>
      <c r="L976" s="125"/>
      <c r="N976" s="126"/>
      <c r="P976" s="127"/>
      <c r="Q976" s="128"/>
      <c r="R976" s="74"/>
      <c r="AF976" s="76"/>
    </row>
    <row r="977">
      <c r="D977" s="123"/>
      <c r="L977" s="125"/>
      <c r="N977" s="126"/>
      <c r="P977" s="127"/>
      <c r="Q977" s="128"/>
      <c r="R977" s="74"/>
      <c r="AF977" s="76"/>
    </row>
    <row r="978">
      <c r="D978" s="123"/>
      <c r="L978" s="125"/>
      <c r="N978" s="126"/>
      <c r="P978" s="127"/>
      <c r="Q978" s="128"/>
      <c r="R978" s="74"/>
      <c r="AF978" s="76"/>
    </row>
    <row r="979">
      <c r="D979" s="123"/>
      <c r="L979" s="125"/>
      <c r="N979" s="126"/>
      <c r="P979" s="127"/>
      <c r="Q979" s="128"/>
      <c r="R979" s="74"/>
      <c r="AF979" s="76"/>
    </row>
    <row r="980">
      <c r="D980" s="123"/>
      <c r="L980" s="125"/>
      <c r="N980" s="126"/>
      <c r="P980" s="127"/>
      <c r="Q980" s="128"/>
      <c r="R980" s="74"/>
      <c r="AF980" s="76"/>
    </row>
    <row r="981">
      <c r="D981" s="123"/>
      <c r="L981" s="125"/>
      <c r="N981" s="126"/>
      <c r="P981" s="127"/>
      <c r="Q981" s="128"/>
      <c r="R981" s="74"/>
      <c r="AF981" s="76"/>
    </row>
    <row r="982">
      <c r="D982" s="123"/>
      <c r="L982" s="125"/>
      <c r="N982" s="126"/>
      <c r="P982" s="127"/>
      <c r="Q982" s="128"/>
      <c r="R982" s="74"/>
      <c r="AF982" s="76"/>
    </row>
    <row r="983">
      <c r="D983" s="123"/>
      <c r="L983" s="125"/>
      <c r="N983" s="126"/>
      <c r="P983" s="127"/>
      <c r="Q983" s="128"/>
      <c r="R983" s="74"/>
      <c r="AF983" s="76"/>
    </row>
    <row r="984">
      <c r="D984" s="123"/>
      <c r="L984" s="125"/>
      <c r="N984" s="126"/>
      <c r="P984" s="127"/>
      <c r="Q984" s="128"/>
      <c r="R984" s="74"/>
      <c r="AF984" s="76"/>
    </row>
    <row r="985">
      <c r="D985" s="123"/>
      <c r="L985" s="125"/>
      <c r="N985" s="126"/>
      <c r="P985" s="127"/>
      <c r="Q985" s="128"/>
      <c r="R985" s="74"/>
      <c r="AF985" s="76"/>
    </row>
    <row r="986">
      <c r="D986" s="123"/>
      <c r="L986" s="125"/>
      <c r="N986" s="126"/>
      <c r="P986" s="127"/>
      <c r="Q986" s="128"/>
      <c r="R986" s="74"/>
      <c r="AF986" s="76"/>
    </row>
    <row r="987">
      <c r="D987" s="123"/>
      <c r="L987" s="125"/>
      <c r="N987" s="126"/>
      <c r="P987" s="127"/>
      <c r="Q987" s="128"/>
      <c r="R987" s="74"/>
      <c r="AF987" s="76"/>
    </row>
    <row r="988">
      <c r="D988" s="123"/>
      <c r="L988" s="125"/>
      <c r="N988" s="126"/>
      <c r="P988" s="127"/>
      <c r="Q988" s="128"/>
      <c r="R988" s="74"/>
      <c r="AF988" s="76"/>
    </row>
    <row r="989">
      <c r="D989" s="123"/>
      <c r="L989" s="125"/>
      <c r="N989" s="126"/>
      <c r="P989" s="127"/>
      <c r="Q989" s="128"/>
      <c r="R989" s="74"/>
      <c r="AF989" s="76"/>
    </row>
    <row r="990">
      <c r="D990" s="123"/>
      <c r="L990" s="125"/>
      <c r="N990" s="126"/>
      <c r="P990" s="127"/>
      <c r="Q990" s="128"/>
      <c r="R990" s="74"/>
      <c r="AF990" s="76"/>
    </row>
    <row r="991">
      <c r="D991" s="123"/>
      <c r="L991" s="125"/>
      <c r="N991" s="126"/>
      <c r="P991" s="127"/>
      <c r="Q991" s="128"/>
      <c r="R991" s="74"/>
      <c r="AF991" s="76"/>
    </row>
    <row r="992">
      <c r="D992" s="123"/>
      <c r="L992" s="125"/>
      <c r="N992" s="126"/>
      <c r="P992" s="127"/>
      <c r="Q992" s="128"/>
      <c r="R992" s="74"/>
      <c r="AF992" s="76"/>
    </row>
    <row r="993">
      <c r="D993" s="123"/>
      <c r="L993" s="125"/>
      <c r="N993" s="126"/>
      <c r="P993" s="127"/>
      <c r="Q993" s="128"/>
      <c r="R993" s="74"/>
      <c r="AF993" s="76"/>
    </row>
    <row r="994">
      <c r="D994" s="123"/>
      <c r="L994" s="125"/>
      <c r="N994" s="126"/>
      <c r="P994" s="127"/>
      <c r="Q994" s="128"/>
      <c r="R994" s="74"/>
      <c r="AF994" s="76"/>
    </row>
    <row r="995">
      <c r="D995" s="123"/>
      <c r="L995" s="125"/>
      <c r="N995" s="126"/>
      <c r="P995" s="127"/>
      <c r="Q995" s="128"/>
      <c r="R995" s="74"/>
      <c r="AF995" s="76"/>
    </row>
    <row r="996">
      <c r="D996" s="123"/>
      <c r="L996" s="125"/>
      <c r="N996" s="126"/>
      <c r="P996" s="127"/>
      <c r="Q996" s="128"/>
      <c r="R996" s="74"/>
      <c r="AF996" s="76"/>
    </row>
    <row r="997">
      <c r="D997" s="123"/>
      <c r="L997" s="125"/>
      <c r="N997" s="126"/>
      <c r="P997" s="127"/>
      <c r="Q997" s="128"/>
      <c r="R997" s="74"/>
      <c r="AF997" s="76"/>
    </row>
    <row r="998">
      <c r="D998" s="123"/>
      <c r="L998" s="125"/>
      <c r="N998" s="126"/>
      <c r="P998" s="127"/>
      <c r="Q998" s="128"/>
      <c r="R998" s="74"/>
      <c r="AF998" s="76"/>
    </row>
    <row r="999">
      <c r="D999" s="123"/>
      <c r="L999" s="125"/>
      <c r="N999" s="126"/>
      <c r="P999" s="127"/>
      <c r="Q999" s="128"/>
      <c r="R999" s="74"/>
      <c r="AF999" s="76"/>
    </row>
    <row r="1000">
      <c r="D1000" s="123"/>
      <c r="L1000" s="125"/>
      <c r="N1000" s="126"/>
      <c r="P1000" s="127"/>
      <c r="Q1000" s="128"/>
      <c r="R1000" s="74"/>
      <c r="AF1000" s="76"/>
    </row>
    <row r="1001">
      <c r="D1001" s="123"/>
      <c r="L1001" s="125"/>
      <c r="N1001" s="126"/>
      <c r="P1001" s="127"/>
      <c r="Q1001" s="128"/>
      <c r="R1001" s="74"/>
      <c r="AF1001" s="76"/>
    </row>
    <row r="1002">
      <c r="D1002" s="123"/>
      <c r="L1002" s="125"/>
      <c r="N1002" s="126"/>
      <c r="P1002" s="127"/>
      <c r="Q1002" s="128"/>
      <c r="R1002" s="74"/>
      <c r="AF1002" s="76"/>
    </row>
    <row r="1003">
      <c r="D1003" s="123"/>
      <c r="L1003" s="125"/>
      <c r="N1003" s="126"/>
      <c r="P1003" s="127"/>
      <c r="Q1003" s="128"/>
      <c r="R1003" s="74"/>
      <c r="AF1003" s="76"/>
    </row>
    <row r="1004">
      <c r="D1004" s="123"/>
      <c r="L1004" s="125"/>
      <c r="N1004" s="126"/>
      <c r="P1004" s="127"/>
      <c r="Q1004" s="128"/>
      <c r="R1004" s="74"/>
      <c r="AF1004" s="76"/>
    </row>
    <row r="1005">
      <c r="D1005" s="123"/>
      <c r="L1005" s="125"/>
      <c r="N1005" s="126"/>
      <c r="P1005" s="127"/>
      <c r="Q1005" s="128"/>
      <c r="R1005" s="74"/>
      <c r="AF1005" s="76"/>
    </row>
    <row r="1006">
      <c r="D1006" s="123"/>
      <c r="L1006" s="125"/>
      <c r="N1006" s="126"/>
      <c r="P1006" s="127"/>
      <c r="Q1006" s="128"/>
      <c r="R1006" s="74"/>
      <c r="AF1006" s="76"/>
    </row>
    <row r="1007">
      <c r="D1007" s="123"/>
      <c r="L1007" s="125"/>
      <c r="N1007" s="126"/>
      <c r="P1007" s="127"/>
      <c r="Q1007" s="128"/>
      <c r="R1007" s="74"/>
      <c r="AF1007" s="76"/>
    </row>
    <row r="1008">
      <c r="D1008" s="123"/>
      <c r="L1008" s="125"/>
      <c r="N1008" s="126"/>
      <c r="P1008" s="127"/>
      <c r="Q1008" s="128"/>
      <c r="R1008" s="74"/>
      <c r="AF1008" s="76"/>
    </row>
    <row r="1009">
      <c r="D1009" s="123"/>
      <c r="L1009" s="125"/>
      <c r="N1009" s="126"/>
      <c r="P1009" s="127"/>
      <c r="Q1009" s="128"/>
      <c r="R1009" s="74"/>
      <c r="AF1009" s="76"/>
    </row>
    <row r="1010">
      <c r="D1010" s="123"/>
      <c r="L1010" s="125"/>
      <c r="N1010" s="126"/>
      <c r="P1010" s="127"/>
      <c r="Q1010" s="128"/>
      <c r="R1010" s="74"/>
      <c r="AF1010" s="76"/>
    </row>
    <row r="1011">
      <c r="D1011" s="123"/>
      <c r="L1011" s="125"/>
      <c r="N1011" s="126"/>
      <c r="P1011" s="127"/>
      <c r="Q1011" s="128"/>
      <c r="R1011" s="74"/>
      <c r="AF1011" s="76"/>
    </row>
    <row r="1012">
      <c r="D1012" s="123"/>
      <c r="L1012" s="125"/>
      <c r="N1012" s="126"/>
      <c r="P1012" s="127"/>
      <c r="Q1012" s="128"/>
      <c r="R1012" s="74"/>
      <c r="AF1012" s="76"/>
    </row>
    <row r="1013">
      <c r="D1013" s="123"/>
      <c r="L1013" s="125"/>
      <c r="N1013" s="126"/>
      <c r="P1013" s="127"/>
      <c r="Q1013" s="128"/>
      <c r="R1013" s="74"/>
      <c r="AF1013" s="76"/>
    </row>
    <row r="1014">
      <c r="D1014" s="123"/>
      <c r="L1014" s="125"/>
      <c r="N1014" s="126"/>
      <c r="P1014" s="127"/>
      <c r="Q1014" s="128"/>
      <c r="R1014" s="74"/>
      <c r="AF1014" s="76"/>
    </row>
    <row r="1015">
      <c r="D1015" s="123"/>
      <c r="L1015" s="125"/>
      <c r="N1015" s="126"/>
      <c r="P1015" s="127"/>
      <c r="Q1015" s="128"/>
      <c r="R1015" s="74"/>
      <c r="AF1015" s="76"/>
    </row>
    <row r="1016">
      <c r="D1016" s="123"/>
      <c r="L1016" s="125"/>
      <c r="N1016" s="126"/>
      <c r="P1016" s="127"/>
      <c r="Q1016" s="128"/>
      <c r="R1016" s="74"/>
      <c r="AF1016" s="76"/>
    </row>
    <row r="1017">
      <c r="D1017" s="123"/>
      <c r="L1017" s="125"/>
      <c r="N1017" s="126"/>
      <c r="P1017" s="127"/>
      <c r="Q1017" s="128"/>
      <c r="R1017" s="74"/>
      <c r="AF1017" s="76"/>
    </row>
    <row r="1018">
      <c r="D1018" s="123"/>
      <c r="L1018" s="125"/>
      <c r="N1018" s="126"/>
      <c r="P1018" s="127"/>
      <c r="Q1018" s="128"/>
      <c r="R1018" s="74"/>
      <c r="AF1018" s="76"/>
    </row>
    <row r="1019">
      <c r="D1019" s="123"/>
      <c r="L1019" s="125"/>
      <c r="N1019" s="126"/>
      <c r="P1019" s="127"/>
      <c r="Q1019" s="128"/>
      <c r="R1019" s="74"/>
      <c r="AF1019" s="76"/>
    </row>
    <row r="1020">
      <c r="D1020" s="123"/>
      <c r="L1020" s="125"/>
      <c r="N1020" s="126"/>
      <c r="P1020" s="127"/>
      <c r="Q1020" s="128"/>
      <c r="R1020" s="74"/>
      <c r="AF1020" s="76"/>
    </row>
    <row r="1021">
      <c r="D1021" s="123"/>
      <c r="L1021" s="125"/>
      <c r="N1021" s="126"/>
      <c r="P1021" s="127"/>
      <c r="Q1021" s="128"/>
      <c r="R1021" s="74"/>
      <c r="AF1021" s="76"/>
    </row>
    <row r="1022">
      <c r="D1022" s="123"/>
      <c r="L1022" s="125"/>
      <c r="N1022" s="126"/>
      <c r="P1022" s="127"/>
      <c r="Q1022" s="128"/>
      <c r="R1022" s="74"/>
      <c r="AF1022" s="76"/>
    </row>
    <row r="1023">
      <c r="D1023" s="123"/>
      <c r="L1023" s="125"/>
      <c r="N1023" s="126"/>
      <c r="P1023" s="127"/>
      <c r="Q1023" s="128"/>
      <c r="R1023" s="74"/>
      <c r="AF1023" s="76"/>
    </row>
    <row r="1024">
      <c r="D1024" s="123"/>
      <c r="L1024" s="125"/>
      <c r="N1024" s="126"/>
      <c r="P1024" s="127"/>
      <c r="Q1024" s="128"/>
      <c r="R1024" s="74"/>
      <c r="AF1024" s="76"/>
    </row>
    <row r="1025">
      <c r="D1025" s="123"/>
      <c r="L1025" s="125"/>
      <c r="N1025" s="126"/>
      <c r="P1025" s="127"/>
      <c r="Q1025" s="128"/>
      <c r="R1025" s="74"/>
      <c r="AF1025" s="76"/>
    </row>
    <row r="1026">
      <c r="D1026" s="123"/>
      <c r="L1026" s="125"/>
      <c r="N1026" s="126"/>
      <c r="P1026" s="127"/>
      <c r="Q1026" s="128"/>
      <c r="R1026" s="74"/>
      <c r="AF1026" s="76"/>
    </row>
    <row r="1027">
      <c r="D1027" s="123"/>
      <c r="L1027" s="125"/>
      <c r="N1027" s="126"/>
      <c r="P1027" s="127"/>
      <c r="Q1027" s="128"/>
      <c r="R1027" s="74"/>
      <c r="AF1027" s="76"/>
    </row>
    <row r="1028">
      <c r="D1028" s="123"/>
      <c r="L1028" s="125"/>
      <c r="N1028" s="126"/>
      <c r="P1028" s="127"/>
      <c r="Q1028" s="128"/>
      <c r="R1028" s="74"/>
      <c r="AF1028" s="76"/>
    </row>
    <row r="1029">
      <c r="D1029" s="123"/>
      <c r="L1029" s="125"/>
      <c r="N1029" s="126"/>
      <c r="P1029" s="127"/>
      <c r="Q1029" s="128"/>
      <c r="R1029" s="74"/>
      <c r="AF1029" s="76"/>
    </row>
    <row r="1030">
      <c r="D1030" s="123"/>
      <c r="L1030" s="125"/>
      <c r="N1030" s="126"/>
      <c r="P1030" s="127"/>
      <c r="Q1030" s="128"/>
      <c r="R1030" s="74"/>
      <c r="AF1030" s="76"/>
    </row>
    <row r="1031">
      <c r="D1031" s="123"/>
      <c r="L1031" s="125"/>
      <c r="N1031" s="126"/>
      <c r="P1031" s="127"/>
      <c r="Q1031" s="128"/>
      <c r="R1031" s="74"/>
      <c r="AF1031" s="76"/>
    </row>
    <row r="1032">
      <c r="D1032" s="123"/>
      <c r="L1032" s="125"/>
      <c r="N1032" s="126"/>
      <c r="P1032" s="127"/>
      <c r="Q1032" s="128"/>
      <c r="R1032" s="74"/>
      <c r="AF1032" s="76"/>
    </row>
    <row r="1033">
      <c r="D1033" s="123"/>
      <c r="L1033" s="125"/>
      <c r="N1033" s="126"/>
      <c r="P1033" s="127"/>
      <c r="Q1033" s="128"/>
      <c r="R1033" s="74"/>
      <c r="AF1033" s="76"/>
    </row>
    <row r="1034">
      <c r="D1034" s="123"/>
      <c r="L1034" s="125"/>
      <c r="N1034" s="126"/>
      <c r="P1034" s="127"/>
      <c r="Q1034" s="128"/>
      <c r="R1034" s="74"/>
      <c r="AF1034" s="76"/>
    </row>
    <row r="1035">
      <c r="D1035" s="123"/>
      <c r="L1035" s="125"/>
      <c r="N1035" s="126"/>
      <c r="P1035" s="127"/>
      <c r="Q1035" s="128"/>
      <c r="R1035" s="74"/>
      <c r="AF1035" s="76"/>
    </row>
    <row r="1036">
      <c r="D1036" s="123"/>
      <c r="L1036" s="125"/>
      <c r="N1036" s="126"/>
      <c r="P1036" s="127"/>
      <c r="Q1036" s="128"/>
      <c r="R1036" s="74"/>
      <c r="AF1036" s="76"/>
    </row>
    <row r="1037">
      <c r="D1037" s="123"/>
      <c r="L1037" s="125"/>
      <c r="N1037" s="126"/>
      <c r="P1037" s="127"/>
      <c r="Q1037" s="128"/>
      <c r="R1037" s="74"/>
      <c r="AF1037" s="76"/>
    </row>
    <row r="1038">
      <c r="D1038" s="123"/>
      <c r="L1038" s="125"/>
      <c r="N1038" s="126"/>
      <c r="P1038" s="127"/>
      <c r="Q1038" s="128"/>
      <c r="R1038" s="74"/>
      <c r="AF1038" s="76"/>
    </row>
    <row r="1039">
      <c r="D1039" s="123"/>
      <c r="L1039" s="125"/>
      <c r="N1039" s="126"/>
      <c r="P1039" s="127"/>
      <c r="Q1039" s="128"/>
      <c r="R1039" s="74"/>
      <c r="AF1039" s="76"/>
    </row>
    <row r="1040">
      <c r="D1040" s="123"/>
      <c r="L1040" s="125"/>
      <c r="N1040" s="126"/>
      <c r="P1040" s="127"/>
      <c r="Q1040" s="128"/>
      <c r="R1040" s="74"/>
      <c r="AF1040" s="76"/>
    </row>
    <row r="1041">
      <c r="D1041" s="123"/>
      <c r="L1041" s="125"/>
      <c r="N1041" s="126"/>
      <c r="P1041" s="127"/>
      <c r="Q1041" s="128"/>
      <c r="R1041" s="74"/>
      <c r="AF1041" s="76"/>
    </row>
  </sheetData>
  <mergeCells count="90">
    <mergeCell ref="F2:I2"/>
    <mergeCell ref="N2:N3"/>
    <mergeCell ref="AQ2:AR2"/>
    <mergeCell ref="AS2:AS3"/>
    <mergeCell ref="AT2:AT3"/>
    <mergeCell ref="AY2:AY3"/>
    <mergeCell ref="AZ2:AZ3"/>
    <mergeCell ref="BA2:BB2"/>
    <mergeCell ref="A1:A3"/>
    <mergeCell ref="B1:B2"/>
    <mergeCell ref="C1:C2"/>
    <mergeCell ref="E1:Q1"/>
    <mergeCell ref="S1:AE1"/>
    <mergeCell ref="AG1:AS1"/>
    <mergeCell ref="AT1:BC1"/>
    <mergeCell ref="BC2:BC3"/>
    <mergeCell ref="D1:D2"/>
    <mergeCell ref="E2:E3"/>
    <mergeCell ref="A132:A134"/>
    <mergeCell ref="B132:B133"/>
    <mergeCell ref="C132:C133"/>
    <mergeCell ref="D132:D133"/>
    <mergeCell ref="E132:Q132"/>
    <mergeCell ref="Q133:Q134"/>
    <mergeCell ref="E141:E142"/>
    <mergeCell ref="F141:I141"/>
    <mergeCell ref="N141:N142"/>
    <mergeCell ref="O141:P141"/>
    <mergeCell ref="E133:E134"/>
    <mergeCell ref="F133:I133"/>
    <mergeCell ref="A140:A142"/>
    <mergeCell ref="B140:B141"/>
    <mergeCell ref="C140:C141"/>
    <mergeCell ref="D140:D141"/>
    <mergeCell ref="E140:Q140"/>
    <mergeCell ref="Q141:Q142"/>
    <mergeCell ref="O2:P2"/>
    <mergeCell ref="Q2:Q3"/>
    <mergeCell ref="S2:S3"/>
    <mergeCell ref="T2:W2"/>
    <mergeCell ref="S132:AE132"/>
    <mergeCell ref="AA2:AA3"/>
    <mergeCell ref="AB2:AB3"/>
    <mergeCell ref="AC2:AD2"/>
    <mergeCell ref="AE2:AE3"/>
    <mergeCell ref="AG2:AG3"/>
    <mergeCell ref="AH2:AK2"/>
    <mergeCell ref="AG132:AS132"/>
    <mergeCell ref="AT132:BC132"/>
    <mergeCell ref="AO2:AO3"/>
    <mergeCell ref="AP2:AP3"/>
    <mergeCell ref="AZ133:AZ134"/>
    <mergeCell ref="BA133:BB133"/>
    <mergeCell ref="BC133:BC134"/>
    <mergeCell ref="N133:N134"/>
    <mergeCell ref="O133:P133"/>
    <mergeCell ref="S133:S134"/>
    <mergeCell ref="T133:W133"/>
    <mergeCell ref="AA133:AA134"/>
    <mergeCell ref="AB133:AB134"/>
    <mergeCell ref="AC133:AD133"/>
    <mergeCell ref="AT141:AT142"/>
    <mergeCell ref="AY141:AY142"/>
    <mergeCell ref="S140:AE140"/>
    <mergeCell ref="AG140:AS140"/>
    <mergeCell ref="AT140:BC140"/>
    <mergeCell ref="S141:S142"/>
    <mergeCell ref="T141:W141"/>
    <mergeCell ref="AA141:AA142"/>
    <mergeCell ref="AB141:AB142"/>
    <mergeCell ref="BC141:BC142"/>
    <mergeCell ref="AT133:AT134"/>
    <mergeCell ref="AY133:AY134"/>
    <mergeCell ref="AE133:AE134"/>
    <mergeCell ref="AG133:AG134"/>
    <mergeCell ref="AH133:AK133"/>
    <mergeCell ref="AO133:AO134"/>
    <mergeCell ref="AP133:AP134"/>
    <mergeCell ref="AQ133:AR133"/>
    <mergeCell ref="AS133:AS134"/>
    <mergeCell ref="AC141:AD141"/>
    <mergeCell ref="AE141:AE142"/>
    <mergeCell ref="AG141:AG142"/>
    <mergeCell ref="AH141:AK141"/>
    <mergeCell ref="AO141:AO142"/>
    <mergeCell ref="AP141:AP142"/>
    <mergeCell ref="AQ141:AR141"/>
    <mergeCell ref="AS141:AS142"/>
    <mergeCell ref="AZ141:AZ142"/>
    <mergeCell ref="BA141:BB141"/>
  </mergeCells>
  <conditionalFormatting sqref="M5:M19 AA5:AA19 AO5:AO19 M21:M44 AA21:AA44 AO21:AO44 M46:M69 AA46:AA68 AO46:AO69 M71:M84 AA71:AA84 AO71:AO84 M86:M90 AA86:AA90 AO86:AO90 M92 AO92 M94:M103 AA94:AA103 AO94:AO103 M105:M111 AA105:AA111 AO105:AO111 M113:M131 AA113:AA115 AO113:AO115 M135:M139 M143:M1041">
    <cfRule type="cellIs" dxfId="0" priority="1" operator="lessThan">
      <formula>"0%"</formula>
    </cfRule>
  </conditionalFormatting>
  <conditionalFormatting sqref="M5:M19 AA5:AA19 AO5:AO19 M21:M44 AA21:AA44 AO21:AO44 M46:M69 AA46:AA68 AO46:AO69 M71:M84 AA71:AA84 AO71:AO84 M86:M90 AA86:AA90 AO86:AO90 M92 AO92 M94:M103 AA94:AA103 AO94:AO103 M105:M111 AA105:AA111 AO105:AO111 M113:M131 AA113:AA115 AO113:AO115 M135:M139 M143:M1041">
    <cfRule type="cellIs" dxfId="1" priority="2" operator="lessThan">
      <formula>"2.50%"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0.0"/>
    <col customWidth="1" min="2" max="2" width="10.5"/>
    <col hidden="1" min="3" max="4" width="12.63"/>
    <col customWidth="1" min="5" max="5" width="6.13"/>
    <col customWidth="1" min="7" max="7" width="11.0"/>
    <col customWidth="1" min="8" max="8" width="11.5"/>
    <col customWidth="1" min="9" max="9" width="11.0"/>
    <col customWidth="1" min="10" max="10" width="8.75"/>
    <col customWidth="1" min="13" max="13" width="9.63"/>
    <col hidden="1" min="14" max="14" width="12.63"/>
    <col customWidth="1" min="17" max="17" width="10.75"/>
    <col customWidth="1" min="18" max="18" width="5.0"/>
    <col customWidth="1" min="19" max="19" width="6.88"/>
    <col hidden="1" min="28" max="28" width="12.63"/>
    <col customWidth="1" min="32" max="32" width="4.25"/>
    <col customWidth="1" min="33" max="33" width="8.88"/>
    <col hidden="1" min="42" max="42" width="12.63"/>
    <col hidden="1" min="46" max="55" width="12.63"/>
  </cols>
  <sheetData>
    <row r="1">
      <c r="A1" s="187" t="s">
        <v>165</v>
      </c>
      <c r="B1" s="2" t="s">
        <v>1</v>
      </c>
      <c r="C1" s="158" t="s">
        <v>147</v>
      </c>
      <c r="D1" s="158" t="s">
        <v>147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 t="s">
        <v>4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8"/>
      <c r="AG1" s="9" t="s">
        <v>5</v>
      </c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1"/>
      <c r="AU1" s="10"/>
      <c r="AV1" s="10"/>
      <c r="AW1" s="10"/>
      <c r="AX1" s="10"/>
      <c r="AY1" s="10"/>
      <c r="AZ1" s="10"/>
      <c r="BA1" s="10"/>
      <c r="BB1" s="10"/>
      <c r="BC1" s="12"/>
    </row>
    <row r="2">
      <c r="A2" s="13"/>
      <c r="B2" s="13"/>
      <c r="C2" s="14"/>
      <c r="D2" s="14"/>
      <c r="E2" s="15" t="s">
        <v>6</v>
      </c>
      <c r="F2" s="16" t="s">
        <v>7</v>
      </c>
      <c r="G2" s="4"/>
      <c r="H2" s="4"/>
      <c r="I2" s="5"/>
      <c r="J2" s="17" t="s">
        <v>8</v>
      </c>
      <c r="K2" s="17" t="s">
        <v>9</v>
      </c>
      <c r="L2" s="18" t="s">
        <v>10</v>
      </c>
      <c r="M2" s="19" t="s">
        <v>11</v>
      </c>
      <c r="N2" s="20" t="s">
        <v>12</v>
      </c>
      <c r="O2" s="3" t="s">
        <v>13</v>
      </c>
      <c r="P2" s="5"/>
      <c r="Q2" s="21" t="s">
        <v>14</v>
      </c>
      <c r="R2" s="22"/>
      <c r="S2" s="23" t="s">
        <v>15</v>
      </c>
      <c r="T2" s="24" t="s">
        <v>7</v>
      </c>
      <c r="U2" s="4"/>
      <c r="V2" s="4"/>
      <c r="W2" s="5"/>
      <c r="X2" s="25" t="s">
        <v>8</v>
      </c>
      <c r="Y2" s="25" t="s">
        <v>9</v>
      </c>
      <c r="Z2" s="26" t="s">
        <v>10</v>
      </c>
      <c r="AA2" s="37" t="s">
        <v>148</v>
      </c>
      <c r="AB2" s="28" t="s">
        <v>12</v>
      </c>
      <c r="AC2" s="29" t="s">
        <v>17</v>
      </c>
      <c r="AD2" s="5"/>
      <c r="AE2" s="30" t="s">
        <v>18</v>
      </c>
      <c r="AF2" s="31"/>
      <c r="AG2" s="32" t="s">
        <v>19</v>
      </c>
      <c r="AH2" s="24" t="s">
        <v>7</v>
      </c>
      <c r="AI2" s="4"/>
      <c r="AJ2" s="4"/>
      <c r="AK2" s="5"/>
      <c r="AL2" s="25" t="s">
        <v>8</v>
      </c>
      <c r="AM2" s="25" t="s">
        <v>9</v>
      </c>
      <c r="AN2" s="33" t="s">
        <v>10</v>
      </c>
      <c r="AO2" s="37" t="s">
        <v>148</v>
      </c>
      <c r="AP2" s="34" t="s">
        <v>12</v>
      </c>
      <c r="AQ2" s="35" t="s">
        <v>13</v>
      </c>
      <c r="AR2" s="5"/>
      <c r="AS2" s="36" t="s">
        <v>21</v>
      </c>
      <c r="AT2" s="32" t="s">
        <v>22</v>
      </c>
      <c r="AU2" s="25" t="s">
        <v>7</v>
      </c>
      <c r="AV2" s="25" t="s">
        <v>8</v>
      </c>
      <c r="AW2" s="25" t="s">
        <v>9</v>
      </c>
      <c r="AX2" s="33" t="s">
        <v>10</v>
      </c>
      <c r="AY2" s="37" t="s">
        <v>23</v>
      </c>
      <c r="AZ2" s="34" t="s">
        <v>12</v>
      </c>
      <c r="BA2" s="35" t="s">
        <v>13</v>
      </c>
      <c r="BB2" s="5"/>
      <c r="BC2" s="38" t="s">
        <v>24</v>
      </c>
    </row>
    <row r="3">
      <c r="A3" s="39"/>
      <c r="B3" s="40"/>
      <c r="C3" s="40" t="s">
        <v>25</v>
      </c>
      <c r="D3" s="40" t="s">
        <v>26</v>
      </c>
      <c r="E3" s="39"/>
      <c r="F3" s="41">
        <v>0.1</v>
      </c>
      <c r="G3" s="42">
        <v>0.06</v>
      </c>
      <c r="H3" s="41">
        <v>0.045</v>
      </c>
      <c r="I3" s="41">
        <v>0.0</v>
      </c>
      <c r="J3" s="43">
        <v>1250.0</v>
      </c>
      <c r="K3" s="42">
        <v>0.05</v>
      </c>
      <c r="L3" s="44" t="s">
        <v>26</v>
      </c>
      <c r="M3" s="41">
        <v>0.025</v>
      </c>
      <c r="N3" s="39"/>
      <c r="O3" s="44" t="s">
        <v>26</v>
      </c>
      <c r="P3" s="45" t="s">
        <v>27</v>
      </c>
      <c r="Q3" s="39"/>
      <c r="R3" s="46"/>
      <c r="S3" s="39"/>
      <c r="T3" s="41">
        <v>0.117</v>
      </c>
      <c r="U3" s="41">
        <v>0.06</v>
      </c>
      <c r="V3" s="41">
        <v>0.045</v>
      </c>
      <c r="W3" s="41">
        <v>0.018</v>
      </c>
      <c r="X3" s="47"/>
      <c r="Y3" s="42">
        <v>0.05</v>
      </c>
      <c r="Z3" s="48" t="s">
        <v>26</v>
      </c>
      <c r="AA3" s="39"/>
      <c r="AB3" s="39"/>
      <c r="AC3" s="49" t="s">
        <v>26</v>
      </c>
      <c r="AD3" s="50" t="s">
        <v>25</v>
      </c>
      <c r="AE3" s="51"/>
      <c r="AF3" s="31"/>
      <c r="AG3" s="39"/>
      <c r="AH3" s="41">
        <v>0.117</v>
      </c>
      <c r="AI3" s="41">
        <v>0.06</v>
      </c>
      <c r="AJ3" s="41">
        <v>0.045</v>
      </c>
      <c r="AK3" s="41">
        <v>0.018</v>
      </c>
      <c r="AL3" s="47"/>
      <c r="AM3" s="42">
        <v>0.05</v>
      </c>
      <c r="AN3" s="52" t="s">
        <v>26</v>
      </c>
      <c r="AO3" s="39"/>
      <c r="AP3" s="39"/>
      <c r="AQ3" s="53" t="s">
        <v>26</v>
      </c>
      <c r="AR3" s="54" t="s">
        <v>25</v>
      </c>
      <c r="AS3" s="51"/>
      <c r="AT3" s="39"/>
      <c r="AU3" s="55">
        <v>0.17</v>
      </c>
      <c r="AV3" s="47"/>
      <c r="AW3" s="55">
        <v>0.04</v>
      </c>
      <c r="AX3" s="52" t="s">
        <v>26</v>
      </c>
      <c r="AY3" s="39"/>
      <c r="AZ3" s="39"/>
      <c r="BA3" s="53" t="s">
        <v>26</v>
      </c>
      <c r="BB3" s="54" t="s">
        <v>25</v>
      </c>
      <c r="BC3" s="39"/>
    </row>
    <row r="4">
      <c r="A4" s="56" t="s">
        <v>28</v>
      </c>
      <c r="B4" s="57"/>
      <c r="C4" s="186">
        <v>0.9</v>
      </c>
      <c r="D4" s="58">
        <v>1.11</v>
      </c>
      <c r="E4" s="59"/>
      <c r="F4" s="60"/>
      <c r="G4" s="60"/>
      <c r="H4" s="60"/>
      <c r="I4" s="60"/>
      <c r="J4" s="60"/>
      <c r="K4" s="60"/>
      <c r="L4" s="60"/>
      <c r="M4" s="60"/>
      <c r="N4" s="60"/>
      <c r="O4" s="58">
        <v>1.11</v>
      </c>
      <c r="P4" s="60"/>
      <c r="Q4" s="60"/>
      <c r="R4" s="61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2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3"/>
      <c r="AW4" s="63"/>
      <c r="AX4" s="63"/>
      <c r="AY4" s="63"/>
      <c r="AZ4" s="63"/>
      <c r="BA4" s="63"/>
      <c r="BB4" s="63"/>
      <c r="BC4" s="63"/>
    </row>
    <row r="5">
      <c r="A5" s="64" t="s">
        <v>29</v>
      </c>
      <c r="B5" s="65">
        <v>3200.0</v>
      </c>
      <c r="C5" s="65">
        <f t="shared" ref="C5:C19" si="1">B5*$C$4</f>
        <v>2880</v>
      </c>
      <c r="D5" s="66">
        <f t="shared" ref="D5:D19" si="2">C5/$D$4</f>
        <v>2594.594595</v>
      </c>
      <c r="E5" s="79">
        <v>3.0</v>
      </c>
      <c r="F5" s="66">
        <f t="shared" ref="F5:F19" si="3">P5*$F$3</f>
        <v>1500</v>
      </c>
      <c r="G5" s="66">
        <f t="shared" ref="G5:G19" si="4">P5*$G$3</f>
        <v>900</v>
      </c>
      <c r="H5" s="66">
        <f t="shared" ref="H5:H19" si="5">P5*$H$3</f>
        <v>675</v>
      </c>
      <c r="I5" s="66">
        <f t="shared" ref="I5:I19" si="6">P5*$I$3</f>
        <v>0</v>
      </c>
      <c r="J5" s="68">
        <v>1250.0</v>
      </c>
      <c r="K5" s="66">
        <f t="shared" ref="K5:K19" si="7">D5*$K$3</f>
        <v>129.7297297</v>
      </c>
      <c r="L5" s="69">
        <f t="shared" ref="L5:L19" si="8">(D5*E5)+F5+G5+H5+I5+J5+K5</f>
        <v>12238.51351</v>
      </c>
      <c r="M5" s="70">
        <f t="shared" ref="M5:M19" si="9">N5/O5</f>
        <v>0.09435</v>
      </c>
      <c r="N5" s="71">
        <f t="shared" ref="N5:N19" si="10">O5-L5</f>
        <v>1275</v>
      </c>
      <c r="O5" s="66">
        <f t="shared" ref="O5:O19" si="11">P5/$O$4</f>
        <v>13513.51351</v>
      </c>
      <c r="P5" s="78">
        <v>15000.0</v>
      </c>
      <c r="Q5" s="73">
        <f t="shared" ref="Q5:Q19" si="12">P5/E5</f>
        <v>5000</v>
      </c>
      <c r="R5" s="74"/>
      <c r="S5" s="75">
        <v>50.0</v>
      </c>
      <c r="T5" s="66">
        <f t="shared" ref="T5:T19" si="13">AD5*$T$3</f>
        <v>23985</v>
      </c>
      <c r="U5" s="66">
        <f t="shared" ref="U5:U19" si="14">AD5*$U$3</f>
        <v>12300</v>
      </c>
      <c r="V5" s="66">
        <f t="shared" ref="V5:V19" si="15">AD5*$V$3</f>
        <v>9225</v>
      </c>
      <c r="W5" s="66">
        <f t="shared" ref="W5:W19" si="16">AD5*$W$3</f>
        <v>3690</v>
      </c>
      <c r="X5" s="68">
        <v>1250.0</v>
      </c>
      <c r="Y5" s="66">
        <f t="shared" ref="Y5:Y19" si="17">R5*$Y$3</f>
        <v>0</v>
      </c>
      <c r="Z5" s="69">
        <f t="shared" ref="Z5:Z19" si="18">(D5*S5)+T5+U5+V5+W5+X5+Y5</f>
        <v>180179.7297</v>
      </c>
      <c r="AA5" s="70">
        <f t="shared" ref="AA5:AA19" si="19">AB5/AC5</f>
        <v>0.02439268293</v>
      </c>
      <c r="AB5" s="71">
        <f t="shared" ref="AB5:AB19" si="20">AC5-Z5</f>
        <v>4504.954955</v>
      </c>
      <c r="AC5" s="66">
        <f t="shared" ref="AC5:AC19" si="21">AD5/$O$4</f>
        <v>184684.6847</v>
      </c>
      <c r="AD5" s="78">
        <v>205000.0</v>
      </c>
      <c r="AE5" s="73">
        <f t="shared" ref="AE5:AE19" si="22">AD5/S5</f>
        <v>4100</v>
      </c>
      <c r="AF5" s="76"/>
      <c r="AG5" s="75">
        <v>500.0</v>
      </c>
      <c r="AH5" s="66">
        <f t="shared" ref="AH5:AH19" si="23">AR5*$AH$3</f>
        <v>0</v>
      </c>
      <c r="AI5" s="66">
        <f t="shared" ref="AI5:AI19" si="24">AR5*$AI$3</f>
        <v>0</v>
      </c>
      <c r="AJ5" s="66">
        <f t="shared" ref="AJ5:AJ19" si="25">AR5*$AJ$3</f>
        <v>0</v>
      </c>
      <c r="AK5" s="66">
        <f t="shared" ref="AK5:AK19" si="26">AR5*$AK$3</f>
        <v>0</v>
      </c>
      <c r="AL5" s="68">
        <v>1250.0</v>
      </c>
      <c r="AM5" s="66">
        <f t="shared" ref="AM5:AM19" si="27">AF5*$AM$3</f>
        <v>0</v>
      </c>
      <c r="AN5" s="69">
        <f t="shared" ref="AN5:AN19" si="28">(R5*AG5)+AH5+AI5+AJ5+AK5+AL5+AM5</f>
        <v>1250</v>
      </c>
      <c r="AO5" s="70" t="str">
        <f t="shared" ref="AO5:AO19" si="29">AP5/AQ5</f>
        <v>#DIV/0!</v>
      </c>
      <c r="AP5" s="71">
        <f t="shared" ref="AP5:AP19" si="30">AQ5-AN5</f>
        <v>-1250</v>
      </c>
      <c r="AQ5" s="66">
        <f t="shared" ref="AQ5:AQ19" si="31">AR5/$O$4</f>
        <v>0</v>
      </c>
      <c r="AR5" s="78"/>
      <c r="AS5" s="73">
        <f t="shared" ref="AS5:AS19" si="32">AR5/AG5</f>
        <v>0</v>
      </c>
    </row>
    <row r="6">
      <c r="A6" s="64" t="s">
        <v>30</v>
      </c>
      <c r="B6" s="65">
        <v>3500.0</v>
      </c>
      <c r="C6" s="65">
        <f t="shared" si="1"/>
        <v>3150</v>
      </c>
      <c r="D6" s="66">
        <f t="shared" si="2"/>
        <v>2837.837838</v>
      </c>
      <c r="E6" s="79">
        <v>3.0</v>
      </c>
      <c r="F6" s="66">
        <f t="shared" si="3"/>
        <v>1580</v>
      </c>
      <c r="G6" s="66">
        <f t="shared" si="4"/>
        <v>948</v>
      </c>
      <c r="H6" s="66">
        <f t="shared" si="5"/>
        <v>711</v>
      </c>
      <c r="I6" s="66">
        <f t="shared" si="6"/>
        <v>0</v>
      </c>
      <c r="J6" s="68">
        <v>1250.0</v>
      </c>
      <c r="K6" s="66">
        <f t="shared" si="7"/>
        <v>141.8918919</v>
      </c>
      <c r="L6" s="69">
        <f t="shared" si="8"/>
        <v>13144.40541</v>
      </c>
      <c r="M6" s="70">
        <f t="shared" si="9"/>
        <v>0.07656392405</v>
      </c>
      <c r="N6" s="71">
        <f t="shared" si="10"/>
        <v>1089.828829</v>
      </c>
      <c r="O6" s="66">
        <f t="shared" si="11"/>
        <v>14234.23423</v>
      </c>
      <c r="P6" s="78">
        <v>15800.0</v>
      </c>
      <c r="Q6" s="73">
        <f t="shared" si="12"/>
        <v>5266.666667</v>
      </c>
      <c r="R6" s="74"/>
      <c r="S6" s="75">
        <v>50.0</v>
      </c>
      <c r="T6" s="66">
        <f t="shared" si="13"/>
        <v>25740</v>
      </c>
      <c r="U6" s="66">
        <f t="shared" si="14"/>
        <v>13200</v>
      </c>
      <c r="V6" s="66">
        <f t="shared" si="15"/>
        <v>9900</v>
      </c>
      <c r="W6" s="66">
        <f t="shared" si="16"/>
        <v>3960</v>
      </c>
      <c r="X6" s="68">
        <v>1250.0</v>
      </c>
      <c r="Y6" s="66">
        <f t="shared" si="17"/>
        <v>0</v>
      </c>
      <c r="Z6" s="69">
        <f t="shared" si="18"/>
        <v>195941.8919</v>
      </c>
      <c r="AA6" s="70">
        <f t="shared" si="19"/>
        <v>0.01138409091</v>
      </c>
      <c r="AB6" s="71">
        <f t="shared" si="20"/>
        <v>2256.306306</v>
      </c>
      <c r="AC6" s="66">
        <f t="shared" si="21"/>
        <v>198198.1982</v>
      </c>
      <c r="AD6" s="78">
        <v>220000.0</v>
      </c>
      <c r="AE6" s="73">
        <f t="shared" si="22"/>
        <v>4400</v>
      </c>
      <c r="AF6" s="76"/>
      <c r="AG6" s="75">
        <v>500.0</v>
      </c>
      <c r="AH6" s="66">
        <f t="shared" si="23"/>
        <v>0</v>
      </c>
      <c r="AI6" s="66">
        <f t="shared" si="24"/>
        <v>0</v>
      </c>
      <c r="AJ6" s="66">
        <f t="shared" si="25"/>
        <v>0</v>
      </c>
      <c r="AK6" s="66">
        <f t="shared" si="26"/>
        <v>0</v>
      </c>
      <c r="AL6" s="68">
        <v>1250.0</v>
      </c>
      <c r="AM6" s="66">
        <f t="shared" si="27"/>
        <v>0</v>
      </c>
      <c r="AN6" s="69">
        <f t="shared" si="28"/>
        <v>1250</v>
      </c>
      <c r="AO6" s="70" t="str">
        <f t="shared" si="29"/>
        <v>#DIV/0!</v>
      </c>
      <c r="AP6" s="71">
        <f t="shared" si="30"/>
        <v>-1250</v>
      </c>
      <c r="AQ6" s="66">
        <f t="shared" si="31"/>
        <v>0</v>
      </c>
      <c r="AR6" s="78"/>
      <c r="AS6" s="73">
        <f t="shared" si="32"/>
        <v>0</v>
      </c>
    </row>
    <row r="7">
      <c r="A7" s="77" t="s">
        <v>31</v>
      </c>
      <c r="B7" s="65">
        <v>3900.0</v>
      </c>
      <c r="C7" s="65">
        <f t="shared" si="1"/>
        <v>3510</v>
      </c>
      <c r="D7" s="66">
        <f t="shared" si="2"/>
        <v>3162.162162</v>
      </c>
      <c r="E7" s="79">
        <v>3.0</v>
      </c>
      <c r="F7" s="66">
        <f t="shared" si="3"/>
        <v>1700</v>
      </c>
      <c r="G7" s="66">
        <f t="shared" si="4"/>
        <v>1020</v>
      </c>
      <c r="H7" s="66">
        <f t="shared" si="5"/>
        <v>765</v>
      </c>
      <c r="I7" s="66">
        <f t="shared" si="6"/>
        <v>0</v>
      </c>
      <c r="J7" s="68">
        <v>1250.0</v>
      </c>
      <c r="K7" s="66">
        <f t="shared" si="7"/>
        <v>158.1081081</v>
      </c>
      <c r="L7" s="69">
        <f t="shared" si="8"/>
        <v>14379.59459</v>
      </c>
      <c r="M7" s="70">
        <f t="shared" si="9"/>
        <v>0.06109705882</v>
      </c>
      <c r="N7" s="71">
        <f t="shared" si="10"/>
        <v>935.7207207</v>
      </c>
      <c r="O7" s="66">
        <f t="shared" si="11"/>
        <v>15315.31532</v>
      </c>
      <c r="P7" s="78">
        <v>17000.0</v>
      </c>
      <c r="Q7" s="73">
        <f t="shared" si="12"/>
        <v>5666.666667</v>
      </c>
      <c r="R7" s="74"/>
      <c r="S7" s="75">
        <v>25.0</v>
      </c>
      <c r="T7" s="66">
        <f t="shared" si="13"/>
        <v>16017.3</v>
      </c>
      <c r="U7" s="66">
        <f t="shared" si="14"/>
        <v>8214</v>
      </c>
      <c r="V7" s="66">
        <f t="shared" si="15"/>
        <v>6160.5</v>
      </c>
      <c r="W7" s="66">
        <f t="shared" si="16"/>
        <v>2464.2</v>
      </c>
      <c r="X7" s="68">
        <v>1250.0</v>
      </c>
      <c r="Y7" s="66">
        <f t="shared" si="17"/>
        <v>0</v>
      </c>
      <c r="Z7" s="69">
        <f t="shared" si="18"/>
        <v>113160.0541</v>
      </c>
      <c r="AA7" s="70">
        <f t="shared" si="19"/>
        <v>0.08248604821</v>
      </c>
      <c r="AB7" s="71">
        <f t="shared" si="20"/>
        <v>10173.27928</v>
      </c>
      <c r="AC7" s="66">
        <f t="shared" si="21"/>
        <v>123333.3333</v>
      </c>
      <c r="AD7" s="78">
        <v>136900.0</v>
      </c>
      <c r="AE7" s="73">
        <f t="shared" si="22"/>
        <v>5476</v>
      </c>
      <c r="AF7" s="76"/>
      <c r="AG7" s="75">
        <v>500.0</v>
      </c>
      <c r="AH7" s="66">
        <f t="shared" si="23"/>
        <v>0</v>
      </c>
      <c r="AI7" s="66">
        <f t="shared" si="24"/>
        <v>0</v>
      </c>
      <c r="AJ7" s="66">
        <f t="shared" si="25"/>
        <v>0</v>
      </c>
      <c r="AK7" s="66">
        <f t="shared" si="26"/>
        <v>0</v>
      </c>
      <c r="AL7" s="68">
        <v>1250.0</v>
      </c>
      <c r="AM7" s="66">
        <f t="shared" si="27"/>
        <v>0</v>
      </c>
      <c r="AN7" s="69">
        <f t="shared" si="28"/>
        <v>1250</v>
      </c>
      <c r="AO7" s="70" t="str">
        <f t="shared" si="29"/>
        <v>#DIV/0!</v>
      </c>
      <c r="AP7" s="71">
        <f t="shared" si="30"/>
        <v>-1250</v>
      </c>
      <c r="AQ7" s="66">
        <f t="shared" si="31"/>
        <v>0</v>
      </c>
      <c r="AR7" s="78"/>
      <c r="AS7" s="73">
        <f t="shared" si="32"/>
        <v>0</v>
      </c>
    </row>
    <row r="8">
      <c r="A8" s="77" t="s">
        <v>32</v>
      </c>
      <c r="B8" s="65">
        <v>25000.0</v>
      </c>
      <c r="C8" s="65">
        <f t="shared" si="1"/>
        <v>22500</v>
      </c>
      <c r="D8" s="66">
        <f t="shared" si="2"/>
        <v>20270.27027</v>
      </c>
      <c r="E8" s="79">
        <v>1.0</v>
      </c>
      <c r="F8" s="66">
        <f t="shared" si="3"/>
        <v>3550</v>
      </c>
      <c r="G8" s="66">
        <f t="shared" si="4"/>
        <v>2130</v>
      </c>
      <c r="H8" s="66">
        <f t="shared" si="5"/>
        <v>1597.5</v>
      </c>
      <c r="I8" s="66">
        <f t="shared" si="6"/>
        <v>0</v>
      </c>
      <c r="J8" s="68">
        <v>1250.0</v>
      </c>
      <c r="K8" s="66">
        <f t="shared" si="7"/>
        <v>1013.513514</v>
      </c>
      <c r="L8" s="69">
        <f t="shared" si="8"/>
        <v>29811.28378</v>
      </c>
      <c r="M8" s="70">
        <f t="shared" si="9"/>
        <v>0.06787253521</v>
      </c>
      <c r="N8" s="71">
        <f t="shared" si="10"/>
        <v>2170.698198</v>
      </c>
      <c r="O8" s="66">
        <f t="shared" si="11"/>
        <v>31981.98198</v>
      </c>
      <c r="P8" s="78">
        <v>35500.0</v>
      </c>
      <c r="Q8" s="73">
        <f t="shared" si="12"/>
        <v>35500</v>
      </c>
      <c r="R8" s="74"/>
      <c r="S8" s="75">
        <v>4.0</v>
      </c>
      <c r="T8" s="66">
        <f t="shared" si="13"/>
        <v>16017.3</v>
      </c>
      <c r="U8" s="66">
        <f t="shared" si="14"/>
        <v>8214</v>
      </c>
      <c r="V8" s="66">
        <f t="shared" si="15"/>
        <v>6160.5</v>
      </c>
      <c r="W8" s="66">
        <f t="shared" si="16"/>
        <v>2464.2</v>
      </c>
      <c r="X8" s="68">
        <v>1250.0</v>
      </c>
      <c r="Y8" s="66">
        <f t="shared" si="17"/>
        <v>0</v>
      </c>
      <c r="Z8" s="69">
        <f t="shared" si="18"/>
        <v>115187.0811</v>
      </c>
      <c r="AA8" s="70">
        <f t="shared" si="19"/>
        <v>0.06605069394</v>
      </c>
      <c r="AB8" s="71">
        <f t="shared" si="20"/>
        <v>8146.252252</v>
      </c>
      <c r="AC8" s="66">
        <f t="shared" si="21"/>
        <v>123333.3333</v>
      </c>
      <c r="AD8" s="78">
        <v>136900.0</v>
      </c>
      <c r="AE8" s="73">
        <f t="shared" si="22"/>
        <v>34225</v>
      </c>
      <c r="AF8" s="76"/>
      <c r="AG8" s="75">
        <v>100.0</v>
      </c>
      <c r="AH8" s="66">
        <f t="shared" si="23"/>
        <v>0</v>
      </c>
      <c r="AI8" s="66">
        <f t="shared" si="24"/>
        <v>0</v>
      </c>
      <c r="AJ8" s="66">
        <f t="shared" si="25"/>
        <v>0</v>
      </c>
      <c r="AK8" s="66">
        <f t="shared" si="26"/>
        <v>0</v>
      </c>
      <c r="AL8" s="68">
        <v>1250.0</v>
      </c>
      <c r="AM8" s="66">
        <f t="shared" si="27"/>
        <v>0</v>
      </c>
      <c r="AN8" s="69">
        <f t="shared" si="28"/>
        <v>1250</v>
      </c>
      <c r="AO8" s="70" t="str">
        <f t="shared" si="29"/>
        <v>#DIV/0!</v>
      </c>
      <c r="AP8" s="71">
        <f t="shared" si="30"/>
        <v>-1250</v>
      </c>
      <c r="AQ8" s="66">
        <f t="shared" si="31"/>
        <v>0</v>
      </c>
      <c r="AR8" s="78"/>
      <c r="AS8" s="73">
        <f t="shared" si="32"/>
        <v>0</v>
      </c>
    </row>
    <row r="9">
      <c r="A9" s="77" t="s">
        <v>33</v>
      </c>
      <c r="B9" s="65">
        <v>9500.0</v>
      </c>
      <c r="C9" s="65">
        <f t="shared" si="1"/>
        <v>8550</v>
      </c>
      <c r="D9" s="66">
        <f t="shared" si="2"/>
        <v>7702.702703</v>
      </c>
      <c r="E9" s="79">
        <v>1.0</v>
      </c>
      <c r="F9" s="66">
        <f t="shared" si="3"/>
        <v>1460</v>
      </c>
      <c r="G9" s="66">
        <f t="shared" si="4"/>
        <v>876</v>
      </c>
      <c r="H9" s="66">
        <f t="shared" si="5"/>
        <v>657</v>
      </c>
      <c r="I9" s="66">
        <f t="shared" si="6"/>
        <v>0</v>
      </c>
      <c r="J9" s="68">
        <v>1250.0</v>
      </c>
      <c r="K9" s="66">
        <f t="shared" si="7"/>
        <v>385.1351351</v>
      </c>
      <c r="L9" s="69">
        <f t="shared" si="8"/>
        <v>12330.83784</v>
      </c>
      <c r="M9" s="70">
        <f t="shared" si="9"/>
        <v>0.06251849315</v>
      </c>
      <c r="N9" s="71">
        <f t="shared" si="10"/>
        <v>822.3153153</v>
      </c>
      <c r="O9" s="66">
        <f t="shared" si="11"/>
        <v>13153.15315</v>
      </c>
      <c r="P9" s="78">
        <v>14600.0</v>
      </c>
      <c r="Q9" s="73">
        <f t="shared" si="12"/>
        <v>14600</v>
      </c>
      <c r="R9" s="74"/>
      <c r="S9" s="75">
        <v>16.0</v>
      </c>
      <c r="T9" s="66">
        <f t="shared" si="13"/>
        <v>22756.5</v>
      </c>
      <c r="U9" s="66">
        <f t="shared" si="14"/>
        <v>11670</v>
      </c>
      <c r="V9" s="66">
        <f t="shared" si="15"/>
        <v>8752.5</v>
      </c>
      <c r="W9" s="66">
        <f t="shared" si="16"/>
        <v>3501</v>
      </c>
      <c r="X9" s="68">
        <v>1250.0</v>
      </c>
      <c r="Y9" s="66">
        <f t="shared" si="17"/>
        <v>0</v>
      </c>
      <c r="Z9" s="69">
        <f t="shared" si="18"/>
        <v>171173.2432</v>
      </c>
      <c r="AA9" s="70">
        <f t="shared" si="19"/>
        <v>0.02312442159</v>
      </c>
      <c r="AB9" s="71">
        <f t="shared" si="20"/>
        <v>4051.981982</v>
      </c>
      <c r="AC9" s="66">
        <f t="shared" si="21"/>
        <v>175225.2252</v>
      </c>
      <c r="AD9" s="78">
        <v>194500.0</v>
      </c>
      <c r="AE9" s="73">
        <f t="shared" si="22"/>
        <v>12156.25</v>
      </c>
      <c r="AF9" s="76"/>
      <c r="AG9" s="75"/>
      <c r="AH9" s="66">
        <f t="shared" si="23"/>
        <v>0</v>
      </c>
      <c r="AI9" s="66">
        <f t="shared" si="24"/>
        <v>0</v>
      </c>
      <c r="AJ9" s="66">
        <f t="shared" si="25"/>
        <v>0</v>
      </c>
      <c r="AK9" s="66">
        <f t="shared" si="26"/>
        <v>0</v>
      </c>
      <c r="AL9" s="68">
        <v>1250.0</v>
      </c>
      <c r="AM9" s="66">
        <f t="shared" si="27"/>
        <v>0</v>
      </c>
      <c r="AN9" s="69">
        <f t="shared" si="28"/>
        <v>1250</v>
      </c>
      <c r="AO9" s="70" t="str">
        <f t="shared" si="29"/>
        <v>#DIV/0!</v>
      </c>
      <c r="AP9" s="71">
        <f t="shared" si="30"/>
        <v>-1250</v>
      </c>
      <c r="AQ9" s="66">
        <f t="shared" si="31"/>
        <v>0</v>
      </c>
      <c r="AR9" s="78"/>
      <c r="AS9" s="73" t="str">
        <f t="shared" si="32"/>
        <v>#DIV/0!</v>
      </c>
    </row>
    <row r="10">
      <c r="A10" s="77" t="s">
        <v>34</v>
      </c>
      <c r="B10" s="65">
        <v>15000.0</v>
      </c>
      <c r="C10" s="65">
        <f t="shared" si="1"/>
        <v>13500</v>
      </c>
      <c r="D10" s="66">
        <f t="shared" si="2"/>
        <v>12162.16216</v>
      </c>
      <c r="E10" s="79">
        <v>1.0</v>
      </c>
      <c r="F10" s="66">
        <f t="shared" si="3"/>
        <v>2200</v>
      </c>
      <c r="G10" s="66">
        <f t="shared" si="4"/>
        <v>1320</v>
      </c>
      <c r="H10" s="66">
        <f t="shared" si="5"/>
        <v>990</v>
      </c>
      <c r="I10" s="66">
        <f t="shared" si="6"/>
        <v>0</v>
      </c>
      <c r="J10" s="68">
        <v>1250.0</v>
      </c>
      <c r="K10" s="66">
        <f t="shared" si="7"/>
        <v>608.1081081</v>
      </c>
      <c r="L10" s="69">
        <f t="shared" si="8"/>
        <v>18530.27027</v>
      </c>
      <c r="M10" s="70">
        <f t="shared" si="9"/>
        <v>0.06506363636</v>
      </c>
      <c r="N10" s="71">
        <f t="shared" si="10"/>
        <v>1289.54955</v>
      </c>
      <c r="O10" s="66">
        <f t="shared" si="11"/>
        <v>19819.81982</v>
      </c>
      <c r="P10" s="78">
        <v>22000.0</v>
      </c>
      <c r="Q10" s="73">
        <f t="shared" si="12"/>
        <v>22000</v>
      </c>
      <c r="R10" s="74"/>
      <c r="S10" s="75">
        <v>4.0</v>
      </c>
      <c r="T10" s="66">
        <f t="shared" si="13"/>
        <v>9360</v>
      </c>
      <c r="U10" s="66">
        <f t="shared" si="14"/>
        <v>4800</v>
      </c>
      <c r="V10" s="66">
        <f t="shared" si="15"/>
        <v>3600</v>
      </c>
      <c r="W10" s="66">
        <f t="shared" si="16"/>
        <v>1440</v>
      </c>
      <c r="X10" s="68">
        <v>1250.0</v>
      </c>
      <c r="Y10" s="66">
        <f t="shared" si="17"/>
        <v>0</v>
      </c>
      <c r="Z10" s="69">
        <f t="shared" si="18"/>
        <v>69098.64865</v>
      </c>
      <c r="AA10" s="70">
        <f t="shared" si="19"/>
        <v>0.04125625</v>
      </c>
      <c r="AB10" s="71">
        <f t="shared" si="20"/>
        <v>2973.423423</v>
      </c>
      <c r="AC10" s="66">
        <f t="shared" si="21"/>
        <v>72072.07207</v>
      </c>
      <c r="AD10" s="78">
        <v>80000.0</v>
      </c>
      <c r="AE10" s="73">
        <f t="shared" si="22"/>
        <v>20000</v>
      </c>
      <c r="AF10" s="76"/>
      <c r="AG10" s="75"/>
      <c r="AH10" s="66">
        <f t="shared" si="23"/>
        <v>0</v>
      </c>
      <c r="AI10" s="66">
        <f t="shared" si="24"/>
        <v>0</v>
      </c>
      <c r="AJ10" s="66">
        <f t="shared" si="25"/>
        <v>0</v>
      </c>
      <c r="AK10" s="66">
        <f t="shared" si="26"/>
        <v>0</v>
      </c>
      <c r="AL10" s="68">
        <v>1250.0</v>
      </c>
      <c r="AM10" s="66">
        <f t="shared" si="27"/>
        <v>0</v>
      </c>
      <c r="AN10" s="69">
        <f t="shared" si="28"/>
        <v>1250</v>
      </c>
      <c r="AO10" s="70" t="str">
        <f t="shared" si="29"/>
        <v>#DIV/0!</v>
      </c>
      <c r="AP10" s="71">
        <f t="shared" si="30"/>
        <v>-1250</v>
      </c>
      <c r="AQ10" s="66">
        <f t="shared" si="31"/>
        <v>0</v>
      </c>
      <c r="AR10" s="78"/>
      <c r="AS10" s="73" t="str">
        <f t="shared" si="32"/>
        <v>#DIV/0!</v>
      </c>
    </row>
    <row r="11">
      <c r="A11" s="77" t="s">
        <v>35</v>
      </c>
      <c r="B11" s="65">
        <v>18000.0</v>
      </c>
      <c r="C11" s="65">
        <f t="shared" si="1"/>
        <v>16200</v>
      </c>
      <c r="D11" s="66">
        <f t="shared" si="2"/>
        <v>14594.59459</v>
      </c>
      <c r="E11" s="79">
        <v>1.0</v>
      </c>
      <c r="F11" s="66">
        <f t="shared" si="3"/>
        <v>2570</v>
      </c>
      <c r="G11" s="66">
        <f t="shared" si="4"/>
        <v>1542</v>
      </c>
      <c r="H11" s="66">
        <f t="shared" si="5"/>
        <v>1156.5</v>
      </c>
      <c r="I11" s="66">
        <f t="shared" si="6"/>
        <v>0</v>
      </c>
      <c r="J11" s="68">
        <v>1250.0</v>
      </c>
      <c r="K11" s="66">
        <f t="shared" si="7"/>
        <v>729.7297297</v>
      </c>
      <c r="L11" s="69">
        <f t="shared" si="8"/>
        <v>21842.82432</v>
      </c>
      <c r="M11" s="70">
        <f t="shared" si="9"/>
        <v>0.05659396887</v>
      </c>
      <c r="N11" s="71">
        <f t="shared" si="10"/>
        <v>1310.328829</v>
      </c>
      <c r="O11" s="66">
        <f t="shared" si="11"/>
        <v>23153.15315</v>
      </c>
      <c r="P11" s="78">
        <v>25700.0</v>
      </c>
      <c r="Q11" s="73">
        <f t="shared" si="12"/>
        <v>25700</v>
      </c>
      <c r="R11" s="74"/>
      <c r="S11" s="75"/>
      <c r="T11" s="66">
        <f t="shared" si="13"/>
        <v>0</v>
      </c>
      <c r="U11" s="66">
        <f t="shared" si="14"/>
        <v>0</v>
      </c>
      <c r="V11" s="66">
        <f t="shared" si="15"/>
        <v>0</v>
      </c>
      <c r="W11" s="66">
        <f t="shared" si="16"/>
        <v>0</v>
      </c>
      <c r="X11" s="68">
        <v>1250.0</v>
      </c>
      <c r="Y11" s="66">
        <f t="shared" si="17"/>
        <v>0</v>
      </c>
      <c r="Z11" s="69">
        <f t="shared" si="18"/>
        <v>1250</v>
      </c>
      <c r="AA11" s="70" t="str">
        <f t="shared" si="19"/>
        <v>#DIV/0!</v>
      </c>
      <c r="AB11" s="71">
        <f t="shared" si="20"/>
        <v>-1250</v>
      </c>
      <c r="AC11" s="66">
        <f t="shared" si="21"/>
        <v>0</v>
      </c>
      <c r="AD11" s="78"/>
      <c r="AE11" s="73" t="str">
        <f t="shared" si="22"/>
        <v>#DIV/0!</v>
      </c>
      <c r="AF11" s="76"/>
      <c r="AG11" s="75"/>
      <c r="AH11" s="66">
        <f t="shared" si="23"/>
        <v>0</v>
      </c>
      <c r="AI11" s="66">
        <f t="shared" si="24"/>
        <v>0</v>
      </c>
      <c r="AJ11" s="66">
        <f t="shared" si="25"/>
        <v>0</v>
      </c>
      <c r="AK11" s="66">
        <f t="shared" si="26"/>
        <v>0</v>
      </c>
      <c r="AL11" s="68">
        <v>1250.0</v>
      </c>
      <c r="AM11" s="66">
        <f t="shared" si="27"/>
        <v>0</v>
      </c>
      <c r="AN11" s="69">
        <f t="shared" si="28"/>
        <v>1250</v>
      </c>
      <c r="AO11" s="70" t="str">
        <f t="shared" si="29"/>
        <v>#DIV/0!</v>
      </c>
      <c r="AP11" s="71">
        <f t="shared" si="30"/>
        <v>-1250</v>
      </c>
      <c r="AQ11" s="66">
        <f t="shared" si="31"/>
        <v>0</v>
      </c>
      <c r="AR11" s="78"/>
      <c r="AS11" s="73" t="str">
        <f t="shared" si="32"/>
        <v>#DIV/0!</v>
      </c>
    </row>
    <row r="12">
      <c r="A12" s="77" t="s">
        <v>36</v>
      </c>
      <c r="B12" s="65">
        <v>73000.0</v>
      </c>
      <c r="C12" s="65">
        <f t="shared" si="1"/>
        <v>65700</v>
      </c>
      <c r="D12" s="66">
        <f t="shared" si="2"/>
        <v>59189.18919</v>
      </c>
      <c r="E12" s="79">
        <v>1.0</v>
      </c>
      <c r="F12" s="66">
        <f t="shared" si="3"/>
        <v>10000</v>
      </c>
      <c r="G12" s="66">
        <f t="shared" si="4"/>
        <v>6000</v>
      </c>
      <c r="H12" s="66">
        <f t="shared" si="5"/>
        <v>4500</v>
      </c>
      <c r="I12" s="66">
        <f t="shared" si="6"/>
        <v>0</v>
      </c>
      <c r="J12" s="68">
        <v>1250.0</v>
      </c>
      <c r="K12" s="66">
        <f t="shared" si="7"/>
        <v>2959.459459</v>
      </c>
      <c r="L12" s="69">
        <f t="shared" si="8"/>
        <v>83898.64865</v>
      </c>
      <c r="M12" s="70">
        <f t="shared" si="9"/>
        <v>0.068725</v>
      </c>
      <c r="N12" s="71">
        <f t="shared" si="10"/>
        <v>6191.441441</v>
      </c>
      <c r="O12" s="66">
        <f t="shared" si="11"/>
        <v>90090.09009</v>
      </c>
      <c r="P12" s="78">
        <v>100000.0</v>
      </c>
      <c r="Q12" s="73">
        <f t="shared" si="12"/>
        <v>100000</v>
      </c>
      <c r="R12" s="74"/>
      <c r="S12" s="75"/>
      <c r="T12" s="66">
        <f t="shared" si="13"/>
        <v>0</v>
      </c>
      <c r="U12" s="66">
        <f t="shared" si="14"/>
        <v>0</v>
      </c>
      <c r="V12" s="66">
        <f t="shared" si="15"/>
        <v>0</v>
      </c>
      <c r="W12" s="66">
        <f t="shared" si="16"/>
        <v>0</v>
      </c>
      <c r="X12" s="68">
        <v>1250.0</v>
      </c>
      <c r="Y12" s="66">
        <f t="shared" si="17"/>
        <v>0</v>
      </c>
      <c r="Z12" s="69">
        <f t="shared" si="18"/>
        <v>1250</v>
      </c>
      <c r="AA12" s="70" t="str">
        <f t="shared" si="19"/>
        <v>#DIV/0!</v>
      </c>
      <c r="AB12" s="71">
        <f t="shared" si="20"/>
        <v>-1250</v>
      </c>
      <c r="AC12" s="66">
        <f t="shared" si="21"/>
        <v>0</v>
      </c>
      <c r="AD12" s="78"/>
      <c r="AE12" s="73" t="str">
        <f t="shared" si="22"/>
        <v>#DIV/0!</v>
      </c>
      <c r="AF12" s="76"/>
      <c r="AG12" s="75"/>
      <c r="AH12" s="66">
        <f t="shared" si="23"/>
        <v>0</v>
      </c>
      <c r="AI12" s="66">
        <f t="shared" si="24"/>
        <v>0</v>
      </c>
      <c r="AJ12" s="66">
        <f t="shared" si="25"/>
        <v>0</v>
      </c>
      <c r="AK12" s="66">
        <f t="shared" si="26"/>
        <v>0</v>
      </c>
      <c r="AL12" s="68">
        <v>1250.0</v>
      </c>
      <c r="AM12" s="66">
        <f t="shared" si="27"/>
        <v>0</v>
      </c>
      <c r="AN12" s="69">
        <f t="shared" si="28"/>
        <v>1250</v>
      </c>
      <c r="AO12" s="70" t="str">
        <f t="shared" si="29"/>
        <v>#DIV/0!</v>
      </c>
      <c r="AP12" s="71">
        <f t="shared" si="30"/>
        <v>-1250</v>
      </c>
      <c r="AQ12" s="66">
        <f t="shared" si="31"/>
        <v>0</v>
      </c>
      <c r="AR12" s="78"/>
      <c r="AS12" s="73" t="str">
        <f t="shared" si="32"/>
        <v>#DIV/0!</v>
      </c>
    </row>
    <row r="13">
      <c r="A13" s="77" t="s">
        <v>37</v>
      </c>
      <c r="B13" s="65">
        <v>5700.0</v>
      </c>
      <c r="C13" s="65">
        <f t="shared" si="1"/>
        <v>5130</v>
      </c>
      <c r="D13" s="66">
        <f t="shared" si="2"/>
        <v>4621.621622</v>
      </c>
      <c r="E13" s="79">
        <v>1.0</v>
      </c>
      <c r="F13" s="66">
        <f t="shared" si="3"/>
        <v>990</v>
      </c>
      <c r="G13" s="66">
        <f t="shared" si="4"/>
        <v>594</v>
      </c>
      <c r="H13" s="66">
        <f t="shared" si="5"/>
        <v>445.5</v>
      </c>
      <c r="I13" s="66">
        <f t="shared" si="6"/>
        <v>0</v>
      </c>
      <c r="J13" s="68">
        <v>1250.0</v>
      </c>
      <c r="K13" s="66">
        <f t="shared" si="7"/>
        <v>231.0810811</v>
      </c>
      <c r="L13" s="69">
        <f t="shared" si="8"/>
        <v>8132.202703</v>
      </c>
      <c r="M13" s="70">
        <f t="shared" si="9"/>
        <v>0.08820757576</v>
      </c>
      <c r="N13" s="71">
        <f t="shared" si="10"/>
        <v>786.7162162</v>
      </c>
      <c r="O13" s="66">
        <f t="shared" si="11"/>
        <v>8918.918919</v>
      </c>
      <c r="P13" s="78">
        <v>9900.0</v>
      </c>
      <c r="Q13" s="73">
        <f t="shared" si="12"/>
        <v>9900</v>
      </c>
      <c r="R13" s="74"/>
      <c r="S13" s="75">
        <v>25.0</v>
      </c>
      <c r="T13" s="66">
        <f t="shared" si="13"/>
        <v>22171.5</v>
      </c>
      <c r="U13" s="66">
        <f t="shared" si="14"/>
        <v>11370</v>
      </c>
      <c r="V13" s="66">
        <f t="shared" si="15"/>
        <v>8527.5</v>
      </c>
      <c r="W13" s="66">
        <f t="shared" si="16"/>
        <v>3411</v>
      </c>
      <c r="X13" s="68">
        <v>1250.0</v>
      </c>
      <c r="Y13" s="66">
        <f t="shared" si="17"/>
        <v>0</v>
      </c>
      <c r="Z13" s="69">
        <f t="shared" si="18"/>
        <v>162270.5405</v>
      </c>
      <c r="AA13" s="70">
        <f t="shared" si="19"/>
        <v>0.04949709763</v>
      </c>
      <c r="AB13" s="71">
        <f t="shared" si="20"/>
        <v>8450.18018</v>
      </c>
      <c r="AC13" s="66">
        <f t="shared" si="21"/>
        <v>170720.7207</v>
      </c>
      <c r="AD13" s="78">
        <v>189500.0</v>
      </c>
      <c r="AE13" s="73">
        <f t="shared" si="22"/>
        <v>7580</v>
      </c>
      <c r="AF13" s="76"/>
      <c r="AG13" s="75">
        <v>300.0</v>
      </c>
      <c r="AH13" s="66">
        <f t="shared" si="23"/>
        <v>0</v>
      </c>
      <c r="AI13" s="66">
        <f t="shared" si="24"/>
        <v>0</v>
      </c>
      <c r="AJ13" s="66">
        <f t="shared" si="25"/>
        <v>0</v>
      </c>
      <c r="AK13" s="66">
        <f t="shared" si="26"/>
        <v>0</v>
      </c>
      <c r="AL13" s="68">
        <v>1250.0</v>
      </c>
      <c r="AM13" s="66">
        <f t="shared" si="27"/>
        <v>0</v>
      </c>
      <c r="AN13" s="69">
        <f t="shared" si="28"/>
        <v>1250</v>
      </c>
      <c r="AO13" s="70" t="str">
        <f t="shared" si="29"/>
        <v>#DIV/0!</v>
      </c>
      <c r="AP13" s="71">
        <f t="shared" si="30"/>
        <v>-1250</v>
      </c>
      <c r="AQ13" s="66">
        <f t="shared" si="31"/>
        <v>0</v>
      </c>
      <c r="AR13" s="78"/>
      <c r="AS13" s="73">
        <f t="shared" si="32"/>
        <v>0</v>
      </c>
    </row>
    <row r="14">
      <c r="A14" s="77" t="s">
        <v>38</v>
      </c>
      <c r="B14" s="65">
        <v>3500.0</v>
      </c>
      <c r="C14" s="65">
        <f t="shared" si="1"/>
        <v>3150</v>
      </c>
      <c r="D14" s="66">
        <f t="shared" si="2"/>
        <v>2837.837838</v>
      </c>
      <c r="E14" s="79">
        <v>5.0</v>
      </c>
      <c r="F14" s="66">
        <f t="shared" si="3"/>
        <v>2500</v>
      </c>
      <c r="G14" s="66">
        <f t="shared" si="4"/>
        <v>1500</v>
      </c>
      <c r="H14" s="66">
        <f t="shared" si="5"/>
        <v>1125</v>
      </c>
      <c r="I14" s="66">
        <f t="shared" si="6"/>
        <v>0</v>
      </c>
      <c r="J14" s="68">
        <v>1250.0</v>
      </c>
      <c r="K14" s="66">
        <f t="shared" si="7"/>
        <v>141.8918919</v>
      </c>
      <c r="L14" s="69">
        <f t="shared" si="8"/>
        <v>20706.08108</v>
      </c>
      <c r="M14" s="70">
        <f t="shared" si="9"/>
        <v>0.08065</v>
      </c>
      <c r="N14" s="71">
        <f t="shared" si="10"/>
        <v>1816.441441</v>
      </c>
      <c r="O14" s="66">
        <f t="shared" si="11"/>
        <v>22522.52252</v>
      </c>
      <c r="P14" s="78">
        <v>25000.0</v>
      </c>
      <c r="Q14" s="73">
        <f t="shared" si="12"/>
        <v>5000</v>
      </c>
      <c r="R14" s="74"/>
      <c r="S14" s="75"/>
      <c r="T14" s="66">
        <f t="shared" si="13"/>
        <v>0</v>
      </c>
      <c r="U14" s="66">
        <f t="shared" si="14"/>
        <v>0</v>
      </c>
      <c r="V14" s="66">
        <f t="shared" si="15"/>
        <v>0</v>
      </c>
      <c r="W14" s="66">
        <f t="shared" si="16"/>
        <v>0</v>
      </c>
      <c r="X14" s="68">
        <v>1250.0</v>
      </c>
      <c r="Y14" s="66">
        <f t="shared" si="17"/>
        <v>0</v>
      </c>
      <c r="Z14" s="69">
        <f t="shared" si="18"/>
        <v>1250</v>
      </c>
      <c r="AA14" s="70" t="str">
        <f t="shared" si="19"/>
        <v>#DIV/0!</v>
      </c>
      <c r="AB14" s="71">
        <f t="shared" si="20"/>
        <v>-1250</v>
      </c>
      <c r="AC14" s="66">
        <f t="shared" si="21"/>
        <v>0</v>
      </c>
      <c r="AD14" s="78"/>
      <c r="AE14" s="73" t="str">
        <f t="shared" si="22"/>
        <v>#DIV/0!</v>
      </c>
      <c r="AF14" s="76"/>
      <c r="AG14" s="75">
        <v>500.0</v>
      </c>
      <c r="AH14" s="66">
        <f t="shared" si="23"/>
        <v>0</v>
      </c>
      <c r="AI14" s="66">
        <f t="shared" si="24"/>
        <v>0</v>
      </c>
      <c r="AJ14" s="66">
        <f t="shared" si="25"/>
        <v>0</v>
      </c>
      <c r="AK14" s="66">
        <f t="shared" si="26"/>
        <v>0</v>
      </c>
      <c r="AL14" s="68">
        <v>1250.0</v>
      </c>
      <c r="AM14" s="66">
        <f t="shared" si="27"/>
        <v>0</v>
      </c>
      <c r="AN14" s="69">
        <f t="shared" si="28"/>
        <v>1250</v>
      </c>
      <c r="AO14" s="70" t="str">
        <f t="shared" si="29"/>
        <v>#DIV/0!</v>
      </c>
      <c r="AP14" s="71">
        <f t="shared" si="30"/>
        <v>-1250</v>
      </c>
      <c r="AQ14" s="66">
        <f t="shared" si="31"/>
        <v>0</v>
      </c>
      <c r="AR14" s="78"/>
      <c r="AS14" s="73">
        <f t="shared" si="32"/>
        <v>0</v>
      </c>
    </row>
    <row r="15">
      <c r="A15" s="77" t="s">
        <v>39</v>
      </c>
      <c r="B15" s="65">
        <v>3500.0</v>
      </c>
      <c r="C15" s="65">
        <f t="shared" si="1"/>
        <v>3150</v>
      </c>
      <c r="D15" s="66">
        <f t="shared" si="2"/>
        <v>2837.837838</v>
      </c>
      <c r="E15" s="79">
        <v>3.0</v>
      </c>
      <c r="F15" s="66">
        <f t="shared" si="3"/>
        <v>1590</v>
      </c>
      <c r="G15" s="66">
        <f t="shared" si="4"/>
        <v>954</v>
      </c>
      <c r="H15" s="66">
        <f t="shared" si="5"/>
        <v>715.5</v>
      </c>
      <c r="I15" s="66">
        <f t="shared" si="6"/>
        <v>0</v>
      </c>
      <c r="J15" s="68">
        <v>1250.0</v>
      </c>
      <c r="K15" s="66">
        <f t="shared" si="7"/>
        <v>141.8918919</v>
      </c>
      <c r="L15" s="69">
        <f t="shared" si="8"/>
        <v>13164.90541</v>
      </c>
      <c r="M15" s="70">
        <f t="shared" si="9"/>
        <v>0.08094056604</v>
      </c>
      <c r="N15" s="71">
        <f t="shared" si="10"/>
        <v>1159.418919</v>
      </c>
      <c r="O15" s="66">
        <f t="shared" si="11"/>
        <v>14324.32432</v>
      </c>
      <c r="P15" s="78">
        <v>15900.0</v>
      </c>
      <c r="Q15" s="73">
        <f t="shared" si="12"/>
        <v>5300</v>
      </c>
      <c r="R15" s="74"/>
      <c r="S15" s="75"/>
      <c r="T15" s="66">
        <f t="shared" si="13"/>
        <v>0</v>
      </c>
      <c r="U15" s="66">
        <f t="shared" si="14"/>
        <v>0</v>
      </c>
      <c r="V15" s="66">
        <f t="shared" si="15"/>
        <v>0</v>
      </c>
      <c r="W15" s="66">
        <f t="shared" si="16"/>
        <v>0</v>
      </c>
      <c r="X15" s="68">
        <v>1250.0</v>
      </c>
      <c r="Y15" s="66">
        <f t="shared" si="17"/>
        <v>0</v>
      </c>
      <c r="Z15" s="69">
        <f t="shared" si="18"/>
        <v>1250</v>
      </c>
      <c r="AA15" s="70" t="str">
        <f t="shared" si="19"/>
        <v>#DIV/0!</v>
      </c>
      <c r="AB15" s="71">
        <f t="shared" si="20"/>
        <v>-1250</v>
      </c>
      <c r="AC15" s="66">
        <f t="shared" si="21"/>
        <v>0</v>
      </c>
      <c r="AD15" s="78"/>
      <c r="AE15" s="73" t="str">
        <f t="shared" si="22"/>
        <v>#DIV/0!</v>
      </c>
      <c r="AF15" s="76"/>
      <c r="AG15" s="75">
        <v>500.0</v>
      </c>
      <c r="AH15" s="66">
        <f t="shared" si="23"/>
        <v>0</v>
      </c>
      <c r="AI15" s="66">
        <f t="shared" si="24"/>
        <v>0</v>
      </c>
      <c r="AJ15" s="66">
        <f t="shared" si="25"/>
        <v>0</v>
      </c>
      <c r="AK15" s="66">
        <f t="shared" si="26"/>
        <v>0</v>
      </c>
      <c r="AL15" s="68">
        <v>1250.0</v>
      </c>
      <c r="AM15" s="66">
        <f t="shared" si="27"/>
        <v>0</v>
      </c>
      <c r="AN15" s="69">
        <f t="shared" si="28"/>
        <v>1250</v>
      </c>
      <c r="AO15" s="70" t="str">
        <f t="shared" si="29"/>
        <v>#DIV/0!</v>
      </c>
      <c r="AP15" s="71">
        <f t="shared" si="30"/>
        <v>-1250</v>
      </c>
      <c r="AQ15" s="66">
        <f t="shared" si="31"/>
        <v>0</v>
      </c>
      <c r="AR15" s="78"/>
      <c r="AS15" s="73">
        <f t="shared" si="32"/>
        <v>0</v>
      </c>
    </row>
    <row r="16">
      <c r="A16" s="80" t="s">
        <v>40</v>
      </c>
      <c r="B16" s="81">
        <f>B15+2000</f>
        <v>5500</v>
      </c>
      <c r="C16" s="65">
        <f t="shared" si="1"/>
        <v>4950</v>
      </c>
      <c r="D16" s="66">
        <f t="shared" si="2"/>
        <v>4459.459459</v>
      </c>
      <c r="E16" s="67">
        <v>1.0</v>
      </c>
      <c r="F16" s="66">
        <f t="shared" si="3"/>
        <v>1050</v>
      </c>
      <c r="G16" s="66">
        <f t="shared" si="4"/>
        <v>630</v>
      </c>
      <c r="H16" s="66">
        <f t="shared" si="5"/>
        <v>472.5</v>
      </c>
      <c r="I16" s="66">
        <f t="shared" si="6"/>
        <v>0</v>
      </c>
      <c r="J16" s="68">
        <v>1250.0</v>
      </c>
      <c r="K16" s="66">
        <f t="shared" si="7"/>
        <v>222.972973</v>
      </c>
      <c r="L16" s="69">
        <f t="shared" si="8"/>
        <v>8084.932432</v>
      </c>
      <c r="M16" s="70">
        <f t="shared" si="9"/>
        <v>0.1453071429</v>
      </c>
      <c r="N16" s="71">
        <f t="shared" si="10"/>
        <v>1374.527027</v>
      </c>
      <c r="O16" s="66">
        <f t="shared" si="11"/>
        <v>9459.459459</v>
      </c>
      <c r="P16" s="78">
        <v>10500.0</v>
      </c>
      <c r="Q16" s="73">
        <f t="shared" si="12"/>
        <v>10500</v>
      </c>
      <c r="R16" s="74"/>
      <c r="S16" s="75">
        <v>50.0</v>
      </c>
      <c r="T16" s="66">
        <f t="shared" si="13"/>
        <v>0</v>
      </c>
      <c r="U16" s="66">
        <f t="shared" si="14"/>
        <v>0</v>
      </c>
      <c r="V16" s="66">
        <f t="shared" si="15"/>
        <v>0</v>
      </c>
      <c r="W16" s="66">
        <f t="shared" si="16"/>
        <v>0</v>
      </c>
      <c r="X16" s="68">
        <v>1250.0</v>
      </c>
      <c r="Y16" s="66">
        <f t="shared" si="17"/>
        <v>0</v>
      </c>
      <c r="Z16" s="69">
        <f t="shared" si="18"/>
        <v>224222.973</v>
      </c>
      <c r="AA16" s="70" t="str">
        <f t="shared" si="19"/>
        <v>#DIV/0!</v>
      </c>
      <c r="AB16" s="71">
        <f t="shared" si="20"/>
        <v>-224222.973</v>
      </c>
      <c r="AC16" s="66">
        <f t="shared" si="21"/>
        <v>0</v>
      </c>
      <c r="AD16" s="78"/>
      <c r="AE16" s="73">
        <f t="shared" si="22"/>
        <v>0</v>
      </c>
      <c r="AF16" s="76"/>
      <c r="AG16" s="75">
        <v>500.0</v>
      </c>
      <c r="AH16" s="66">
        <f t="shared" si="23"/>
        <v>0</v>
      </c>
      <c r="AI16" s="66">
        <f t="shared" si="24"/>
        <v>0</v>
      </c>
      <c r="AJ16" s="66">
        <f t="shared" si="25"/>
        <v>0</v>
      </c>
      <c r="AK16" s="66">
        <f t="shared" si="26"/>
        <v>0</v>
      </c>
      <c r="AL16" s="68">
        <v>1250.0</v>
      </c>
      <c r="AM16" s="66">
        <f t="shared" si="27"/>
        <v>0</v>
      </c>
      <c r="AN16" s="69">
        <f t="shared" si="28"/>
        <v>1250</v>
      </c>
      <c r="AO16" s="70" t="str">
        <f t="shared" si="29"/>
        <v>#DIV/0!</v>
      </c>
      <c r="AP16" s="71">
        <f t="shared" si="30"/>
        <v>-1250</v>
      </c>
      <c r="AQ16" s="66">
        <f t="shared" si="31"/>
        <v>0</v>
      </c>
      <c r="AR16" s="78"/>
      <c r="AS16" s="73">
        <f t="shared" si="32"/>
        <v>0</v>
      </c>
    </row>
    <row r="17">
      <c r="A17" s="77" t="s">
        <v>41</v>
      </c>
      <c r="B17" s="82">
        <f>B5+500</f>
        <v>3700</v>
      </c>
      <c r="C17" s="65">
        <f t="shared" si="1"/>
        <v>3330</v>
      </c>
      <c r="D17" s="66">
        <f t="shared" si="2"/>
        <v>3000</v>
      </c>
      <c r="E17" s="67">
        <v>5.0</v>
      </c>
      <c r="F17" s="66">
        <f t="shared" si="3"/>
        <v>2700</v>
      </c>
      <c r="G17" s="66">
        <f t="shared" si="4"/>
        <v>1620</v>
      </c>
      <c r="H17" s="66">
        <f t="shared" si="5"/>
        <v>1215</v>
      </c>
      <c r="I17" s="66">
        <f t="shared" si="6"/>
        <v>0</v>
      </c>
      <c r="J17" s="68">
        <v>1250.0</v>
      </c>
      <c r="K17" s="66">
        <f t="shared" si="7"/>
        <v>150</v>
      </c>
      <c r="L17" s="69">
        <f t="shared" si="8"/>
        <v>21935</v>
      </c>
      <c r="M17" s="70">
        <f t="shared" si="9"/>
        <v>0.09822777778</v>
      </c>
      <c r="N17" s="71">
        <f t="shared" si="10"/>
        <v>2389.324324</v>
      </c>
      <c r="O17" s="66">
        <f t="shared" si="11"/>
        <v>24324.32432</v>
      </c>
      <c r="P17" s="78">
        <v>27000.0</v>
      </c>
      <c r="Q17" s="73">
        <f t="shared" si="12"/>
        <v>5400</v>
      </c>
      <c r="R17" s="74"/>
      <c r="S17" s="75">
        <v>50.0</v>
      </c>
      <c r="T17" s="66">
        <f t="shared" si="13"/>
        <v>29133</v>
      </c>
      <c r="U17" s="66">
        <f t="shared" si="14"/>
        <v>14940</v>
      </c>
      <c r="V17" s="66">
        <f t="shared" si="15"/>
        <v>11205</v>
      </c>
      <c r="W17" s="66">
        <f t="shared" si="16"/>
        <v>4482</v>
      </c>
      <c r="X17" s="68">
        <v>1250.0</v>
      </c>
      <c r="Y17" s="66">
        <f t="shared" si="17"/>
        <v>0</v>
      </c>
      <c r="Z17" s="69">
        <f t="shared" si="18"/>
        <v>211010</v>
      </c>
      <c r="AA17" s="70">
        <f t="shared" si="19"/>
        <v>0.05935301205</v>
      </c>
      <c r="AB17" s="71">
        <f t="shared" si="20"/>
        <v>13314.32432</v>
      </c>
      <c r="AC17" s="66">
        <f t="shared" si="21"/>
        <v>224324.3243</v>
      </c>
      <c r="AD17" s="78">
        <v>249000.0</v>
      </c>
      <c r="AE17" s="73">
        <f t="shared" si="22"/>
        <v>4980</v>
      </c>
      <c r="AF17" s="76"/>
      <c r="AG17" s="75">
        <v>500.0</v>
      </c>
      <c r="AH17" s="66">
        <f t="shared" si="23"/>
        <v>0</v>
      </c>
      <c r="AI17" s="66">
        <f t="shared" si="24"/>
        <v>0</v>
      </c>
      <c r="AJ17" s="66">
        <f t="shared" si="25"/>
        <v>0</v>
      </c>
      <c r="AK17" s="66">
        <f t="shared" si="26"/>
        <v>0</v>
      </c>
      <c r="AL17" s="68">
        <v>1250.0</v>
      </c>
      <c r="AM17" s="66">
        <f t="shared" si="27"/>
        <v>0</v>
      </c>
      <c r="AN17" s="69">
        <f t="shared" si="28"/>
        <v>1250</v>
      </c>
      <c r="AO17" s="70" t="str">
        <f t="shared" si="29"/>
        <v>#DIV/0!</v>
      </c>
      <c r="AP17" s="71">
        <f t="shared" si="30"/>
        <v>-1250</v>
      </c>
      <c r="AQ17" s="66">
        <f t="shared" si="31"/>
        <v>0</v>
      </c>
      <c r="AR17" s="78"/>
      <c r="AS17" s="73">
        <f t="shared" si="32"/>
        <v>0</v>
      </c>
    </row>
    <row r="18">
      <c r="A18" s="77" t="s">
        <v>42</v>
      </c>
      <c r="B18" s="82">
        <f>B5+1000</f>
        <v>4200</v>
      </c>
      <c r="C18" s="65">
        <f t="shared" si="1"/>
        <v>3780</v>
      </c>
      <c r="D18" s="66">
        <f t="shared" si="2"/>
        <v>3405.405405</v>
      </c>
      <c r="E18" s="79">
        <v>5.0</v>
      </c>
      <c r="F18" s="66">
        <f t="shared" si="3"/>
        <v>3250</v>
      </c>
      <c r="G18" s="66">
        <f t="shared" si="4"/>
        <v>1950</v>
      </c>
      <c r="H18" s="66">
        <f t="shared" si="5"/>
        <v>1462.5</v>
      </c>
      <c r="I18" s="66">
        <f t="shared" si="6"/>
        <v>0</v>
      </c>
      <c r="J18" s="68">
        <v>1250.0</v>
      </c>
      <c r="K18" s="66">
        <f t="shared" si="7"/>
        <v>170.2702703</v>
      </c>
      <c r="L18" s="69">
        <f t="shared" si="8"/>
        <v>25109.7973</v>
      </c>
      <c r="M18" s="70">
        <f t="shared" si="9"/>
        <v>0.1424038462</v>
      </c>
      <c r="N18" s="71">
        <f t="shared" si="10"/>
        <v>4169.481982</v>
      </c>
      <c r="O18" s="66">
        <f t="shared" si="11"/>
        <v>29279.27928</v>
      </c>
      <c r="P18" s="78">
        <v>32500.0</v>
      </c>
      <c r="Q18" s="73">
        <f t="shared" si="12"/>
        <v>6500</v>
      </c>
      <c r="R18" s="74"/>
      <c r="S18" s="75">
        <v>50.0</v>
      </c>
      <c r="T18" s="66">
        <f t="shared" si="13"/>
        <v>33345</v>
      </c>
      <c r="U18" s="66">
        <f t="shared" si="14"/>
        <v>17100</v>
      </c>
      <c r="V18" s="66">
        <f t="shared" si="15"/>
        <v>12825</v>
      </c>
      <c r="W18" s="66">
        <f t="shared" si="16"/>
        <v>5130</v>
      </c>
      <c r="X18" s="68">
        <v>1250.0</v>
      </c>
      <c r="Y18" s="66">
        <f t="shared" si="17"/>
        <v>0</v>
      </c>
      <c r="Z18" s="69">
        <f t="shared" si="18"/>
        <v>239920.2703</v>
      </c>
      <c r="AA18" s="70">
        <f t="shared" si="19"/>
        <v>0.06557368421</v>
      </c>
      <c r="AB18" s="71">
        <f t="shared" si="20"/>
        <v>16836.48649</v>
      </c>
      <c r="AC18" s="66">
        <f t="shared" si="21"/>
        <v>256756.7568</v>
      </c>
      <c r="AD18" s="78">
        <v>285000.0</v>
      </c>
      <c r="AE18" s="73">
        <f t="shared" si="22"/>
        <v>5700</v>
      </c>
      <c r="AF18" s="76"/>
      <c r="AG18" s="75">
        <v>500.0</v>
      </c>
      <c r="AH18" s="66">
        <f t="shared" si="23"/>
        <v>0</v>
      </c>
      <c r="AI18" s="66">
        <f t="shared" si="24"/>
        <v>0</v>
      </c>
      <c r="AJ18" s="66">
        <f t="shared" si="25"/>
        <v>0</v>
      </c>
      <c r="AK18" s="66">
        <f t="shared" si="26"/>
        <v>0</v>
      </c>
      <c r="AL18" s="68">
        <v>1250.0</v>
      </c>
      <c r="AM18" s="66">
        <f t="shared" si="27"/>
        <v>0</v>
      </c>
      <c r="AN18" s="69">
        <f t="shared" si="28"/>
        <v>1250</v>
      </c>
      <c r="AO18" s="70" t="str">
        <f t="shared" si="29"/>
        <v>#DIV/0!</v>
      </c>
      <c r="AP18" s="71">
        <f t="shared" si="30"/>
        <v>-1250</v>
      </c>
      <c r="AQ18" s="66">
        <f t="shared" si="31"/>
        <v>0</v>
      </c>
      <c r="AR18" s="78"/>
      <c r="AS18" s="73">
        <f t="shared" si="32"/>
        <v>0</v>
      </c>
    </row>
    <row r="19">
      <c r="A19" s="77" t="s">
        <v>43</v>
      </c>
      <c r="B19" s="65">
        <v>35000.0</v>
      </c>
      <c r="C19" s="65">
        <f t="shared" si="1"/>
        <v>31500</v>
      </c>
      <c r="D19" s="66">
        <f t="shared" si="2"/>
        <v>28378.37838</v>
      </c>
      <c r="E19" s="79">
        <v>1.0</v>
      </c>
      <c r="F19" s="66">
        <f t="shared" si="3"/>
        <v>5400</v>
      </c>
      <c r="G19" s="66">
        <f t="shared" si="4"/>
        <v>3240</v>
      </c>
      <c r="H19" s="66">
        <f t="shared" si="5"/>
        <v>2430</v>
      </c>
      <c r="I19" s="66">
        <f t="shared" si="6"/>
        <v>0</v>
      </c>
      <c r="J19" s="68">
        <v>1250.0</v>
      </c>
      <c r="K19" s="66">
        <f t="shared" si="7"/>
        <v>1418.918919</v>
      </c>
      <c r="L19" s="69">
        <f t="shared" si="8"/>
        <v>42117.2973</v>
      </c>
      <c r="M19" s="70">
        <f t="shared" si="9"/>
        <v>0.1342555556</v>
      </c>
      <c r="N19" s="71">
        <f t="shared" si="10"/>
        <v>6531.351351</v>
      </c>
      <c r="O19" s="66">
        <f t="shared" si="11"/>
        <v>48648.64865</v>
      </c>
      <c r="P19" s="78">
        <v>54000.0</v>
      </c>
      <c r="Q19" s="73">
        <f t="shared" si="12"/>
        <v>54000</v>
      </c>
      <c r="R19" s="74"/>
      <c r="S19" s="75"/>
      <c r="T19" s="66">
        <f t="shared" si="13"/>
        <v>0</v>
      </c>
      <c r="U19" s="66">
        <f t="shared" si="14"/>
        <v>0</v>
      </c>
      <c r="V19" s="66">
        <f t="shared" si="15"/>
        <v>0</v>
      </c>
      <c r="W19" s="66">
        <f t="shared" si="16"/>
        <v>0</v>
      </c>
      <c r="X19" s="68">
        <v>1250.0</v>
      </c>
      <c r="Y19" s="66">
        <f t="shared" si="17"/>
        <v>0</v>
      </c>
      <c r="Z19" s="69">
        <f t="shared" si="18"/>
        <v>1250</v>
      </c>
      <c r="AA19" s="70" t="str">
        <f t="shared" si="19"/>
        <v>#DIV/0!</v>
      </c>
      <c r="AB19" s="71">
        <f t="shared" si="20"/>
        <v>-1250</v>
      </c>
      <c r="AC19" s="66">
        <f t="shared" si="21"/>
        <v>0</v>
      </c>
      <c r="AD19" s="78"/>
      <c r="AE19" s="73" t="str">
        <f t="shared" si="22"/>
        <v>#DIV/0!</v>
      </c>
      <c r="AF19" s="76"/>
      <c r="AG19" s="75"/>
      <c r="AH19" s="66">
        <f t="shared" si="23"/>
        <v>0</v>
      </c>
      <c r="AI19" s="66">
        <f t="shared" si="24"/>
        <v>0</v>
      </c>
      <c r="AJ19" s="66">
        <f t="shared" si="25"/>
        <v>0</v>
      </c>
      <c r="AK19" s="66">
        <f t="shared" si="26"/>
        <v>0</v>
      </c>
      <c r="AL19" s="68">
        <v>1250.0</v>
      </c>
      <c r="AM19" s="66">
        <f t="shared" si="27"/>
        <v>0</v>
      </c>
      <c r="AN19" s="69">
        <f t="shared" si="28"/>
        <v>1250</v>
      </c>
      <c r="AO19" s="70" t="str">
        <f t="shared" si="29"/>
        <v>#DIV/0!</v>
      </c>
      <c r="AP19" s="71">
        <f t="shared" si="30"/>
        <v>-1250</v>
      </c>
      <c r="AQ19" s="66">
        <f t="shared" si="31"/>
        <v>0</v>
      </c>
      <c r="AR19" s="78"/>
      <c r="AS19" s="73" t="str">
        <f t="shared" si="32"/>
        <v>#DIV/0!</v>
      </c>
    </row>
    <row r="20">
      <c r="A20" s="84" t="s">
        <v>45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6"/>
      <c r="S20" s="87"/>
      <c r="T20" s="87"/>
      <c r="U20" s="87"/>
      <c r="V20" s="88"/>
      <c r="W20" s="88"/>
      <c r="X20" s="88"/>
      <c r="Y20" s="89"/>
      <c r="Z20" s="89"/>
      <c r="AA20" s="90"/>
      <c r="AB20" s="89"/>
      <c r="AC20" s="89"/>
      <c r="AD20" s="91"/>
      <c r="AE20" s="92"/>
      <c r="AF20" s="93"/>
      <c r="AG20" s="94"/>
      <c r="AH20" s="89" t="s">
        <v>46</v>
      </c>
      <c r="AI20" s="88"/>
      <c r="AJ20" s="88"/>
      <c r="AK20" s="88"/>
      <c r="AL20" s="88"/>
      <c r="AM20" s="89" t="s">
        <v>46</v>
      </c>
      <c r="AN20" s="89" t="s">
        <v>46</v>
      </c>
      <c r="AO20" s="90" t="e">
        <v>#DIV/0!</v>
      </c>
      <c r="AP20" s="89" t="s">
        <v>46</v>
      </c>
      <c r="AQ20" s="89" t="s">
        <v>46</v>
      </c>
      <c r="AR20" s="91"/>
      <c r="AS20" s="92"/>
      <c r="AT20" s="94"/>
      <c r="AU20" s="89" t="s">
        <v>46</v>
      </c>
      <c r="AV20" s="88"/>
      <c r="AW20" s="89" t="s">
        <v>46</v>
      </c>
      <c r="AX20" s="89" t="s">
        <v>46</v>
      </c>
      <c r="AY20" s="90" t="e">
        <v>#DIV/0!</v>
      </c>
      <c r="AZ20" s="89" t="s">
        <v>46</v>
      </c>
      <c r="BA20" s="89" t="s">
        <v>46</v>
      </c>
      <c r="BB20" s="91"/>
      <c r="BC20" s="94"/>
    </row>
    <row r="21" hidden="1">
      <c r="A21" s="95" t="s">
        <v>47</v>
      </c>
      <c r="B21" s="66">
        <f>B7*5+B13</f>
        <v>25200</v>
      </c>
      <c r="C21" s="65">
        <f t="shared" ref="C21:C26" si="33">B21*$C$4</f>
        <v>22680</v>
      </c>
      <c r="D21" s="66">
        <f t="shared" ref="D21:D26" si="34">C21/$D$4</f>
        <v>20432.43243</v>
      </c>
      <c r="E21" s="96">
        <v>1.0</v>
      </c>
      <c r="F21" s="66">
        <f t="shared" ref="F21:F26" si="35">P21*$F$3</f>
        <v>3700</v>
      </c>
      <c r="G21" s="66">
        <f t="shared" ref="G21:G26" si="36">P21*$G$3</f>
        <v>2220</v>
      </c>
      <c r="H21" s="66">
        <f t="shared" ref="H21:H26" si="37">P21*$H$3</f>
        <v>1665</v>
      </c>
      <c r="I21" s="66">
        <f t="shared" ref="I21:I26" si="38">P21*$I$3</f>
        <v>0</v>
      </c>
      <c r="J21" s="68">
        <v>1250.0</v>
      </c>
      <c r="K21" s="66">
        <f t="shared" ref="K21:K26" si="39">D21*$K$3</f>
        <v>1021.621622</v>
      </c>
      <c r="L21" s="69">
        <f t="shared" ref="L21:L26" si="40">(D21*E21)+F21+G21+H21+I21+J21+K21</f>
        <v>30289.05405</v>
      </c>
      <c r="M21" s="70">
        <f t="shared" ref="M21:M26" si="41">N21/O21</f>
        <v>0.09132837838</v>
      </c>
      <c r="N21" s="71">
        <f t="shared" ref="N21:N26" si="42">O21-L21</f>
        <v>3044.279279</v>
      </c>
      <c r="O21" s="66">
        <f t="shared" ref="O21:O26" si="43">P21/$O$4</f>
        <v>33333.33333</v>
      </c>
      <c r="P21" s="78">
        <v>37000.0</v>
      </c>
      <c r="Q21" s="73">
        <f t="shared" ref="Q21:Q26" si="44">P21/E21</f>
        <v>37000</v>
      </c>
      <c r="R21" s="74"/>
      <c r="S21" s="75"/>
      <c r="T21" s="66">
        <f t="shared" ref="T21:T23" si="45">AD21*$T$3</f>
        <v>0</v>
      </c>
      <c r="U21" s="66">
        <f t="shared" ref="U21:U23" si="46">AD21*$U$3</f>
        <v>0</v>
      </c>
      <c r="V21" s="66">
        <f t="shared" ref="V21:V23" si="47">AD21*$V$3</f>
        <v>0</v>
      </c>
      <c r="W21" s="66">
        <f t="shared" ref="W21:W23" si="48">AD21*$W$3</f>
        <v>0</v>
      </c>
      <c r="X21" s="68">
        <v>1250.0</v>
      </c>
      <c r="Y21" s="66">
        <f t="shared" ref="Y21:Y23" si="49">R21*$Y$3</f>
        <v>0</v>
      </c>
      <c r="Z21" s="69">
        <f t="shared" ref="Z21:Z23" si="50">(D21*S21)+T21+U21+V21+W21+X21+Y21</f>
        <v>1250</v>
      </c>
      <c r="AA21" s="70" t="str">
        <f t="shared" ref="AA21:AA23" si="51">AB21/AC21</f>
        <v>#DIV/0!</v>
      </c>
      <c r="AB21" s="71">
        <f t="shared" ref="AB21:AB23" si="52">AC21-Z21</f>
        <v>-1250</v>
      </c>
      <c r="AC21" s="66">
        <f t="shared" ref="AC21:AC23" si="53">AD21/$O$4</f>
        <v>0</v>
      </c>
      <c r="AD21" s="78"/>
      <c r="AE21" s="73" t="str">
        <f t="shared" ref="AE21:AE23" si="54">AD21/S21</f>
        <v>#DIV/0!</v>
      </c>
      <c r="AF21" s="76"/>
      <c r="AG21" s="75"/>
      <c r="AH21" s="66">
        <f t="shared" ref="AH21:AH23" si="55">AR21*$AH$3</f>
        <v>0</v>
      </c>
      <c r="AI21" s="66">
        <f t="shared" ref="AI21:AI23" si="56">AR21*$AI$3</f>
        <v>0</v>
      </c>
      <c r="AJ21" s="66">
        <f t="shared" ref="AJ21:AJ23" si="57">AR21*$AJ$3</f>
        <v>0</v>
      </c>
      <c r="AK21" s="66">
        <f t="shared" ref="AK21:AK23" si="58">AR21*$AK$3</f>
        <v>0</v>
      </c>
      <c r="AL21" s="68">
        <v>1250.0</v>
      </c>
      <c r="AM21" s="66">
        <f t="shared" ref="AM21:AM23" si="59">AF21*$AM$3</f>
        <v>0</v>
      </c>
      <c r="AN21" s="69">
        <f t="shared" ref="AN21:AN23" si="60">(R21*AG21)+AH21+AI21+AJ21+AK21+AL21+AM21</f>
        <v>1250</v>
      </c>
      <c r="AO21" s="70" t="str">
        <f t="shared" ref="AO21:AO23" si="61">AP21/AQ21</f>
        <v>#DIV/0!</v>
      </c>
      <c r="AP21" s="71">
        <f t="shared" ref="AP21:AP23" si="62">AQ21-AN21</f>
        <v>-1250</v>
      </c>
      <c r="AQ21" s="66">
        <f t="shared" ref="AQ21:AQ23" si="63">AR21/$O$4</f>
        <v>0</v>
      </c>
      <c r="AR21" s="78"/>
      <c r="AS21" s="73" t="str">
        <f t="shared" ref="AS21:AS23" si="64">AR21/AG21</f>
        <v>#DIV/0!</v>
      </c>
    </row>
    <row r="22" hidden="1">
      <c r="A22" s="95" t="s">
        <v>48</v>
      </c>
      <c r="B22" s="66">
        <f>B7*5+B13*2</f>
        <v>30900</v>
      </c>
      <c r="C22" s="65">
        <f t="shared" si="33"/>
        <v>27810</v>
      </c>
      <c r="D22" s="66">
        <f t="shared" si="34"/>
        <v>25054.05405</v>
      </c>
      <c r="E22" s="96">
        <v>1.0</v>
      </c>
      <c r="F22" s="66">
        <f t="shared" si="35"/>
        <v>4290</v>
      </c>
      <c r="G22" s="66">
        <f t="shared" si="36"/>
        <v>2574</v>
      </c>
      <c r="H22" s="66">
        <f t="shared" si="37"/>
        <v>1930.5</v>
      </c>
      <c r="I22" s="66">
        <f t="shared" si="38"/>
        <v>0</v>
      </c>
      <c r="J22" s="68">
        <v>1250.0</v>
      </c>
      <c r="K22" s="66">
        <f t="shared" si="39"/>
        <v>1252.702703</v>
      </c>
      <c r="L22" s="69">
        <f t="shared" si="40"/>
        <v>36351.25676</v>
      </c>
      <c r="M22" s="70">
        <f t="shared" si="41"/>
        <v>0.05944300699</v>
      </c>
      <c r="N22" s="71">
        <f t="shared" si="42"/>
        <v>2297.391892</v>
      </c>
      <c r="O22" s="66">
        <f t="shared" si="43"/>
        <v>38648.64865</v>
      </c>
      <c r="P22" s="78">
        <v>42900.0</v>
      </c>
      <c r="Q22" s="73">
        <f t="shared" si="44"/>
        <v>42900</v>
      </c>
      <c r="R22" s="74"/>
      <c r="S22" s="75"/>
      <c r="T22" s="66">
        <f t="shared" si="45"/>
        <v>0</v>
      </c>
      <c r="U22" s="66">
        <f t="shared" si="46"/>
        <v>0</v>
      </c>
      <c r="V22" s="66">
        <f t="shared" si="47"/>
        <v>0</v>
      </c>
      <c r="W22" s="66">
        <f t="shared" si="48"/>
        <v>0</v>
      </c>
      <c r="X22" s="68">
        <v>1250.0</v>
      </c>
      <c r="Y22" s="66">
        <f t="shared" si="49"/>
        <v>0</v>
      </c>
      <c r="Z22" s="69">
        <f t="shared" si="50"/>
        <v>1250</v>
      </c>
      <c r="AA22" s="70" t="str">
        <f t="shared" si="51"/>
        <v>#DIV/0!</v>
      </c>
      <c r="AB22" s="71">
        <f t="shared" si="52"/>
        <v>-1250</v>
      </c>
      <c r="AC22" s="66">
        <f t="shared" si="53"/>
        <v>0</v>
      </c>
      <c r="AD22" s="78"/>
      <c r="AE22" s="73" t="str">
        <f t="shared" si="54"/>
        <v>#DIV/0!</v>
      </c>
      <c r="AF22" s="76"/>
      <c r="AG22" s="75"/>
      <c r="AH22" s="66">
        <f t="shared" si="55"/>
        <v>0</v>
      </c>
      <c r="AI22" s="66">
        <f t="shared" si="56"/>
        <v>0</v>
      </c>
      <c r="AJ22" s="66">
        <f t="shared" si="57"/>
        <v>0</v>
      </c>
      <c r="AK22" s="66">
        <f t="shared" si="58"/>
        <v>0</v>
      </c>
      <c r="AL22" s="68">
        <v>1250.0</v>
      </c>
      <c r="AM22" s="66">
        <f t="shared" si="59"/>
        <v>0</v>
      </c>
      <c r="AN22" s="69">
        <f t="shared" si="60"/>
        <v>1250</v>
      </c>
      <c r="AO22" s="70" t="str">
        <f t="shared" si="61"/>
        <v>#DIV/0!</v>
      </c>
      <c r="AP22" s="71">
        <f t="shared" si="62"/>
        <v>-1250</v>
      </c>
      <c r="AQ22" s="66">
        <f t="shared" si="63"/>
        <v>0</v>
      </c>
      <c r="AR22" s="78"/>
      <c r="AS22" s="73" t="str">
        <f t="shared" si="64"/>
        <v>#DIV/0!</v>
      </c>
    </row>
    <row r="23" hidden="1">
      <c r="A23" s="97" t="s">
        <v>49</v>
      </c>
      <c r="B23" s="66">
        <f>B8+B13</f>
        <v>30700</v>
      </c>
      <c r="C23" s="65">
        <f t="shared" si="33"/>
        <v>27630</v>
      </c>
      <c r="D23" s="66">
        <f t="shared" si="34"/>
        <v>24891.89189</v>
      </c>
      <c r="E23" s="96">
        <v>1.0</v>
      </c>
      <c r="F23" s="66">
        <f t="shared" si="35"/>
        <v>0</v>
      </c>
      <c r="G23" s="66">
        <f t="shared" si="36"/>
        <v>0</v>
      </c>
      <c r="H23" s="66">
        <f t="shared" si="37"/>
        <v>0</v>
      </c>
      <c r="I23" s="66">
        <f t="shared" si="38"/>
        <v>0</v>
      </c>
      <c r="J23" s="68">
        <v>1250.0</v>
      </c>
      <c r="K23" s="66">
        <f t="shared" si="39"/>
        <v>1244.594595</v>
      </c>
      <c r="L23" s="69">
        <f t="shared" si="40"/>
        <v>27386.48649</v>
      </c>
      <c r="M23" s="70" t="str">
        <f t="shared" si="41"/>
        <v>#DIV/0!</v>
      </c>
      <c r="N23" s="71">
        <f t="shared" si="42"/>
        <v>-27386.48649</v>
      </c>
      <c r="O23" s="66">
        <f t="shared" si="43"/>
        <v>0</v>
      </c>
      <c r="P23" s="78"/>
      <c r="Q23" s="73">
        <f t="shared" si="44"/>
        <v>0</v>
      </c>
      <c r="R23" s="74"/>
      <c r="S23" s="75"/>
      <c r="T23" s="66">
        <f t="shared" si="45"/>
        <v>0</v>
      </c>
      <c r="U23" s="66">
        <f t="shared" si="46"/>
        <v>0</v>
      </c>
      <c r="V23" s="66">
        <f t="shared" si="47"/>
        <v>0</v>
      </c>
      <c r="W23" s="66">
        <f t="shared" si="48"/>
        <v>0</v>
      </c>
      <c r="X23" s="68">
        <v>1250.0</v>
      </c>
      <c r="Y23" s="66">
        <f t="shared" si="49"/>
        <v>0</v>
      </c>
      <c r="Z23" s="69">
        <f t="shared" si="50"/>
        <v>1250</v>
      </c>
      <c r="AA23" s="70" t="str">
        <f t="shared" si="51"/>
        <v>#DIV/0!</v>
      </c>
      <c r="AB23" s="71">
        <f t="shared" si="52"/>
        <v>-1250</v>
      </c>
      <c r="AC23" s="66">
        <f t="shared" si="53"/>
        <v>0</v>
      </c>
      <c r="AD23" s="78"/>
      <c r="AE23" s="73" t="str">
        <f t="shared" si="54"/>
        <v>#DIV/0!</v>
      </c>
      <c r="AF23" s="76"/>
      <c r="AG23" s="75"/>
      <c r="AH23" s="66">
        <f t="shared" si="55"/>
        <v>0</v>
      </c>
      <c r="AI23" s="66">
        <f t="shared" si="56"/>
        <v>0</v>
      </c>
      <c r="AJ23" s="66">
        <f t="shared" si="57"/>
        <v>0</v>
      </c>
      <c r="AK23" s="66">
        <f t="shared" si="58"/>
        <v>0</v>
      </c>
      <c r="AL23" s="68">
        <v>1250.0</v>
      </c>
      <c r="AM23" s="66">
        <f t="shared" si="59"/>
        <v>0</v>
      </c>
      <c r="AN23" s="69">
        <f t="shared" si="60"/>
        <v>1250</v>
      </c>
      <c r="AO23" s="70" t="str">
        <f t="shared" si="61"/>
        <v>#DIV/0!</v>
      </c>
      <c r="AP23" s="71">
        <f t="shared" si="62"/>
        <v>-1250</v>
      </c>
      <c r="AQ23" s="66">
        <f t="shared" si="63"/>
        <v>0</v>
      </c>
      <c r="AR23" s="78"/>
      <c r="AS23" s="73" t="str">
        <f t="shared" si="64"/>
        <v>#DIV/0!</v>
      </c>
    </row>
    <row r="24" hidden="1">
      <c r="A24" s="97" t="s">
        <v>50</v>
      </c>
      <c r="B24" s="66">
        <f>B8*2+B13*2</f>
        <v>61400</v>
      </c>
      <c r="C24" s="65">
        <f t="shared" si="33"/>
        <v>55260</v>
      </c>
      <c r="D24" s="66">
        <f t="shared" si="34"/>
        <v>49783.78378</v>
      </c>
      <c r="E24" s="96">
        <v>1.0</v>
      </c>
      <c r="F24" s="66">
        <f t="shared" si="35"/>
        <v>0</v>
      </c>
      <c r="G24" s="66">
        <f t="shared" si="36"/>
        <v>0</v>
      </c>
      <c r="H24" s="66">
        <f t="shared" si="37"/>
        <v>0</v>
      </c>
      <c r="I24" s="66">
        <f t="shared" si="38"/>
        <v>0</v>
      </c>
      <c r="J24" s="68">
        <v>1250.0</v>
      </c>
      <c r="K24" s="66">
        <f t="shared" si="39"/>
        <v>2489.189189</v>
      </c>
      <c r="L24" s="69">
        <f t="shared" si="40"/>
        <v>53522.97297</v>
      </c>
      <c r="M24" s="70" t="str">
        <f t="shared" si="41"/>
        <v>#DIV/0!</v>
      </c>
      <c r="N24" s="71">
        <f t="shared" si="42"/>
        <v>-53522.97297</v>
      </c>
      <c r="O24" s="66">
        <f t="shared" si="43"/>
        <v>0</v>
      </c>
      <c r="P24" s="78"/>
      <c r="Q24" s="73">
        <f t="shared" si="44"/>
        <v>0</v>
      </c>
      <c r="R24" s="74"/>
      <c r="S24" s="75"/>
      <c r="T24" s="66"/>
      <c r="U24" s="66"/>
      <c r="V24" s="66"/>
      <c r="W24" s="66"/>
      <c r="X24" s="68"/>
      <c r="Y24" s="66"/>
      <c r="Z24" s="69"/>
      <c r="AA24" s="70"/>
      <c r="AB24" s="71"/>
      <c r="AC24" s="66"/>
      <c r="AD24" s="78"/>
      <c r="AE24" s="73"/>
      <c r="AF24" s="76"/>
      <c r="AG24" s="75"/>
      <c r="AH24" s="66"/>
      <c r="AI24" s="66"/>
      <c r="AJ24" s="66"/>
      <c r="AK24" s="66"/>
      <c r="AL24" s="68"/>
      <c r="AM24" s="66"/>
      <c r="AN24" s="69"/>
      <c r="AO24" s="70"/>
      <c r="AP24" s="71"/>
      <c r="AQ24" s="66"/>
      <c r="AR24" s="78"/>
      <c r="AS24" s="73"/>
    </row>
    <row r="25" hidden="1">
      <c r="A25" s="97" t="s">
        <v>51</v>
      </c>
      <c r="B25" s="66">
        <f>B8*4+B13</f>
        <v>105700</v>
      </c>
      <c r="C25" s="65">
        <f t="shared" si="33"/>
        <v>95130</v>
      </c>
      <c r="D25" s="66">
        <f t="shared" si="34"/>
        <v>85702.7027</v>
      </c>
      <c r="E25" s="96">
        <v>1.0</v>
      </c>
      <c r="F25" s="66">
        <f t="shared" si="35"/>
        <v>0</v>
      </c>
      <c r="G25" s="66">
        <f t="shared" si="36"/>
        <v>0</v>
      </c>
      <c r="H25" s="66">
        <f t="shared" si="37"/>
        <v>0</v>
      </c>
      <c r="I25" s="66">
        <f t="shared" si="38"/>
        <v>0</v>
      </c>
      <c r="J25" s="68">
        <v>1250.0</v>
      </c>
      <c r="K25" s="66">
        <f t="shared" si="39"/>
        <v>4285.135135</v>
      </c>
      <c r="L25" s="69">
        <f t="shared" si="40"/>
        <v>91237.83784</v>
      </c>
      <c r="M25" s="70" t="str">
        <f t="shared" si="41"/>
        <v>#DIV/0!</v>
      </c>
      <c r="N25" s="71">
        <f t="shared" si="42"/>
        <v>-91237.83784</v>
      </c>
      <c r="O25" s="66">
        <f t="shared" si="43"/>
        <v>0</v>
      </c>
      <c r="P25" s="78"/>
      <c r="Q25" s="73">
        <f t="shared" si="44"/>
        <v>0</v>
      </c>
      <c r="R25" s="74"/>
      <c r="S25" s="75"/>
      <c r="T25" s="66"/>
      <c r="U25" s="66"/>
      <c r="V25" s="66"/>
      <c r="W25" s="66"/>
      <c r="X25" s="68"/>
      <c r="Y25" s="66"/>
      <c r="Z25" s="69"/>
      <c r="AA25" s="70"/>
      <c r="AB25" s="71"/>
      <c r="AC25" s="66"/>
      <c r="AD25" s="78"/>
      <c r="AE25" s="73"/>
      <c r="AF25" s="76"/>
      <c r="AG25" s="75"/>
      <c r="AH25" s="66"/>
      <c r="AI25" s="66"/>
      <c r="AJ25" s="66"/>
      <c r="AK25" s="66"/>
      <c r="AL25" s="68"/>
      <c r="AM25" s="66"/>
      <c r="AN25" s="69"/>
      <c r="AO25" s="70"/>
      <c r="AP25" s="71"/>
      <c r="AQ25" s="66"/>
      <c r="AR25" s="78"/>
      <c r="AS25" s="73"/>
    </row>
    <row r="26" hidden="1">
      <c r="A26" s="97" t="s">
        <v>52</v>
      </c>
      <c r="B26" s="66">
        <f>B8*4+B13*2</f>
        <v>111400</v>
      </c>
      <c r="C26" s="65">
        <f t="shared" si="33"/>
        <v>100260</v>
      </c>
      <c r="D26" s="66">
        <f t="shared" si="34"/>
        <v>90324.32432</v>
      </c>
      <c r="E26" s="96">
        <v>1.0</v>
      </c>
      <c r="F26" s="66">
        <f t="shared" si="35"/>
        <v>0</v>
      </c>
      <c r="G26" s="66">
        <f t="shared" si="36"/>
        <v>0</v>
      </c>
      <c r="H26" s="66">
        <f t="shared" si="37"/>
        <v>0</v>
      </c>
      <c r="I26" s="66">
        <f t="shared" si="38"/>
        <v>0</v>
      </c>
      <c r="J26" s="68">
        <v>1250.0</v>
      </c>
      <c r="K26" s="66">
        <f t="shared" si="39"/>
        <v>4516.216216</v>
      </c>
      <c r="L26" s="69">
        <f t="shared" si="40"/>
        <v>96090.54054</v>
      </c>
      <c r="M26" s="70" t="str">
        <f t="shared" si="41"/>
        <v>#DIV/0!</v>
      </c>
      <c r="N26" s="71">
        <f t="shared" si="42"/>
        <v>-96090.54054</v>
      </c>
      <c r="O26" s="66">
        <f t="shared" si="43"/>
        <v>0</v>
      </c>
      <c r="P26" s="78"/>
      <c r="Q26" s="73">
        <f t="shared" si="44"/>
        <v>0</v>
      </c>
      <c r="R26" s="74"/>
      <c r="S26" s="75"/>
      <c r="T26" s="66"/>
      <c r="U26" s="66"/>
      <c r="V26" s="66"/>
      <c r="W26" s="66"/>
      <c r="X26" s="68"/>
      <c r="Y26" s="66"/>
      <c r="Z26" s="69"/>
      <c r="AA26" s="70"/>
      <c r="AB26" s="71"/>
      <c r="AC26" s="66"/>
      <c r="AD26" s="78"/>
      <c r="AE26" s="73"/>
      <c r="AF26" s="76"/>
      <c r="AG26" s="75"/>
      <c r="AH26" s="66"/>
      <c r="AI26" s="66"/>
      <c r="AJ26" s="66"/>
      <c r="AK26" s="66"/>
      <c r="AL26" s="68"/>
      <c r="AM26" s="66"/>
      <c r="AN26" s="69"/>
      <c r="AO26" s="70"/>
      <c r="AP26" s="71"/>
      <c r="AQ26" s="66"/>
      <c r="AR26" s="78"/>
      <c r="AS26" s="73"/>
    </row>
    <row r="27" hidden="1">
      <c r="A27" s="97"/>
      <c r="B27" s="66"/>
      <c r="C27" s="65"/>
      <c r="D27" s="66"/>
      <c r="E27" s="96"/>
      <c r="F27" s="66"/>
      <c r="G27" s="66"/>
      <c r="H27" s="66"/>
      <c r="I27" s="66"/>
      <c r="J27" s="68"/>
      <c r="K27" s="66"/>
      <c r="L27" s="69"/>
      <c r="M27" s="70"/>
      <c r="N27" s="71"/>
      <c r="O27" s="66"/>
      <c r="P27" s="78"/>
      <c r="Q27" s="73"/>
      <c r="R27" s="74"/>
      <c r="S27" s="75"/>
      <c r="T27" s="66"/>
      <c r="U27" s="66"/>
      <c r="V27" s="66"/>
      <c r="W27" s="66"/>
      <c r="X27" s="68"/>
      <c r="Y27" s="66"/>
      <c r="Z27" s="69"/>
      <c r="AA27" s="70"/>
      <c r="AB27" s="71"/>
      <c r="AC27" s="66"/>
      <c r="AD27" s="78"/>
      <c r="AE27" s="73"/>
      <c r="AF27" s="76"/>
      <c r="AG27" s="75"/>
      <c r="AH27" s="66"/>
      <c r="AI27" s="66"/>
      <c r="AJ27" s="66"/>
      <c r="AK27" s="66"/>
      <c r="AL27" s="68"/>
      <c r="AM27" s="66"/>
      <c r="AN27" s="69"/>
      <c r="AO27" s="70"/>
      <c r="AP27" s="71"/>
      <c r="AQ27" s="66"/>
      <c r="AR27" s="78"/>
      <c r="AS27" s="73"/>
    </row>
    <row r="28" hidden="1">
      <c r="A28" s="97" t="s">
        <v>53</v>
      </c>
      <c r="B28" s="66">
        <f>B12+B13</f>
        <v>78700</v>
      </c>
      <c r="C28" s="65">
        <f t="shared" ref="C28:C31" si="65">B28*$C$4</f>
        <v>70830</v>
      </c>
      <c r="D28" s="66">
        <f t="shared" ref="D28:D31" si="66">C28/$D$4</f>
        <v>63810.81081</v>
      </c>
      <c r="E28" s="96">
        <v>1.0</v>
      </c>
      <c r="F28" s="66">
        <f t="shared" ref="F28:F31" si="67">P28*$F$3</f>
        <v>10600</v>
      </c>
      <c r="G28" s="66">
        <f t="shared" ref="G28:G31" si="68">P28*$G$3</f>
        <v>6360</v>
      </c>
      <c r="H28" s="66">
        <f t="shared" ref="H28:H31" si="69">P28*$H$3</f>
        <v>4770</v>
      </c>
      <c r="I28" s="66">
        <f t="shared" ref="I28:I31" si="70">P28*$I$3</f>
        <v>0</v>
      </c>
      <c r="J28" s="68">
        <v>1250.0</v>
      </c>
      <c r="K28" s="66">
        <f t="shared" ref="K28:K31" si="71">D28*$K$3</f>
        <v>3190.540541</v>
      </c>
      <c r="L28" s="69">
        <f t="shared" ref="L28:L31" si="72">(D28*E28)+F28+G28+H28+I28+J28+K28</f>
        <v>89981.35135</v>
      </c>
      <c r="M28" s="70">
        <f t="shared" ref="M28:M31" si="73">N28/O28</f>
        <v>0.05774245283</v>
      </c>
      <c r="N28" s="71">
        <f t="shared" ref="N28:N31" si="74">O28-L28</f>
        <v>5514.144144</v>
      </c>
      <c r="O28" s="66">
        <f t="shared" ref="O28:O31" si="75">P28/$O$4</f>
        <v>95495.4955</v>
      </c>
      <c r="P28" s="78">
        <v>106000.0</v>
      </c>
      <c r="Q28" s="73">
        <f t="shared" ref="Q28:Q31" si="76">P28/E28</f>
        <v>106000</v>
      </c>
      <c r="R28" s="74"/>
      <c r="S28" s="75"/>
      <c r="T28" s="66">
        <f t="shared" ref="T28:T31" si="77">AD28*$T$3</f>
        <v>0</v>
      </c>
      <c r="U28" s="66">
        <f t="shared" ref="U28:U31" si="78">AD28*$U$3</f>
        <v>0</v>
      </c>
      <c r="V28" s="66">
        <f t="shared" ref="V28:V31" si="79">AD28*$V$3</f>
        <v>0</v>
      </c>
      <c r="W28" s="66">
        <f t="shared" ref="W28:W31" si="80">AD28*$W$3</f>
        <v>0</v>
      </c>
      <c r="X28" s="68">
        <v>1250.0</v>
      </c>
      <c r="Y28" s="66">
        <f t="shared" ref="Y28:Y31" si="81">R28*$Y$3</f>
        <v>0</v>
      </c>
      <c r="Z28" s="69">
        <f t="shared" ref="Z28:Z31" si="82">(D28*S28)+T28+U28+V28+W28+X28+Y28</f>
        <v>1250</v>
      </c>
      <c r="AA28" s="70" t="str">
        <f t="shared" ref="AA28:AA31" si="83">AB28/AC28</f>
        <v>#DIV/0!</v>
      </c>
      <c r="AB28" s="71">
        <f t="shared" ref="AB28:AB31" si="84">AC28-Z28</f>
        <v>-1250</v>
      </c>
      <c r="AC28" s="66">
        <f t="shared" ref="AC28:AC31" si="85">AD28/$O$4</f>
        <v>0</v>
      </c>
      <c r="AD28" s="78"/>
      <c r="AE28" s="73" t="str">
        <f t="shared" ref="AE28:AE31" si="86">AD28/S28</f>
        <v>#DIV/0!</v>
      </c>
      <c r="AF28" s="76"/>
      <c r="AG28" s="75"/>
      <c r="AH28" s="66">
        <f t="shared" ref="AH28:AH31" si="87">AR28*$AH$3</f>
        <v>0</v>
      </c>
      <c r="AI28" s="66">
        <f t="shared" ref="AI28:AI31" si="88">AR28*$AI$3</f>
        <v>0</v>
      </c>
      <c r="AJ28" s="66">
        <f t="shared" ref="AJ28:AJ31" si="89">AR28*$AJ$3</f>
        <v>0</v>
      </c>
      <c r="AK28" s="66">
        <f t="shared" ref="AK28:AK31" si="90">AR28*$AK$3</f>
        <v>0</v>
      </c>
      <c r="AL28" s="68">
        <v>1250.0</v>
      </c>
      <c r="AM28" s="66">
        <f t="shared" ref="AM28:AM31" si="91">AF28*$AM$3</f>
        <v>0</v>
      </c>
      <c r="AN28" s="69">
        <f t="shared" ref="AN28:AN31" si="92">(R28*AG28)+AH28+AI28+AJ28+AK28+AL28+AM28</f>
        <v>1250</v>
      </c>
      <c r="AO28" s="70" t="str">
        <f t="shared" ref="AO28:AO31" si="93">AP28/AQ28</f>
        <v>#DIV/0!</v>
      </c>
      <c r="AP28" s="71">
        <f t="shared" ref="AP28:AP31" si="94">AQ28-AN28</f>
        <v>-1250</v>
      </c>
      <c r="AQ28" s="66">
        <f t="shared" ref="AQ28:AQ31" si="95">AR28/$O$4</f>
        <v>0</v>
      </c>
      <c r="AR28" s="78"/>
      <c r="AS28" s="73" t="str">
        <f t="shared" ref="AS28:AS31" si="96">AR28/AG28</f>
        <v>#DIV/0!</v>
      </c>
    </row>
    <row r="29" hidden="1">
      <c r="A29" s="97" t="s">
        <v>54</v>
      </c>
      <c r="B29" s="66">
        <f>B12*2+B13*2</f>
        <v>157400</v>
      </c>
      <c r="C29" s="65">
        <f t="shared" si="65"/>
        <v>141660</v>
      </c>
      <c r="D29" s="66">
        <f t="shared" si="66"/>
        <v>127621.6216</v>
      </c>
      <c r="E29" s="96">
        <v>1.0</v>
      </c>
      <c r="F29" s="66">
        <f t="shared" si="67"/>
        <v>20600</v>
      </c>
      <c r="G29" s="66">
        <f t="shared" si="68"/>
        <v>12360</v>
      </c>
      <c r="H29" s="66">
        <f t="shared" si="69"/>
        <v>9270</v>
      </c>
      <c r="I29" s="66">
        <f t="shared" si="70"/>
        <v>0</v>
      </c>
      <c r="J29" s="68">
        <v>1250.0</v>
      </c>
      <c r="K29" s="66">
        <f t="shared" si="71"/>
        <v>6381.081081</v>
      </c>
      <c r="L29" s="69">
        <f t="shared" si="72"/>
        <v>177482.7027</v>
      </c>
      <c r="M29" s="70">
        <f t="shared" si="73"/>
        <v>0.04366116505</v>
      </c>
      <c r="N29" s="71">
        <f t="shared" si="74"/>
        <v>8102.882883</v>
      </c>
      <c r="O29" s="66">
        <f t="shared" si="75"/>
        <v>185585.5856</v>
      </c>
      <c r="P29" s="78">
        <v>206000.0</v>
      </c>
      <c r="Q29" s="73">
        <f t="shared" si="76"/>
        <v>206000</v>
      </c>
      <c r="R29" s="74"/>
      <c r="S29" s="75"/>
      <c r="T29" s="66">
        <f t="shared" si="77"/>
        <v>0</v>
      </c>
      <c r="U29" s="66">
        <f t="shared" si="78"/>
        <v>0</v>
      </c>
      <c r="V29" s="66">
        <f t="shared" si="79"/>
        <v>0</v>
      </c>
      <c r="W29" s="66">
        <f t="shared" si="80"/>
        <v>0</v>
      </c>
      <c r="X29" s="68">
        <v>1250.0</v>
      </c>
      <c r="Y29" s="66">
        <f t="shared" si="81"/>
        <v>0</v>
      </c>
      <c r="Z29" s="69">
        <f t="shared" si="82"/>
        <v>1250</v>
      </c>
      <c r="AA29" s="70" t="str">
        <f t="shared" si="83"/>
        <v>#DIV/0!</v>
      </c>
      <c r="AB29" s="71">
        <f t="shared" si="84"/>
        <v>-1250</v>
      </c>
      <c r="AC29" s="66">
        <f t="shared" si="85"/>
        <v>0</v>
      </c>
      <c r="AD29" s="78"/>
      <c r="AE29" s="73" t="str">
        <f t="shared" si="86"/>
        <v>#DIV/0!</v>
      </c>
      <c r="AF29" s="76"/>
      <c r="AG29" s="75"/>
      <c r="AH29" s="66">
        <f t="shared" si="87"/>
        <v>0</v>
      </c>
      <c r="AI29" s="66">
        <f t="shared" si="88"/>
        <v>0</v>
      </c>
      <c r="AJ29" s="66">
        <f t="shared" si="89"/>
        <v>0</v>
      </c>
      <c r="AK29" s="66">
        <f t="shared" si="90"/>
        <v>0</v>
      </c>
      <c r="AL29" s="68">
        <v>1250.0</v>
      </c>
      <c r="AM29" s="66">
        <f t="shared" si="91"/>
        <v>0</v>
      </c>
      <c r="AN29" s="69">
        <f t="shared" si="92"/>
        <v>1250</v>
      </c>
      <c r="AO29" s="70" t="str">
        <f t="shared" si="93"/>
        <v>#DIV/0!</v>
      </c>
      <c r="AP29" s="71">
        <f t="shared" si="94"/>
        <v>-1250</v>
      </c>
      <c r="AQ29" s="66">
        <f t="shared" si="95"/>
        <v>0</v>
      </c>
      <c r="AR29" s="78"/>
      <c r="AS29" s="73" t="str">
        <f t="shared" si="96"/>
        <v>#DIV/0!</v>
      </c>
    </row>
    <row r="30" hidden="1">
      <c r="A30" s="97" t="s">
        <v>55</v>
      </c>
      <c r="B30" s="66">
        <f>B9+B13</f>
        <v>15200</v>
      </c>
      <c r="C30" s="65">
        <f t="shared" si="65"/>
        <v>13680</v>
      </c>
      <c r="D30" s="66">
        <f t="shared" si="66"/>
        <v>12324.32432</v>
      </c>
      <c r="E30" s="96">
        <v>1.0</v>
      </c>
      <c r="F30" s="66">
        <f t="shared" si="67"/>
        <v>2250</v>
      </c>
      <c r="G30" s="66">
        <f t="shared" si="68"/>
        <v>1350</v>
      </c>
      <c r="H30" s="66">
        <f t="shared" si="69"/>
        <v>1012.5</v>
      </c>
      <c r="I30" s="66">
        <f t="shared" si="70"/>
        <v>0</v>
      </c>
      <c r="J30" s="68">
        <v>1250.0</v>
      </c>
      <c r="K30" s="66">
        <f t="shared" si="71"/>
        <v>616.2162162</v>
      </c>
      <c r="L30" s="69">
        <f t="shared" si="72"/>
        <v>18803.04054</v>
      </c>
      <c r="M30" s="70">
        <f t="shared" si="73"/>
        <v>0.07238333333</v>
      </c>
      <c r="N30" s="71">
        <f t="shared" si="74"/>
        <v>1467.22973</v>
      </c>
      <c r="O30" s="66">
        <f t="shared" si="75"/>
        <v>20270.27027</v>
      </c>
      <c r="P30" s="78">
        <v>22500.0</v>
      </c>
      <c r="Q30" s="73">
        <f t="shared" si="76"/>
        <v>22500</v>
      </c>
      <c r="R30" s="74"/>
      <c r="S30" s="75"/>
      <c r="T30" s="66">
        <f t="shared" si="77"/>
        <v>0</v>
      </c>
      <c r="U30" s="66">
        <f t="shared" si="78"/>
        <v>0</v>
      </c>
      <c r="V30" s="66">
        <f t="shared" si="79"/>
        <v>0</v>
      </c>
      <c r="W30" s="66">
        <f t="shared" si="80"/>
        <v>0</v>
      </c>
      <c r="X30" s="68">
        <v>1250.0</v>
      </c>
      <c r="Y30" s="66">
        <f t="shared" si="81"/>
        <v>0</v>
      </c>
      <c r="Z30" s="69">
        <f t="shared" si="82"/>
        <v>1250</v>
      </c>
      <c r="AA30" s="70" t="str">
        <f t="shared" si="83"/>
        <v>#DIV/0!</v>
      </c>
      <c r="AB30" s="71">
        <f t="shared" si="84"/>
        <v>-1250</v>
      </c>
      <c r="AC30" s="66">
        <f t="shared" si="85"/>
        <v>0</v>
      </c>
      <c r="AD30" s="78"/>
      <c r="AE30" s="73" t="str">
        <f t="shared" si="86"/>
        <v>#DIV/0!</v>
      </c>
      <c r="AF30" s="76"/>
      <c r="AG30" s="75"/>
      <c r="AH30" s="66">
        <f t="shared" si="87"/>
        <v>0</v>
      </c>
      <c r="AI30" s="66">
        <f t="shared" si="88"/>
        <v>0</v>
      </c>
      <c r="AJ30" s="66">
        <f t="shared" si="89"/>
        <v>0</v>
      </c>
      <c r="AK30" s="66">
        <f t="shared" si="90"/>
        <v>0</v>
      </c>
      <c r="AL30" s="68">
        <v>1250.0</v>
      </c>
      <c r="AM30" s="66">
        <f t="shared" si="91"/>
        <v>0</v>
      </c>
      <c r="AN30" s="69">
        <f t="shared" si="92"/>
        <v>1250</v>
      </c>
      <c r="AO30" s="70" t="str">
        <f t="shared" si="93"/>
        <v>#DIV/0!</v>
      </c>
      <c r="AP30" s="71">
        <f t="shared" si="94"/>
        <v>-1250</v>
      </c>
      <c r="AQ30" s="66">
        <f t="shared" si="95"/>
        <v>0</v>
      </c>
      <c r="AR30" s="78"/>
      <c r="AS30" s="73" t="str">
        <f t="shared" si="96"/>
        <v>#DIV/0!</v>
      </c>
    </row>
    <row r="31" hidden="1">
      <c r="A31" s="97" t="s">
        <v>56</v>
      </c>
      <c r="B31" s="66">
        <f>B9*2+B13*2</f>
        <v>30400</v>
      </c>
      <c r="C31" s="65">
        <f t="shared" si="65"/>
        <v>27360</v>
      </c>
      <c r="D31" s="66">
        <f t="shared" si="66"/>
        <v>24648.64865</v>
      </c>
      <c r="E31" s="96">
        <v>1.0</v>
      </c>
      <c r="F31" s="66">
        <f t="shared" si="67"/>
        <v>4400</v>
      </c>
      <c r="G31" s="66">
        <f t="shared" si="68"/>
        <v>2640</v>
      </c>
      <c r="H31" s="66">
        <f t="shared" si="69"/>
        <v>1980</v>
      </c>
      <c r="I31" s="66">
        <f t="shared" si="70"/>
        <v>0</v>
      </c>
      <c r="J31" s="68">
        <v>1250.0</v>
      </c>
      <c r="K31" s="66">
        <f t="shared" si="71"/>
        <v>1232.432432</v>
      </c>
      <c r="L31" s="69">
        <f t="shared" si="72"/>
        <v>36151.08108</v>
      </c>
      <c r="M31" s="70">
        <f t="shared" si="73"/>
        <v>0.08800681818</v>
      </c>
      <c r="N31" s="71">
        <f t="shared" si="74"/>
        <v>3488.558559</v>
      </c>
      <c r="O31" s="66">
        <f t="shared" si="75"/>
        <v>39639.63964</v>
      </c>
      <c r="P31" s="78">
        <v>44000.0</v>
      </c>
      <c r="Q31" s="73">
        <f t="shared" si="76"/>
        <v>44000</v>
      </c>
      <c r="R31" s="74"/>
      <c r="S31" s="75"/>
      <c r="T31" s="66">
        <f t="shared" si="77"/>
        <v>0</v>
      </c>
      <c r="U31" s="66">
        <f t="shared" si="78"/>
        <v>0</v>
      </c>
      <c r="V31" s="66">
        <f t="shared" si="79"/>
        <v>0</v>
      </c>
      <c r="W31" s="66">
        <f t="shared" si="80"/>
        <v>0</v>
      </c>
      <c r="X31" s="68">
        <v>1250.0</v>
      </c>
      <c r="Y31" s="66">
        <f t="shared" si="81"/>
        <v>0</v>
      </c>
      <c r="Z31" s="69">
        <f t="shared" si="82"/>
        <v>1250</v>
      </c>
      <c r="AA31" s="70" t="str">
        <f t="shared" si="83"/>
        <v>#DIV/0!</v>
      </c>
      <c r="AB31" s="71">
        <f t="shared" si="84"/>
        <v>-1250</v>
      </c>
      <c r="AC31" s="66">
        <f t="shared" si="85"/>
        <v>0</v>
      </c>
      <c r="AD31" s="78"/>
      <c r="AE31" s="73" t="str">
        <f t="shared" si="86"/>
        <v>#DIV/0!</v>
      </c>
      <c r="AF31" s="76"/>
      <c r="AG31" s="75"/>
      <c r="AH31" s="66">
        <f t="shared" si="87"/>
        <v>0</v>
      </c>
      <c r="AI31" s="66">
        <f t="shared" si="88"/>
        <v>0</v>
      </c>
      <c r="AJ31" s="66">
        <f t="shared" si="89"/>
        <v>0</v>
      </c>
      <c r="AK31" s="66">
        <f t="shared" si="90"/>
        <v>0</v>
      </c>
      <c r="AL31" s="68">
        <v>1250.0</v>
      </c>
      <c r="AM31" s="66">
        <f t="shared" si="91"/>
        <v>0</v>
      </c>
      <c r="AN31" s="69">
        <f t="shared" si="92"/>
        <v>1250</v>
      </c>
      <c r="AO31" s="70" t="str">
        <f t="shared" si="93"/>
        <v>#DIV/0!</v>
      </c>
      <c r="AP31" s="71">
        <f t="shared" si="94"/>
        <v>-1250</v>
      </c>
      <c r="AQ31" s="66">
        <f t="shared" si="95"/>
        <v>0</v>
      </c>
      <c r="AR31" s="78"/>
      <c r="AS31" s="73" t="str">
        <f t="shared" si="96"/>
        <v>#DIV/0!</v>
      </c>
    </row>
    <row r="32" hidden="1">
      <c r="A32" s="97" t="s">
        <v>57</v>
      </c>
      <c r="B32" s="66"/>
      <c r="C32" s="65"/>
      <c r="D32" s="66"/>
      <c r="E32" s="96"/>
      <c r="F32" s="66"/>
      <c r="G32" s="66"/>
      <c r="H32" s="66"/>
      <c r="I32" s="66"/>
      <c r="J32" s="68"/>
      <c r="K32" s="66"/>
      <c r="L32" s="69"/>
      <c r="M32" s="70"/>
      <c r="N32" s="71"/>
      <c r="O32" s="66"/>
      <c r="P32" s="78"/>
      <c r="Q32" s="73"/>
      <c r="R32" s="74"/>
      <c r="S32" s="75"/>
      <c r="T32" s="66"/>
      <c r="U32" s="66"/>
      <c r="V32" s="66"/>
      <c r="W32" s="66"/>
      <c r="X32" s="68"/>
      <c r="Y32" s="66"/>
      <c r="Z32" s="69"/>
      <c r="AA32" s="70"/>
      <c r="AB32" s="71"/>
      <c r="AC32" s="66"/>
      <c r="AD32" s="78"/>
      <c r="AE32" s="73"/>
      <c r="AF32" s="76"/>
      <c r="AG32" s="75"/>
      <c r="AH32" s="66"/>
      <c r="AI32" s="66"/>
      <c r="AJ32" s="66"/>
      <c r="AK32" s="66"/>
      <c r="AL32" s="68"/>
      <c r="AM32" s="66"/>
      <c r="AN32" s="69"/>
      <c r="AO32" s="70"/>
      <c r="AP32" s="71"/>
      <c r="AQ32" s="66"/>
      <c r="AR32" s="78"/>
      <c r="AS32" s="73"/>
    </row>
    <row r="33" hidden="1">
      <c r="A33" s="98" t="s">
        <v>58</v>
      </c>
      <c r="B33" s="66">
        <f>B11+B13</f>
        <v>23700</v>
      </c>
      <c r="C33" s="65">
        <f t="shared" ref="C33:C44" si="97">B33*$C$4</f>
        <v>21330</v>
      </c>
      <c r="D33" s="66">
        <f t="shared" ref="D33:D44" si="98">C33/$D$4</f>
        <v>19216.21622</v>
      </c>
      <c r="E33" s="96">
        <v>1.0</v>
      </c>
      <c r="F33" s="66">
        <f t="shared" ref="F33:F44" si="99">P33*$F$3</f>
        <v>3350</v>
      </c>
      <c r="G33" s="66">
        <f t="shared" ref="G33:G44" si="100">P33*$G$3</f>
        <v>2010</v>
      </c>
      <c r="H33" s="66">
        <f t="shared" ref="H33:H44" si="101">P33*$H$3</f>
        <v>1507.5</v>
      </c>
      <c r="I33" s="66">
        <f t="shared" ref="I33:I44" si="102">P33*$I$3</f>
        <v>0</v>
      </c>
      <c r="J33" s="68">
        <v>1250.0</v>
      </c>
      <c r="K33" s="66">
        <f t="shared" ref="K33:K44" si="103">D33*$K$3</f>
        <v>960.8108108</v>
      </c>
      <c r="L33" s="69">
        <f t="shared" ref="L33:L44" si="104">(D33*E33)+F33+G33+H33+I33+J33+K33</f>
        <v>28294.52703</v>
      </c>
      <c r="M33" s="70">
        <f t="shared" ref="M33:M44" si="105">N33/O33</f>
        <v>0.06247985075</v>
      </c>
      <c r="N33" s="71">
        <f t="shared" ref="N33:N44" si="106">O33-L33</f>
        <v>1885.653153</v>
      </c>
      <c r="O33" s="66">
        <f t="shared" ref="O33:O44" si="107">P33/$O$4</f>
        <v>30180.18018</v>
      </c>
      <c r="P33" s="78">
        <v>33500.0</v>
      </c>
      <c r="Q33" s="73">
        <f t="shared" ref="Q33:Q44" si="108">P33/E33</f>
        <v>33500</v>
      </c>
      <c r="R33" s="74"/>
      <c r="S33" s="75"/>
      <c r="T33" s="66">
        <f t="shared" ref="T33:T44" si="109">AD33*$T$3</f>
        <v>0</v>
      </c>
      <c r="U33" s="66">
        <f t="shared" ref="U33:U44" si="110">AD33*$U$3</f>
        <v>0</v>
      </c>
      <c r="V33" s="66">
        <f t="shared" ref="V33:V44" si="111">AD33*$V$3</f>
        <v>0</v>
      </c>
      <c r="W33" s="66">
        <f t="shared" ref="W33:W44" si="112">AD33*$W$3</f>
        <v>0</v>
      </c>
      <c r="X33" s="68">
        <v>1250.0</v>
      </c>
      <c r="Y33" s="66">
        <f t="shared" ref="Y33:Y44" si="113">R33*$Y$3</f>
        <v>0</v>
      </c>
      <c r="Z33" s="69">
        <f t="shared" ref="Z33:Z44" si="114">(D33*S33)+T33+U33+V33+W33+X33+Y33</f>
        <v>1250</v>
      </c>
      <c r="AA33" s="70" t="str">
        <f t="shared" ref="AA33:AA44" si="115">AB33/AC33</f>
        <v>#DIV/0!</v>
      </c>
      <c r="AB33" s="71">
        <f t="shared" ref="AB33:AB44" si="116">AC33-Z33</f>
        <v>-1250</v>
      </c>
      <c r="AC33" s="66">
        <f t="shared" ref="AC33:AC44" si="117">AD33/$O$4</f>
        <v>0</v>
      </c>
      <c r="AD33" s="78"/>
      <c r="AE33" s="73" t="str">
        <f t="shared" ref="AE33:AE44" si="118">AD33/S33</f>
        <v>#DIV/0!</v>
      </c>
      <c r="AF33" s="76"/>
      <c r="AG33" s="75"/>
      <c r="AH33" s="66">
        <f t="shared" ref="AH33:AH44" si="119">AR33*$AH$3</f>
        <v>0</v>
      </c>
      <c r="AI33" s="66">
        <f t="shared" ref="AI33:AI44" si="120">AR33*$AI$3</f>
        <v>0</v>
      </c>
      <c r="AJ33" s="66">
        <f t="shared" ref="AJ33:AJ44" si="121">AR33*$AJ$3</f>
        <v>0</v>
      </c>
      <c r="AK33" s="66">
        <f t="shared" ref="AK33:AK44" si="122">AR33*$AK$3</f>
        <v>0</v>
      </c>
      <c r="AL33" s="68">
        <v>1250.0</v>
      </c>
      <c r="AM33" s="66">
        <f t="shared" ref="AM33:AM44" si="123">AF33*$AM$3</f>
        <v>0</v>
      </c>
      <c r="AN33" s="69">
        <f t="shared" ref="AN33:AN44" si="124">(R33*AG33)+AH33+AI33+AJ33+AK33+AL33+AM33</f>
        <v>1250</v>
      </c>
      <c r="AO33" s="70" t="str">
        <f t="shared" ref="AO33:AO44" si="125">AP33/AQ33</f>
        <v>#DIV/0!</v>
      </c>
      <c r="AP33" s="71">
        <f t="shared" ref="AP33:AP44" si="126">AQ33-AN33</f>
        <v>-1250</v>
      </c>
      <c r="AQ33" s="66">
        <f t="shared" ref="AQ33:AQ44" si="127">AR33/$O$4</f>
        <v>0</v>
      </c>
      <c r="AR33" s="78"/>
      <c r="AS33" s="73" t="str">
        <f t="shared" ref="AS33:AS44" si="128">AR33/AG33</f>
        <v>#DIV/0!</v>
      </c>
    </row>
    <row r="34" hidden="1">
      <c r="A34" s="98" t="s">
        <v>59</v>
      </c>
      <c r="B34" s="66">
        <f>B11*2+B13*2</f>
        <v>47400</v>
      </c>
      <c r="C34" s="65">
        <f t="shared" si="97"/>
        <v>42660</v>
      </c>
      <c r="D34" s="66">
        <f t="shared" si="98"/>
        <v>38432.43243</v>
      </c>
      <c r="E34" s="96">
        <v>1.0</v>
      </c>
      <c r="F34" s="66">
        <f t="shared" si="99"/>
        <v>6400</v>
      </c>
      <c r="G34" s="66">
        <f t="shared" si="100"/>
        <v>3840</v>
      </c>
      <c r="H34" s="66">
        <f t="shared" si="101"/>
        <v>2880</v>
      </c>
      <c r="I34" s="66">
        <f t="shared" si="102"/>
        <v>0</v>
      </c>
      <c r="J34" s="68">
        <v>1250.0</v>
      </c>
      <c r="K34" s="66">
        <f t="shared" si="103"/>
        <v>1921.621622</v>
      </c>
      <c r="L34" s="69">
        <f t="shared" si="104"/>
        <v>54724.05405</v>
      </c>
      <c r="M34" s="70">
        <f t="shared" si="105"/>
        <v>0.0508796875</v>
      </c>
      <c r="N34" s="71">
        <f t="shared" si="106"/>
        <v>2933.603604</v>
      </c>
      <c r="O34" s="66">
        <f t="shared" si="107"/>
        <v>57657.65766</v>
      </c>
      <c r="P34" s="78">
        <v>64000.0</v>
      </c>
      <c r="Q34" s="73">
        <f t="shared" si="108"/>
        <v>64000</v>
      </c>
      <c r="R34" s="74"/>
      <c r="S34" s="75"/>
      <c r="T34" s="66">
        <f t="shared" si="109"/>
        <v>0</v>
      </c>
      <c r="U34" s="66">
        <f t="shared" si="110"/>
        <v>0</v>
      </c>
      <c r="V34" s="66">
        <f t="shared" si="111"/>
        <v>0</v>
      </c>
      <c r="W34" s="66">
        <f t="shared" si="112"/>
        <v>0</v>
      </c>
      <c r="X34" s="68">
        <v>1250.0</v>
      </c>
      <c r="Y34" s="66">
        <f t="shared" si="113"/>
        <v>0</v>
      </c>
      <c r="Z34" s="69">
        <f t="shared" si="114"/>
        <v>1250</v>
      </c>
      <c r="AA34" s="70" t="str">
        <f t="shared" si="115"/>
        <v>#DIV/0!</v>
      </c>
      <c r="AB34" s="71">
        <f t="shared" si="116"/>
        <v>-1250</v>
      </c>
      <c r="AC34" s="66">
        <f t="shared" si="117"/>
        <v>0</v>
      </c>
      <c r="AD34" s="78"/>
      <c r="AE34" s="73" t="str">
        <f t="shared" si="118"/>
        <v>#DIV/0!</v>
      </c>
      <c r="AF34" s="76"/>
      <c r="AG34" s="75"/>
      <c r="AH34" s="66">
        <f t="shared" si="119"/>
        <v>0</v>
      </c>
      <c r="AI34" s="66">
        <f t="shared" si="120"/>
        <v>0</v>
      </c>
      <c r="AJ34" s="66">
        <f t="shared" si="121"/>
        <v>0</v>
      </c>
      <c r="AK34" s="66">
        <f t="shared" si="122"/>
        <v>0</v>
      </c>
      <c r="AL34" s="68">
        <v>1250.0</v>
      </c>
      <c r="AM34" s="66">
        <f t="shared" si="123"/>
        <v>0</v>
      </c>
      <c r="AN34" s="69">
        <f t="shared" si="124"/>
        <v>1250</v>
      </c>
      <c r="AO34" s="70" t="str">
        <f t="shared" si="125"/>
        <v>#DIV/0!</v>
      </c>
      <c r="AP34" s="71">
        <f t="shared" si="126"/>
        <v>-1250</v>
      </c>
      <c r="AQ34" s="66">
        <f t="shared" si="127"/>
        <v>0</v>
      </c>
      <c r="AR34" s="78"/>
      <c r="AS34" s="73" t="str">
        <f t="shared" si="128"/>
        <v>#DIV/0!</v>
      </c>
    </row>
    <row r="35" hidden="1">
      <c r="A35" s="98" t="s">
        <v>60</v>
      </c>
      <c r="B35" s="66">
        <f>B19+B13</f>
        <v>40700</v>
      </c>
      <c r="C35" s="65">
        <f t="shared" si="97"/>
        <v>36630</v>
      </c>
      <c r="D35" s="66">
        <f t="shared" si="98"/>
        <v>33000</v>
      </c>
      <c r="E35" s="96">
        <v>1.0</v>
      </c>
      <c r="F35" s="66">
        <f t="shared" si="99"/>
        <v>6070</v>
      </c>
      <c r="G35" s="66">
        <f t="shared" si="100"/>
        <v>3642</v>
      </c>
      <c r="H35" s="66">
        <f t="shared" si="101"/>
        <v>2731.5</v>
      </c>
      <c r="I35" s="66">
        <f t="shared" si="102"/>
        <v>0</v>
      </c>
      <c r="J35" s="68">
        <v>1250.0</v>
      </c>
      <c r="K35" s="66">
        <f t="shared" si="103"/>
        <v>1650</v>
      </c>
      <c r="L35" s="69">
        <f t="shared" si="104"/>
        <v>48343.5</v>
      </c>
      <c r="M35" s="70">
        <f t="shared" si="105"/>
        <v>0.115959061</v>
      </c>
      <c r="N35" s="71">
        <f t="shared" si="106"/>
        <v>6341.184685</v>
      </c>
      <c r="O35" s="66">
        <f t="shared" si="107"/>
        <v>54684.68468</v>
      </c>
      <c r="P35" s="78">
        <v>60700.0</v>
      </c>
      <c r="Q35" s="73">
        <f t="shared" si="108"/>
        <v>60700</v>
      </c>
      <c r="R35" s="74"/>
      <c r="S35" s="75"/>
      <c r="T35" s="66">
        <f t="shared" si="109"/>
        <v>0</v>
      </c>
      <c r="U35" s="66">
        <f t="shared" si="110"/>
        <v>0</v>
      </c>
      <c r="V35" s="66">
        <f t="shared" si="111"/>
        <v>0</v>
      </c>
      <c r="W35" s="66">
        <f t="shared" si="112"/>
        <v>0</v>
      </c>
      <c r="X35" s="68">
        <v>1250.0</v>
      </c>
      <c r="Y35" s="66">
        <f t="shared" si="113"/>
        <v>0</v>
      </c>
      <c r="Z35" s="69">
        <f t="shared" si="114"/>
        <v>1250</v>
      </c>
      <c r="AA35" s="70" t="str">
        <f t="shared" si="115"/>
        <v>#DIV/0!</v>
      </c>
      <c r="AB35" s="71">
        <f t="shared" si="116"/>
        <v>-1250</v>
      </c>
      <c r="AC35" s="66">
        <f t="shared" si="117"/>
        <v>0</v>
      </c>
      <c r="AD35" s="78"/>
      <c r="AE35" s="73" t="str">
        <f t="shared" si="118"/>
        <v>#DIV/0!</v>
      </c>
      <c r="AF35" s="76"/>
      <c r="AG35" s="75"/>
      <c r="AH35" s="66">
        <f t="shared" si="119"/>
        <v>0</v>
      </c>
      <c r="AI35" s="66">
        <f t="shared" si="120"/>
        <v>0</v>
      </c>
      <c r="AJ35" s="66">
        <f t="shared" si="121"/>
        <v>0</v>
      </c>
      <c r="AK35" s="66">
        <f t="shared" si="122"/>
        <v>0</v>
      </c>
      <c r="AL35" s="68">
        <v>1250.0</v>
      </c>
      <c r="AM35" s="66">
        <f t="shared" si="123"/>
        <v>0</v>
      </c>
      <c r="AN35" s="69">
        <f t="shared" si="124"/>
        <v>1250</v>
      </c>
      <c r="AO35" s="70" t="str">
        <f t="shared" si="125"/>
        <v>#DIV/0!</v>
      </c>
      <c r="AP35" s="71">
        <f t="shared" si="126"/>
        <v>-1250</v>
      </c>
      <c r="AQ35" s="66">
        <f t="shared" si="127"/>
        <v>0</v>
      </c>
      <c r="AR35" s="78"/>
      <c r="AS35" s="73" t="str">
        <f t="shared" si="128"/>
        <v>#DIV/0!</v>
      </c>
    </row>
    <row r="36" hidden="1">
      <c r="A36" s="98" t="s">
        <v>61</v>
      </c>
      <c r="B36" s="68">
        <v>2500.0</v>
      </c>
      <c r="C36" s="65">
        <f t="shared" si="97"/>
        <v>2250</v>
      </c>
      <c r="D36" s="66">
        <f t="shared" si="98"/>
        <v>2027.027027</v>
      </c>
      <c r="E36" s="96">
        <v>1.0</v>
      </c>
      <c r="F36" s="66">
        <f t="shared" si="99"/>
        <v>700</v>
      </c>
      <c r="G36" s="66">
        <f t="shared" si="100"/>
        <v>420</v>
      </c>
      <c r="H36" s="66">
        <f t="shared" si="101"/>
        <v>315</v>
      </c>
      <c r="I36" s="66">
        <f t="shared" si="102"/>
        <v>0</v>
      </c>
      <c r="J36" s="68">
        <v>1250.0</v>
      </c>
      <c r="K36" s="66">
        <f t="shared" si="103"/>
        <v>101.3513514</v>
      </c>
      <c r="L36" s="69">
        <f t="shared" si="104"/>
        <v>4813.378378</v>
      </c>
      <c r="M36" s="70">
        <f t="shared" si="105"/>
        <v>0.2367357143</v>
      </c>
      <c r="N36" s="71">
        <f t="shared" si="106"/>
        <v>1492.927928</v>
      </c>
      <c r="O36" s="66">
        <f t="shared" si="107"/>
        <v>6306.306306</v>
      </c>
      <c r="P36" s="78">
        <v>7000.0</v>
      </c>
      <c r="Q36" s="73">
        <f t="shared" si="108"/>
        <v>7000</v>
      </c>
      <c r="R36" s="74"/>
      <c r="S36" s="75"/>
      <c r="T36" s="66">
        <f t="shared" si="109"/>
        <v>0</v>
      </c>
      <c r="U36" s="66">
        <f t="shared" si="110"/>
        <v>0</v>
      </c>
      <c r="V36" s="66">
        <f t="shared" si="111"/>
        <v>0</v>
      </c>
      <c r="W36" s="66">
        <f t="shared" si="112"/>
        <v>0</v>
      </c>
      <c r="X36" s="68">
        <v>1250.0</v>
      </c>
      <c r="Y36" s="66">
        <f t="shared" si="113"/>
        <v>0</v>
      </c>
      <c r="Z36" s="69">
        <f t="shared" si="114"/>
        <v>1250</v>
      </c>
      <c r="AA36" s="70" t="str">
        <f t="shared" si="115"/>
        <v>#DIV/0!</v>
      </c>
      <c r="AB36" s="71">
        <f t="shared" si="116"/>
        <v>-1250</v>
      </c>
      <c r="AC36" s="66">
        <f t="shared" si="117"/>
        <v>0</v>
      </c>
      <c r="AD36" s="78"/>
      <c r="AE36" s="73" t="str">
        <f t="shared" si="118"/>
        <v>#DIV/0!</v>
      </c>
      <c r="AF36" s="76"/>
      <c r="AG36" s="75"/>
      <c r="AH36" s="66">
        <f t="shared" si="119"/>
        <v>0</v>
      </c>
      <c r="AI36" s="66">
        <f t="shared" si="120"/>
        <v>0</v>
      </c>
      <c r="AJ36" s="66">
        <f t="shared" si="121"/>
        <v>0</v>
      </c>
      <c r="AK36" s="66">
        <f t="shared" si="122"/>
        <v>0</v>
      </c>
      <c r="AL36" s="68">
        <v>1250.0</v>
      </c>
      <c r="AM36" s="66">
        <f t="shared" si="123"/>
        <v>0</v>
      </c>
      <c r="AN36" s="69">
        <f t="shared" si="124"/>
        <v>1250</v>
      </c>
      <c r="AO36" s="70" t="str">
        <f t="shared" si="125"/>
        <v>#DIV/0!</v>
      </c>
      <c r="AP36" s="71">
        <f t="shared" si="126"/>
        <v>-1250</v>
      </c>
      <c r="AQ36" s="66">
        <f t="shared" si="127"/>
        <v>0</v>
      </c>
      <c r="AR36" s="78"/>
      <c r="AS36" s="73" t="str">
        <f t="shared" si="128"/>
        <v>#DIV/0!</v>
      </c>
    </row>
    <row r="37" hidden="1">
      <c r="A37" s="98" t="s">
        <v>62</v>
      </c>
      <c r="B37" s="66">
        <f>B5+B36</f>
        <v>5700</v>
      </c>
      <c r="C37" s="65">
        <f t="shared" si="97"/>
        <v>5130</v>
      </c>
      <c r="D37" s="66">
        <f t="shared" si="98"/>
        <v>4621.621622</v>
      </c>
      <c r="E37" s="96">
        <v>1.0</v>
      </c>
      <c r="F37" s="66">
        <f t="shared" si="99"/>
        <v>990</v>
      </c>
      <c r="G37" s="66">
        <f t="shared" si="100"/>
        <v>594</v>
      </c>
      <c r="H37" s="66">
        <f t="shared" si="101"/>
        <v>445.5</v>
      </c>
      <c r="I37" s="66">
        <f t="shared" si="102"/>
        <v>0</v>
      </c>
      <c r="J37" s="68">
        <v>1250.0</v>
      </c>
      <c r="K37" s="66">
        <f t="shared" si="103"/>
        <v>231.0810811</v>
      </c>
      <c r="L37" s="69">
        <f t="shared" si="104"/>
        <v>8132.202703</v>
      </c>
      <c r="M37" s="70">
        <f t="shared" si="105"/>
        <v>0.08820757576</v>
      </c>
      <c r="N37" s="71">
        <f t="shared" si="106"/>
        <v>786.7162162</v>
      </c>
      <c r="O37" s="66">
        <f t="shared" si="107"/>
        <v>8918.918919</v>
      </c>
      <c r="P37" s="78">
        <v>9900.0</v>
      </c>
      <c r="Q37" s="73">
        <f t="shared" si="108"/>
        <v>9900</v>
      </c>
      <c r="R37" s="74"/>
      <c r="S37" s="75"/>
      <c r="T37" s="66">
        <f t="shared" si="109"/>
        <v>0</v>
      </c>
      <c r="U37" s="66">
        <f t="shared" si="110"/>
        <v>0</v>
      </c>
      <c r="V37" s="66">
        <f t="shared" si="111"/>
        <v>0</v>
      </c>
      <c r="W37" s="66">
        <f t="shared" si="112"/>
        <v>0</v>
      </c>
      <c r="X37" s="68">
        <v>1250.0</v>
      </c>
      <c r="Y37" s="66">
        <f t="shared" si="113"/>
        <v>0</v>
      </c>
      <c r="Z37" s="69">
        <f t="shared" si="114"/>
        <v>1250</v>
      </c>
      <c r="AA37" s="70" t="str">
        <f t="shared" si="115"/>
        <v>#DIV/0!</v>
      </c>
      <c r="AB37" s="71">
        <f t="shared" si="116"/>
        <v>-1250</v>
      </c>
      <c r="AC37" s="66">
        <f t="shared" si="117"/>
        <v>0</v>
      </c>
      <c r="AD37" s="78"/>
      <c r="AE37" s="73" t="str">
        <f t="shared" si="118"/>
        <v>#DIV/0!</v>
      </c>
      <c r="AF37" s="76"/>
      <c r="AG37" s="75"/>
      <c r="AH37" s="66">
        <f t="shared" si="119"/>
        <v>0</v>
      </c>
      <c r="AI37" s="66">
        <f t="shared" si="120"/>
        <v>0</v>
      </c>
      <c r="AJ37" s="66">
        <f t="shared" si="121"/>
        <v>0</v>
      </c>
      <c r="AK37" s="66">
        <f t="shared" si="122"/>
        <v>0</v>
      </c>
      <c r="AL37" s="68">
        <v>1250.0</v>
      </c>
      <c r="AM37" s="66">
        <f t="shared" si="123"/>
        <v>0</v>
      </c>
      <c r="AN37" s="69">
        <f t="shared" si="124"/>
        <v>1250</v>
      </c>
      <c r="AO37" s="70" t="str">
        <f t="shared" si="125"/>
        <v>#DIV/0!</v>
      </c>
      <c r="AP37" s="71">
        <f t="shared" si="126"/>
        <v>-1250</v>
      </c>
      <c r="AQ37" s="66">
        <f t="shared" si="127"/>
        <v>0</v>
      </c>
      <c r="AR37" s="78"/>
      <c r="AS37" s="73" t="str">
        <f t="shared" si="128"/>
        <v>#DIV/0!</v>
      </c>
    </row>
    <row r="38" hidden="1">
      <c r="A38" s="98" t="s">
        <v>63</v>
      </c>
      <c r="B38" s="66">
        <f>B5*5+B36</f>
        <v>18500</v>
      </c>
      <c r="C38" s="65">
        <f t="shared" si="97"/>
        <v>16650</v>
      </c>
      <c r="D38" s="66">
        <f t="shared" si="98"/>
        <v>15000</v>
      </c>
      <c r="E38" s="96">
        <v>1.0</v>
      </c>
      <c r="F38" s="66">
        <f t="shared" si="99"/>
        <v>3000</v>
      </c>
      <c r="G38" s="66">
        <f t="shared" si="100"/>
        <v>1800</v>
      </c>
      <c r="H38" s="66">
        <f t="shared" si="101"/>
        <v>1350</v>
      </c>
      <c r="I38" s="66">
        <f t="shared" si="102"/>
        <v>0</v>
      </c>
      <c r="J38" s="68">
        <v>1250.0</v>
      </c>
      <c r="K38" s="66">
        <f t="shared" si="103"/>
        <v>750</v>
      </c>
      <c r="L38" s="69">
        <f t="shared" si="104"/>
        <v>23150</v>
      </c>
      <c r="M38" s="70">
        <f t="shared" si="105"/>
        <v>0.14345</v>
      </c>
      <c r="N38" s="71">
        <f t="shared" si="106"/>
        <v>3877.027027</v>
      </c>
      <c r="O38" s="66">
        <f t="shared" si="107"/>
        <v>27027.02703</v>
      </c>
      <c r="P38" s="78">
        <v>30000.0</v>
      </c>
      <c r="Q38" s="73">
        <f t="shared" si="108"/>
        <v>30000</v>
      </c>
      <c r="R38" s="74"/>
      <c r="S38" s="75"/>
      <c r="T38" s="66">
        <f t="shared" si="109"/>
        <v>0</v>
      </c>
      <c r="U38" s="66">
        <f t="shared" si="110"/>
        <v>0</v>
      </c>
      <c r="V38" s="66">
        <f t="shared" si="111"/>
        <v>0</v>
      </c>
      <c r="W38" s="66">
        <f t="shared" si="112"/>
        <v>0</v>
      </c>
      <c r="X38" s="68">
        <v>1250.0</v>
      </c>
      <c r="Y38" s="66">
        <f t="shared" si="113"/>
        <v>0</v>
      </c>
      <c r="Z38" s="69">
        <f t="shared" si="114"/>
        <v>1250</v>
      </c>
      <c r="AA38" s="70" t="str">
        <f t="shared" si="115"/>
        <v>#DIV/0!</v>
      </c>
      <c r="AB38" s="71">
        <f t="shared" si="116"/>
        <v>-1250</v>
      </c>
      <c r="AC38" s="66">
        <f t="shared" si="117"/>
        <v>0</v>
      </c>
      <c r="AD38" s="78"/>
      <c r="AE38" s="73" t="str">
        <f t="shared" si="118"/>
        <v>#DIV/0!</v>
      </c>
      <c r="AF38" s="76"/>
      <c r="AG38" s="75"/>
      <c r="AH38" s="66">
        <f t="shared" si="119"/>
        <v>0</v>
      </c>
      <c r="AI38" s="66">
        <f t="shared" si="120"/>
        <v>0</v>
      </c>
      <c r="AJ38" s="66">
        <f t="shared" si="121"/>
        <v>0</v>
      </c>
      <c r="AK38" s="66">
        <f t="shared" si="122"/>
        <v>0</v>
      </c>
      <c r="AL38" s="68">
        <v>1250.0</v>
      </c>
      <c r="AM38" s="66">
        <f t="shared" si="123"/>
        <v>0</v>
      </c>
      <c r="AN38" s="69">
        <f t="shared" si="124"/>
        <v>1250</v>
      </c>
      <c r="AO38" s="70" t="str">
        <f t="shared" si="125"/>
        <v>#DIV/0!</v>
      </c>
      <c r="AP38" s="71">
        <f t="shared" si="126"/>
        <v>-1250</v>
      </c>
      <c r="AQ38" s="66">
        <f t="shared" si="127"/>
        <v>0</v>
      </c>
      <c r="AR38" s="78"/>
      <c r="AS38" s="73" t="str">
        <f t="shared" si="128"/>
        <v>#DIV/0!</v>
      </c>
    </row>
    <row r="39" hidden="1">
      <c r="A39" s="98" t="s">
        <v>64</v>
      </c>
      <c r="B39" s="68">
        <v>3000.0</v>
      </c>
      <c r="C39" s="65">
        <f t="shared" si="97"/>
        <v>2700</v>
      </c>
      <c r="D39" s="66">
        <f t="shared" si="98"/>
        <v>2432.432432</v>
      </c>
      <c r="E39" s="96">
        <v>1.0</v>
      </c>
      <c r="F39" s="66">
        <f t="shared" si="99"/>
        <v>712.5</v>
      </c>
      <c r="G39" s="66">
        <f t="shared" si="100"/>
        <v>427.5</v>
      </c>
      <c r="H39" s="66">
        <f t="shared" si="101"/>
        <v>320.625</v>
      </c>
      <c r="I39" s="66">
        <f t="shared" si="102"/>
        <v>0</v>
      </c>
      <c r="J39" s="68">
        <v>1250.0</v>
      </c>
      <c r="K39" s="66">
        <f t="shared" si="103"/>
        <v>121.6216216</v>
      </c>
      <c r="L39" s="69">
        <f t="shared" si="104"/>
        <v>5264.679054</v>
      </c>
      <c r="M39" s="70">
        <f t="shared" si="105"/>
        <v>0.1798184211</v>
      </c>
      <c r="N39" s="71">
        <f t="shared" si="106"/>
        <v>1154.239865</v>
      </c>
      <c r="O39" s="66">
        <f t="shared" si="107"/>
        <v>6418.918919</v>
      </c>
      <c r="P39" s="78">
        <v>7125.0</v>
      </c>
      <c r="Q39" s="73">
        <f t="shared" si="108"/>
        <v>7125</v>
      </c>
      <c r="R39" s="74"/>
      <c r="S39" s="75"/>
      <c r="T39" s="66">
        <f t="shared" si="109"/>
        <v>0</v>
      </c>
      <c r="U39" s="66">
        <f t="shared" si="110"/>
        <v>0</v>
      </c>
      <c r="V39" s="66">
        <f t="shared" si="111"/>
        <v>0</v>
      </c>
      <c r="W39" s="66">
        <f t="shared" si="112"/>
        <v>0</v>
      </c>
      <c r="X39" s="68">
        <v>1250.0</v>
      </c>
      <c r="Y39" s="66">
        <f t="shared" si="113"/>
        <v>0</v>
      </c>
      <c r="Z39" s="69">
        <f t="shared" si="114"/>
        <v>1250</v>
      </c>
      <c r="AA39" s="70" t="str">
        <f t="shared" si="115"/>
        <v>#DIV/0!</v>
      </c>
      <c r="AB39" s="71">
        <f t="shared" si="116"/>
        <v>-1250</v>
      </c>
      <c r="AC39" s="66">
        <f t="shared" si="117"/>
        <v>0</v>
      </c>
      <c r="AD39" s="78"/>
      <c r="AE39" s="73" t="str">
        <f t="shared" si="118"/>
        <v>#DIV/0!</v>
      </c>
      <c r="AF39" s="76"/>
      <c r="AG39" s="75"/>
      <c r="AH39" s="66">
        <f t="shared" si="119"/>
        <v>0</v>
      </c>
      <c r="AI39" s="66">
        <f t="shared" si="120"/>
        <v>0</v>
      </c>
      <c r="AJ39" s="66">
        <f t="shared" si="121"/>
        <v>0</v>
      </c>
      <c r="AK39" s="66">
        <f t="shared" si="122"/>
        <v>0</v>
      </c>
      <c r="AL39" s="68">
        <v>1250.0</v>
      </c>
      <c r="AM39" s="66">
        <f t="shared" si="123"/>
        <v>0</v>
      </c>
      <c r="AN39" s="69">
        <f t="shared" si="124"/>
        <v>1250</v>
      </c>
      <c r="AO39" s="70" t="str">
        <f t="shared" si="125"/>
        <v>#DIV/0!</v>
      </c>
      <c r="AP39" s="71">
        <f t="shared" si="126"/>
        <v>-1250</v>
      </c>
      <c r="AQ39" s="66">
        <f t="shared" si="127"/>
        <v>0</v>
      </c>
      <c r="AR39" s="78"/>
      <c r="AS39" s="73" t="str">
        <f t="shared" si="128"/>
        <v>#DIV/0!</v>
      </c>
    </row>
    <row r="40" hidden="1">
      <c r="A40" s="98" t="s">
        <v>65</v>
      </c>
      <c r="B40" s="66">
        <f>B39+1000</f>
        <v>4000</v>
      </c>
      <c r="C40" s="65">
        <f t="shared" si="97"/>
        <v>3600</v>
      </c>
      <c r="D40" s="66">
        <f t="shared" si="98"/>
        <v>3243.243243</v>
      </c>
      <c r="E40" s="96">
        <v>1.0</v>
      </c>
      <c r="F40" s="66">
        <f t="shared" si="99"/>
        <v>900</v>
      </c>
      <c r="G40" s="66">
        <f t="shared" si="100"/>
        <v>540</v>
      </c>
      <c r="H40" s="66">
        <f t="shared" si="101"/>
        <v>405</v>
      </c>
      <c r="I40" s="66">
        <f t="shared" si="102"/>
        <v>0</v>
      </c>
      <c r="J40" s="68">
        <v>1250.0</v>
      </c>
      <c r="K40" s="66">
        <f t="shared" si="103"/>
        <v>162.1621622</v>
      </c>
      <c r="L40" s="69">
        <f t="shared" si="104"/>
        <v>6500.405405</v>
      </c>
      <c r="M40" s="70">
        <f t="shared" si="105"/>
        <v>0.1982833333</v>
      </c>
      <c r="N40" s="71">
        <f t="shared" si="106"/>
        <v>1607.702703</v>
      </c>
      <c r="O40" s="66">
        <f t="shared" si="107"/>
        <v>8108.108108</v>
      </c>
      <c r="P40" s="78">
        <v>9000.0</v>
      </c>
      <c r="Q40" s="73">
        <f t="shared" si="108"/>
        <v>9000</v>
      </c>
      <c r="R40" s="74"/>
      <c r="S40" s="75"/>
      <c r="T40" s="66">
        <f t="shared" si="109"/>
        <v>0</v>
      </c>
      <c r="U40" s="66">
        <f t="shared" si="110"/>
        <v>0</v>
      </c>
      <c r="V40" s="66">
        <f t="shared" si="111"/>
        <v>0</v>
      </c>
      <c r="W40" s="66">
        <f t="shared" si="112"/>
        <v>0</v>
      </c>
      <c r="X40" s="68">
        <v>1250.0</v>
      </c>
      <c r="Y40" s="66">
        <f t="shared" si="113"/>
        <v>0</v>
      </c>
      <c r="Z40" s="69">
        <f t="shared" si="114"/>
        <v>1250</v>
      </c>
      <c r="AA40" s="70" t="str">
        <f t="shared" si="115"/>
        <v>#DIV/0!</v>
      </c>
      <c r="AB40" s="71">
        <f t="shared" si="116"/>
        <v>-1250</v>
      </c>
      <c r="AC40" s="66">
        <f t="shared" si="117"/>
        <v>0</v>
      </c>
      <c r="AD40" s="78"/>
      <c r="AE40" s="73" t="str">
        <f t="shared" si="118"/>
        <v>#DIV/0!</v>
      </c>
      <c r="AF40" s="76"/>
      <c r="AG40" s="75"/>
      <c r="AH40" s="66">
        <f t="shared" si="119"/>
        <v>0</v>
      </c>
      <c r="AI40" s="66">
        <f t="shared" si="120"/>
        <v>0</v>
      </c>
      <c r="AJ40" s="66">
        <f t="shared" si="121"/>
        <v>0</v>
      </c>
      <c r="AK40" s="66">
        <f t="shared" si="122"/>
        <v>0</v>
      </c>
      <c r="AL40" s="68">
        <v>1250.0</v>
      </c>
      <c r="AM40" s="66">
        <f t="shared" si="123"/>
        <v>0</v>
      </c>
      <c r="AN40" s="69">
        <f t="shared" si="124"/>
        <v>1250</v>
      </c>
      <c r="AO40" s="70" t="str">
        <f t="shared" si="125"/>
        <v>#DIV/0!</v>
      </c>
      <c r="AP40" s="71">
        <f t="shared" si="126"/>
        <v>-1250</v>
      </c>
      <c r="AQ40" s="66">
        <f t="shared" si="127"/>
        <v>0</v>
      </c>
      <c r="AR40" s="78"/>
      <c r="AS40" s="73" t="str">
        <f t="shared" si="128"/>
        <v>#DIV/0!</v>
      </c>
    </row>
    <row r="41" hidden="1">
      <c r="A41" s="98" t="s">
        <v>66</v>
      </c>
      <c r="B41" s="66">
        <f>B7+B39</f>
        <v>6900</v>
      </c>
      <c r="C41" s="65">
        <f t="shared" si="97"/>
        <v>6210</v>
      </c>
      <c r="D41" s="66">
        <f t="shared" si="98"/>
        <v>5594.594595</v>
      </c>
      <c r="E41" s="96">
        <v>1.0</v>
      </c>
      <c r="F41" s="66">
        <f t="shared" si="99"/>
        <v>1250</v>
      </c>
      <c r="G41" s="66">
        <f t="shared" si="100"/>
        <v>750</v>
      </c>
      <c r="H41" s="66">
        <f t="shared" si="101"/>
        <v>562.5</v>
      </c>
      <c r="I41" s="66">
        <f t="shared" si="102"/>
        <v>0</v>
      </c>
      <c r="J41" s="68">
        <v>1250.0</v>
      </c>
      <c r="K41" s="66">
        <f t="shared" si="103"/>
        <v>279.7297297</v>
      </c>
      <c r="L41" s="69">
        <f t="shared" si="104"/>
        <v>9686.824324</v>
      </c>
      <c r="M41" s="70">
        <f t="shared" si="105"/>
        <v>0.13981</v>
      </c>
      <c r="N41" s="71">
        <f t="shared" si="106"/>
        <v>1574.436937</v>
      </c>
      <c r="O41" s="66">
        <f t="shared" si="107"/>
        <v>11261.26126</v>
      </c>
      <c r="P41" s="78">
        <v>12500.0</v>
      </c>
      <c r="Q41" s="73">
        <f t="shared" si="108"/>
        <v>12500</v>
      </c>
      <c r="R41" s="74"/>
      <c r="S41" s="75"/>
      <c r="T41" s="66">
        <f t="shared" si="109"/>
        <v>0</v>
      </c>
      <c r="U41" s="66">
        <f t="shared" si="110"/>
        <v>0</v>
      </c>
      <c r="V41" s="66">
        <f t="shared" si="111"/>
        <v>0</v>
      </c>
      <c r="W41" s="66">
        <f t="shared" si="112"/>
        <v>0</v>
      </c>
      <c r="X41" s="68">
        <v>1250.0</v>
      </c>
      <c r="Y41" s="66">
        <f t="shared" si="113"/>
        <v>0</v>
      </c>
      <c r="Z41" s="69">
        <f t="shared" si="114"/>
        <v>1250</v>
      </c>
      <c r="AA41" s="70" t="str">
        <f t="shared" si="115"/>
        <v>#DIV/0!</v>
      </c>
      <c r="AB41" s="71">
        <f t="shared" si="116"/>
        <v>-1250</v>
      </c>
      <c r="AC41" s="66">
        <f t="shared" si="117"/>
        <v>0</v>
      </c>
      <c r="AD41" s="78"/>
      <c r="AE41" s="73" t="str">
        <f t="shared" si="118"/>
        <v>#DIV/0!</v>
      </c>
      <c r="AF41" s="76"/>
      <c r="AG41" s="75"/>
      <c r="AH41" s="66">
        <f t="shared" si="119"/>
        <v>0</v>
      </c>
      <c r="AI41" s="66">
        <f t="shared" si="120"/>
        <v>0</v>
      </c>
      <c r="AJ41" s="66">
        <f t="shared" si="121"/>
        <v>0</v>
      </c>
      <c r="AK41" s="66">
        <f t="shared" si="122"/>
        <v>0</v>
      </c>
      <c r="AL41" s="68">
        <v>1250.0</v>
      </c>
      <c r="AM41" s="66">
        <f t="shared" si="123"/>
        <v>0</v>
      </c>
      <c r="AN41" s="69">
        <f t="shared" si="124"/>
        <v>1250</v>
      </c>
      <c r="AO41" s="70" t="str">
        <f t="shared" si="125"/>
        <v>#DIV/0!</v>
      </c>
      <c r="AP41" s="71">
        <f t="shared" si="126"/>
        <v>-1250</v>
      </c>
      <c r="AQ41" s="66">
        <f t="shared" si="127"/>
        <v>0</v>
      </c>
      <c r="AR41" s="78"/>
      <c r="AS41" s="73" t="str">
        <f t="shared" si="128"/>
        <v>#DIV/0!</v>
      </c>
    </row>
    <row r="42" hidden="1">
      <c r="A42" s="98" t="s">
        <v>67</v>
      </c>
      <c r="B42" s="66">
        <f>B7+B40</f>
        <v>7900</v>
      </c>
      <c r="C42" s="65">
        <f t="shared" si="97"/>
        <v>7110</v>
      </c>
      <c r="D42" s="66">
        <f t="shared" si="98"/>
        <v>6405.405405</v>
      </c>
      <c r="E42" s="96">
        <v>1.0</v>
      </c>
      <c r="F42" s="66">
        <f t="shared" si="99"/>
        <v>1350</v>
      </c>
      <c r="G42" s="66">
        <f t="shared" si="100"/>
        <v>810</v>
      </c>
      <c r="H42" s="66">
        <f t="shared" si="101"/>
        <v>607.5</v>
      </c>
      <c r="I42" s="66">
        <f t="shared" si="102"/>
        <v>0</v>
      </c>
      <c r="J42" s="68">
        <v>1250.0</v>
      </c>
      <c r="K42" s="66">
        <f t="shared" si="103"/>
        <v>320.2702703</v>
      </c>
      <c r="L42" s="69">
        <f t="shared" si="104"/>
        <v>10743.17568</v>
      </c>
      <c r="M42" s="70">
        <f t="shared" si="105"/>
        <v>0.1166722222</v>
      </c>
      <c r="N42" s="71">
        <f t="shared" si="106"/>
        <v>1418.986486</v>
      </c>
      <c r="O42" s="66">
        <f t="shared" si="107"/>
        <v>12162.16216</v>
      </c>
      <c r="P42" s="78">
        <v>13500.0</v>
      </c>
      <c r="Q42" s="73">
        <f t="shared" si="108"/>
        <v>13500</v>
      </c>
      <c r="R42" s="74"/>
      <c r="S42" s="75"/>
      <c r="T42" s="66">
        <f t="shared" si="109"/>
        <v>0</v>
      </c>
      <c r="U42" s="66">
        <f t="shared" si="110"/>
        <v>0</v>
      </c>
      <c r="V42" s="66">
        <f t="shared" si="111"/>
        <v>0</v>
      </c>
      <c r="W42" s="66">
        <f t="shared" si="112"/>
        <v>0</v>
      </c>
      <c r="X42" s="68">
        <v>1250.0</v>
      </c>
      <c r="Y42" s="66">
        <f t="shared" si="113"/>
        <v>0</v>
      </c>
      <c r="Z42" s="69">
        <f t="shared" si="114"/>
        <v>1250</v>
      </c>
      <c r="AA42" s="70" t="str">
        <f t="shared" si="115"/>
        <v>#DIV/0!</v>
      </c>
      <c r="AB42" s="71">
        <f t="shared" si="116"/>
        <v>-1250</v>
      </c>
      <c r="AC42" s="66">
        <f t="shared" si="117"/>
        <v>0</v>
      </c>
      <c r="AD42" s="78"/>
      <c r="AE42" s="73" t="str">
        <f t="shared" si="118"/>
        <v>#DIV/0!</v>
      </c>
      <c r="AF42" s="76"/>
      <c r="AG42" s="75"/>
      <c r="AH42" s="66">
        <f t="shared" si="119"/>
        <v>0</v>
      </c>
      <c r="AI42" s="66">
        <f t="shared" si="120"/>
        <v>0</v>
      </c>
      <c r="AJ42" s="66">
        <f t="shared" si="121"/>
        <v>0</v>
      </c>
      <c r="AK42" s="66">
        <f t="shared" si="122"/>
        <v>0</v>
      </c>
      <c r="AL42" s="68">
        <v>1250.0</v>
      </c>
      <c r="AM42" s="66">
        <f t="shared" si="123"/>
        <v>0</v>
      </c>
      <c r="AN42" s="69">
        <f t="shared" si="124"/>
        <v>1250</v>
      </c>
      <c r="AO42" s="70" t="str">
        <f t="shared" si="125"/>
        <v>#DIV/0!</v>
      </c>
      <c r="AP42" s="71">
        <f t="shared" si="126"/>
        <v>-1250</v>
      </c>
      <c r="AQ42" s="66">
        <f t="shared" si="127"/>
        <v>0</v>
      </c>
      <c r="AR42" s="78"/>
      <c r="AS42" s="73" t="str">
        <f t="shared" si="128"/>
        <v>#DIV/0!</v>
      </c>
    </row>
    <row r="43" hidden="1">
      <c r="A43" s="98" t="s">
        <v>68</v>
      </c>
      <c r="B43" s="66">
        <f>B7*5+B39</f>
        <v>22500</v>
      </c>
      <c r="C43" s="65">
        <f t="shared" si="97"/>
        <v>20250</v>
      </c>
      <c r="D43" s="66">
        <f t="shared" si="98"/>
        <v>18243.24324</v>
      </c>
      <c r="E43" s="96">
        <v>1.0</v>
      </c>
      <c r="F43" s="66">
        <f t="shared" si="99"/>
        <v>3500</v>
      </c>
      <c r="G43" s="66">
        <f t="shared" si="100"/>
        <v>2100</v>
      </c>
      <c r="H43" s="66">
        <f t="shared" si="101"/>
        <v>1575</v>
      </c>
      <c r="I43" s="66">
        <f t="shared" si="102"/>
        <v>0</v>
      </c>
      <c r="J43" s="68">
        <v>1250.0</v>
      </c>
      <c r="K43" s="66">
        <f t="shared" si="103"/>
        <v>912.1621622</v>
      </c>
      <c r="L43" s="69">
        <f t="shared" si="104"/>
        <v>27580.40541</v>
      </c>
      <c r="M43" s="70">
        <f t="shared" si="105"/>
        <v>0.1253071429</v>
      </c>
      <c r="N43" s="71">
        <f t="shared" si="106"/>
        <v>3951.126126</v>
      </c>
      <c r="O43" s="66">
        <f t="shared" si="107"/>
        <v>31531.53153</v>
      </c>
      <c r="P43" s="78">
        <v>35000.0</v>
      </c>
      <c r="Q43" s="73">
        <f t="shared" si="108"/>
        <v>35000</v>
      </c>
      <c r="R43" s="74"/>
      <c r="S43" s="75"/>
      <c r="T43" s="66">
        <f t="shared" si="109"/>
        <v>0</v>
      </c>
      <c r="U43" s="66">
        <f t="shared" si="110"/>
        <v>0</v>
      </c>
      <c r="V43" s="66">
        <f t="shared" si="111"/>
        <v>0</v>
      </c>
      <c r="W43" s="66">
        <f t="shared" si="112"/>
        <v>0</v>
      </c>
      <c r="X43" s="68">
        <v>1250.0</v>
      </c>
      <c r="Y43" s="66">
        <f t="shared" si="113"/>
        <v>0</v>
      </c>
      <c r="Z43" s="69">
        <f t="shared" si="114"/>
        <v>1250</v>
      </c>
      <c r="AA43" s="70" t="str">
        <f t="shared" si="115"/>
        <v>#DIV/0!</v>
      </c>
      <c r="AB43" s="71">
        <f t="shared" si="116"/>
        <v>-1250</v>
      </c>
      <c r="AC43" s="66">
        <f t="shared" si="117"/>
        <v>0</v>
      </c>
      <c r="AD43" s="78"/>
      <c r="AE43" s="73" t="str">
        <f t="shared" si="118"/>
        <v>#DIV/0!</v>
      </c>
      <c r="AF43" s="76"/>
      <c r="AG43" s="75"/>
      <c r="AH43" s="66">
        <f t="shared" si="119"/>
        <v>0</v>
      </c>
      <c r="AI43" s="66">
        <f t="shared" si="120"/>
        <v>0</v>
      </c>
      <c r="AJ43" s="66">
        <f t="shared" si="121"/>
        <v>0</v>
      </c>
      <c r="AK43" s="66">
        <f t="shared" si="122"/>
        <v>0</v>
      </c>
      <c r="AL43" s="68">
        <v>1250.0</v>
      </c>
      <c r="AM43" s="66">
        <f t="shared" si="123"/>
        <v>0</v>
      </c>
      <c r="AN43" s="69">
        <f t="shared" si="124"/>
        <v>1250</v>
      </c>
      <c r="AO43" s="70" t="str">
        <f t="shared" si="125"/>
        <v>#DIV/0!</v>
      </c>
      <c r="AP43" s="71">
        <f t="shared" si="126"/>
        <v>-1250</v>
      </c>
      <c r="AQ43" s="66">
        <f t="shared" si="127"/>
        <v>0</v>
      </c>
      <c r="AR43" s="78"/>
      <c r="AS43" s="73" t="str">
        <f t="shared" si="128"/>
        <v>#DIV/0!</v>
      </c>
    </row>
    <row r="44" hidden="1">
      <c r="A44" s="98" t="s">
        <v>69</v>
      </c>
      <c r="B44" s="66">
        <f>B7*5+B40</f>
        <v>23500</v>
      </c>
      <c r="C44" s="65">
        <f t="shared" si="97"/>
        <v>21150</v>
      </c>
      <c r="D44" s="66">
        <f t="shared" si="98"/>
        <v>19054.05405</v>
      </c>
      <c r="E44" s="96">
        <v>1.0</v>
      </c>
      <c r="F44" s="66">
        <f t="shared" si="99"/>
        <v>3700</v>
      </c>
      <c r="G44" s="66">
        <f t="shared" si="100"/>
        <v>2220</v>
      </c>
      <c r="H44" s="66">
        <f t="shared" si="101"/>
        <v>1665</v>
      </c>
      <c r="I44" s="66">
        <f t="shared" si="102"/>
        <v>0</v>
      </c>
      <c r="J44" s="68">
        <v>1250.0</v>
      </c>
      <c r="K44" s="66">
        <f t="shared" si="103"/>
        <v>952.7027027</v>
      </c>
      <c r="L44" s="69">
        <f t="shared" si="104"/>
        <v>28841.75676</v>
      </c>
      <c r="M44" s="70">
        <f t="shared" si="105"/>
        <v>0.1347472973</v>
      </c>
      <c r="N44" s="71">
        <f t="shared" si="106"/>
        <v>4491.576577</v>
      </c>
      <c r="O44" s="66">
        <f t="shared" si="107"/>
        <v>33333.33333</v>
      </c>
      <c r="P44" s="78">
        <v>37000.0</v>
      </c>
      <c r="Q44" s="73">
        <f t="shared" si="108"/>
        <v>37000</v>
      </c>
      <c r="R44" s="74"/>
      <c r="S44" s="75"/>
      <c r="T44" s="66">
        <f t="shared" si="109"/>
        <v>0</v>
      </c>
      <c r="U44" s="66">
        <f t="shared" si="110"/>
        <v>0</v>
      </c>
      <c r="V44" s="66">
        <f t="shared" si="111"/>
        <v>0</v>
      </c>
      <c r="W44" s="66">
        <f t="shared" si="112"/>
        <v>0</v>
      </c>
      <c r="X44" s="68">
        <v>1250.0</v>
      </c>
      <c r="Y44" s="66">
        <f t="shared" si="113"/>
        <v>0</v>
      </c>
      <c r="Z44" s="69">
        <f t="shared" si="114"/>
        <v>1250</v>
      </c>
      <c r="AA44" s="70" t="str">
        <f t="shared" si="115"/>
        <v>#DIV/0!</v>
      </c>
      <c r="AB44" s="71">
        <f t="shared" si="116"/>
        <v>-1250</v>
      </c>
      <c r="AC44" s="66">
        <f t="shared" si="117"/>
        <v>0</v>
      </c>
      <c r="AD44" s="78"/>
      <c r="AE44" s="73" t="str">
        <f t="shared" si="118"/>
        <v>#DIV/0!</v>
      </c>
      <c r="AF44" s="76"/>
      <c r="AG44" s="75"/>
      <c r="AH44" s="66">
        <f t="shared" si="119"/>
        <v>0</v>
      </c>
      <c r="AI44" s="66">
        <f t="shared" si="120"/>
        <v>0</v>
      </c>
      <c r="AJ44" s="66">
        <f t="shared" si="121"/>
        <v>0</v>
      </c>
      <c r="AK44" s="66">
        <f t="shared" si="122"/>
        <v>0</v>
      </c>
      <c r="AL44" s="68">
        <v>1250.0</v>
      </c>
      <c r="AM44" s="66">
        <f t="shared" si="123"/>
        <v>0</v>
      </c>
      <c r="AN44" s="69">
        <f t="shared" si="124"/>
        <v>1250</v>
      </c>
      <c r="AO44" s="70" t="str">
        <f t="shared" si="125"/>
        <v>#DIV/0!</v>
      </c>
      <c r="AP44" s="71">
        <f t="shared" si="126"/>
        <v>-1250</v>
      </c>
      <c r="AQ44" s="66">
        <f t="shared" si="127"/>
        <v>0</v>
      </c>
      <c r="AR44" s="78"/>
      <c r="AS44" s="73" t="str">
        <f t="shared" si="128"/>
        <v>#DIV/0!</v>
      </c>
    </row>
    <row r="45">
      <c r="A45" s="99" t="s">
        <v>70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1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76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</row>
    <row r="46">
      <c r="A46" s="95" t="s">
        <v>71</v>
      </c>
      <c r="B46" s="66">
        <f t="shared" ref="B46:B48" si="129">B5</f>
        <v>3200</v>
      </c>
      <c r="C46" s="65">
        <f t="shared" ref="C46:C69" si="130">B46*$C$4</f>
        <v>2880</v>
      </c>
      <c r="D46" s="66">
        <f t="shared" ref="D46:D69" si="131">C46/$D$4</f>
        <v>2594.594595</v>
      </c>
      <c r="E46" s="67">
        <v>6.0</v>
      </c>
      <c r="F46" s="66">
        <f t="shared" ref="F46:F69" si="132">P46*$F$3</f>
        <v>2750</v>
      </c>
      <c r="G46" s="66">
        <f t="shared" ref="G46:G69" si="133">P46*$G$3</f>
        <v>1650</v>
      </c>
      <c r="H46" s="66">
        <f t="shared" ref="H46:H69" si="134">P46*$H$3</f>
        <v>1237.5</v>
      </c>
      <c r="I46" s="66">
        <f t="shared" ref="I46:I69" si="135">P46*$I$3</f>
        <v>0</v>
      </c>
      <c r="J46" s="68">
        <v>1250.0</v>
      </c>
      <c r="K46" s="66">
        <f t="shared" ref="K46:K69" si="136">D46*$K$3</f>
        <v>129.7297297</v>
      </c>
      <c r="L46" s="69">
        <f t="shared" ref="L46:L69" si="137">(D46*E46)+F46+G46+H46+I46+J46+K46</f>
        <v>22584.7973</v>
      </c>
      <c r="M46" s="70">
        <f t="shared" ref="M46:M69" si="138">N46/O46</f>
        <v>0.08839545455</v>
      </c>
      <c r="N46" s="71">
        <f t="shared" ref="N46:N69" si="139">O46-L46</f>
        <v>2189.977477</v>
      </c>
      <c r="O46" s="66">
        <f t="shared" ref="O46:O69" si="140">P46/$O$4</f>
        <v>24774.77477</v>
      </c>
      <c r="P46" s="78">
        <v>27500.0</v>
      </c>
      <c r="Q46" s="73">
        <f t="shared" ref="Q46:Q69" si="141">P46/E46</f>
        <v>4583.333333</v>
      </c>
      <c r="R46" s="74"/>
      <c r="S46" s="75"/>
      <c r="T46" s="66">
        <f t="shared" ref="T46:T49" si="142">AD46*$T$3</f>
        <v>0</v>
      </c>
      <c r="U46" s="66">
        <f t="shared" ref="U46:U49" si="143">AD46*$U$3</f>
        <v>0</v>
      </c>
      <c r="V46" s="66">
        <f t="shared" ref="V46:V49" si="144">AD46*$V$3</f>
        <v>0</v>
      </c>
      <c r="W46" s="66">
        <f t="shared" ref="W46:W49" si="145">AD46*$W$3</f>
        <v>0</v>
      </c>
      <c r="X46" s="68">
        <v>1250.0</v>
      </c>
      <c r="Y46" s="66">
        <f t="shared" ref="Y46:Y49" si="146">R46*$Y$3</f>
        <v>0</v>
      </c>
      <c r="Z46" s="69">
        <f t="shared" ref="Z46:Z49" si="147">(D46*S46)+T46+U46+V46+W46+X46+Y46</f>
        <v>1250</v>
      </c>
      <c r="AA46" s="70" t="str">
        <f t="shared" ref="AA46:AA49" si="148">AB46/AC46</f>
        <v>#DIV/0!</v>
      </c>
      <c r="AB46" s="71">
        <f t="shared" ref="AB46:AB49" si="149">AC46-Z46</f>
        <v>-1250</v>
      </c>
      <c r="AC46" s="66">
        <f t="shared" ref="AC46:AC49" si="150">AD46/$O$4</f>
        <v>0</v>
      </c>
      <c r="AD46" s="78"/>
      <c r="AE46" s="73" t="str">
        <f t="shared" ref="AE46:AE49" si="151">AD46/S46</f>
        <v>#DIV/0!</v>
      </c>
      <c r="AF46" s="76"/>
      <c r="AG46" s="75"/>
      <c r="AH46" s="66">
        <f t="shared" ref="AH46:AH49" si="152">AR46*$AH$3</f>
        <v>0</v>
      </c>
      <c r="AI46" s="66">
        <f t="shared" ref="AI46:AI49" si="153">AR46*$AI$3</f>
        <v>0</v>
      </c>
      <c r="AJ46" s="66">
        <f t="shared" ref="AJ46:AJ49" si="154">AR46*$AJ$3</f>
        <v>0</v>
      </c>
      <c r="AK46" s="66">
        <f t="shared" ref="AK46:AK49" si="155">AR46*$AK$3</f>
        <v>0</v>
      </c>
      <c r="AL46" s="68">
        <v>1250.0</v>
      </c>
      <c r="AM46" s="66">
        <f t="shared" ref="AM46:AM49" si="156">AF46*$AM$3</f>
        <v>0</v>
      </c>
      <c r="AN46" s="69">
        <f t="shared" ref="AN46:AN49" si="157">(R46*AG46)+AH46+AI46+AJ46+AK46+AL46+AM46</f>
        <v>1250</v>
      </c>
      <c r="AO46" s="70" t="str">
        <f t="shared" ref="AO46:AO49" si="158">AP46/AQ46</f>
        <v>#DIV/0!</v>
      </c>
      <c r="AP46" s="71">
        <f t="shared" ref="AP46:AP49" si="159">AQ46-AN46</f>
        <v>-1250</v>
      </c>
      <c r="AQ46" s="66">
        <f t="shared" ref="AQ46:AQ49" si="160">AR46/$O$4</f>
        <v>0</v>
      </c>
      <c r="AR46" s="78"/>
      <c r="AS46" s="73" t="str">
        <f t="shared" ref="AS46:AS49" si="161">AR46/AG46</f>
        <v>#DIV/0!</v>
      </c>
    </row>
    <row r="47">
      <c r="A47" s="95" t="s">
        <v>72</v>
      </c>
      <c r="B47" s="66">
        <f t="shared" si="129"/>
        <v>3500</v>
      </c>
      <c r="C47" s="65">
        <f t="shared" si="130"/>
        <v>3150</v>
      </c>
      <c r="D47" s="66">
        <f t="shared" si="131"/>
        <v>2837.837838</v>
      </c>
      <c r="E47" s="67">
        <v>6.0</v>
      </c>
      <c r="F47" s="66">
        <f t="shared" si="132"/>
        <v>2940</v>
      </c>
      <c r="G47" s="66">
        <f t="shared" si="133"/>
        <v>1764</v>
      </c>
      <c r="H47" s="66">
        <f t="shared" si="134"/>
        <v>1323</v>
      </c>
      <c r="I47" s="66">
        <f t="shared" si="135"/>
        <v>0</v>
      </c>
      <c r="J47" s="68">
        <v>1250.0</v>
      </c>
      <c r="K47" s="66">
        <f t="shared" si="136"/>
        <v>141.8918919</v>
      </c>
      <c r="L47" s="69">
        <f t="shared" si="137"/>
        <v>24445.91892</v>
      </c>
      <c r="M47" s="70">
        <f t="shared" si="138"/>
        <v>0.07704183673</v>
      </c>
      <c r="N47" s="71">
        <f t="shared" si="139"/>
        <v>2040.567568</v>
      </c>
      <c r="O47" s="66">
        <f t="shared" si="140"/>
        <v>26486.48649</v>
      </c>
      <c r="P47" s="78">
        <v>29400.0</v>
      </c>
      <c r="Q47" s="73">
        <f t="shared" si="141"/>
        <v>4900</v>
      </c>
      <c r="R47" s="74"/>
      <c r="S47" s="75"/>
      <c r="T47" s="66">
        <f t="shared" si="142"/>
        <v>0</v>
      </c>
      <c r="U47" s="66">
        <f t="shared" si="143"/>
        <v>0</v>
      </c>
      <c r="V47" s="66">
        <f t="shared" si="144"/>
        <v>0</v>
      </c>
      <c r="W47" s="66">
        <f t="shared" si="145"/>
        <v>0</v>
      </c>
      <c r="X47" s="68">
        <v>1250.0</v>
      </c>
      <c r="Y47" s="66">
        <f t="shared" si="146"/>
        <v>0</v>
      </c>
      <c r="Z47" s="69">
        <f t="shared" si="147"/>
        <v>1250</v>
      </c>
      <c r="AA47" s="70" t="str">
        <f t="shared" si="148"/>
        <v>#DIV/0!</v>
      </c>
      <c r="AB47" s="71">
        <f t="shared" si="149"/>
        <v>-1250</v>
      </c>
      <c r="AC47" s="66">
        <f t="shared" si="150"/>
        <v>0</v>
      </c>
      <c r="AD47" s="78"/>
      <c r="AE47" s="73" t="str">
        <f t="shared" si="151"/>
        <v>#DIV/0!</v>
      </c>
      <c r="AF47" s="76"/>
      <c r="AG47" s="75"/>
      <c r="AH47" s="66">
        <f t="shared" si="152"/>
        <v>0</v>
      </c>
      <c r="AI47" s="66">
        <f t="shared" si="153"/>
        <v>0</v>
      </c>
      <c r="AJ47" s="66">
        <f t="shared" si="154"/>
        <v>0</v>
      </c>
      <c r="AK47" s="66">
        <f t="shared" si="155"/>
        <v>0</v>
      </c>
      <c r="AL47" s="68">
        <v>1250.0</v>
      </c>
      <c r="AM47" s="66">
        <f t="shared" si="156"/>
        <v>0</v>
      </c>
      <c r="AN47" s="69">
        <f t="shared" si="157"/>
        <v>1250</v>
      </c>
      <c r="AO47" s="70" t="str">
        <f t="shared" si="158"/>
        <v>#DIV/0!</v>
      </c>
      <c r="AP47" s="71">
        <f t="shared" si="159"/>
        <v>-1250</v>
      </c>
      <c r="AQ47" s="66">
        <f t="shared" si="160"/>
        <v>0</v>
      </c>
      <c r="AR47" s="78"/>
      <c r="AS47" s="73" t="str">
        <f t="shared" si="161"/>
        <v>#DIV/0!</v>
      </c>
    </row>
    <row r="48">
      <c r="A48" s="95" t="s">
        <v>73</v>
      </c>
      <c r="B48" s="66">
        <f t="shared" si="129"/>
        <v>3900</v>
      </c>
      <c r="C48" s="65">
        <f t="shared" si="130"/>
        <v>3510</v>
      </c>
      <c r="D48" s="66">
        <f t="shared" si="131"/>
        <v>3162.162162</v>
      </c>
      <c r="E48" s="67">
        <v>6.0</v>
      </c>
      <c r="F48" s="66">
        <f t="shared" si="132"/>
        <v>3450</v>
      </c>
      <c r="G48" s="66">
        <f t="shared" si="133"/>
        <v>2070</v>
      </c>
      <c r="H48" s="66">
        <f t="shared" si="134"/>
        <v>1552.5</v>
      </c>
      <c r="I48" s="66">
        <f t="shared" si="135"/>
        <v>0</v>
      </c>
      <c r="J48" s="68">
        <v>1250.0</v>
      </c>
      <c r="K48" s="66">
        <f t="shared" si="136"/>
        <v>158.1081081</v>
      </c>
      <c r="L48" s="69">
        <f t="shared" si="137"/>
        <v>27453.58108</v>
      </c>
      <c r="M48" s="70">
        <f t="shared" si="138"/>
        <v>0.1167108696</v>
      </c>
      <c r="N48" s="71">
        <f t="shared" si="139"/>
        <v>3627.5</v>
      </c>
      <c r="O48" s="66">
        <f t="shared" si="140"/>
        <v>31081.08108</v>
      </c>
      <c r="P48" s="78">
        <v>34500.0</v>
      </c>
      <c r="Q48" s="73">
        <f t="shared" si="141"/>
        <v>5750</v>
      </c>
      <c r="R48" s="74"/>
      <c r="S48" s="75"/>
      <c r="T48" s="66">
        <f t="shared" si="142"/>
        <v>0</v>
      </c>
      <c r="U48" s="66">
        <f t="shared" si="143"/>
        <v>0</v>
      </c>
      <c r="V48" s="66">
        <f t="shared" si="144"/>
        <v>0</v>
      </c>
      <c r="W48" s="66">
        <f t="shared" si="145"/>
        <v>0</v>
      </c>
      <c r="X48" s="68">
        <v>1250.0</v>
      </c>
      <c r="Y48" s="66">
        <f t="shared" si="146"/>
        <v>0</v>
      </c>
      <c r="Z48" s="69">
        <f t="shared" si="147"/>
        <v>1250</v>
      </c>
      <c r="AA48" s="70" t="str">
        <f t="shared" si="148"/>
        <v>#DIV/0!</v>
      </c>
      <c r="AB48" s="71">
        <f t="shared" si="149"/>
        <v>-1250</v>
      </c>
      <c r="AC48" s="66">
        <f t="shared" si="150"/>
        <v>0</v>
      </c>
      <c r="AD48" s="78"/>
      <c r="AE48" s="73" t="str">
        <f t="shared" si="151"/>
        <v>#DIV/0!</v>
      </c>
      <c r="AF48" s="76"/>
      <c r="AG48" s="75"/>
      <c r="AH48" s="66">
        <f t="shared" si="152"/>
        <v>0</v>
      </c>
      <c r="AI48" s="66">
        <f t="shared" si="153"/>
        <v>0</v>
      </c>
      <c r="AJ48" s="66">
        <f t="shared" si="154"/>
        <v>0</v>
      </c>
      <c r="AK48" s="66">
        <f t="shared" si="155"/>
        <v>0</v>
      </c>
      <c r="AL48" s="68">
        <v>1250.0</v>
      </c>
      <c r="AM48" s="66">
        <f t="shared" si="156"/>
        <v>0</v>
      </c>
      <c r="AN48" s="69">
        <f t="shared" si="157"/>
        <v>1250</v>
      </c>
      <c r="AO48" s="70" t="str">
        <f t="shared" si="158"/>
        <v>#DIV/0!</v>
      </c>
      <c r="AP48" s="71">
        <f t="shared" si="159"/>
        <v>-1250</v>
      </c>
      <c r="AQ48" s="66">
        <f t="shared" si="160"/>
        <v>0</v>
      </c>
      <c r="AR48" s="78"/>
      <c r="AS48" s="73" t="str">
        <f t="shared" si="161"/>
        <v>#DIV/0!</v>
      </c>
    </row>
    <row r="49">
      <c r="A49" s="97" t="s">
        <v>74</v>
      </c>
      <c r="B49" s="66">
        <f>B17</f>
        <v>3700</v>
      </c>
      <c r="C49" s="65">
        <f t="shared" si="130"/>
        <v>3330</v>
      </c>
      <c r="D49" s="66">
        <f t="shared" si="131"/>
        <v>3000</v>
      </c>
      <c r="E49" s="67">
        <v>6.0</v>
      </c>
      <c r="F49" s="66">
        <f t="shared" si="132"/>
        <v>3050</v>
      </c>
      <c r="G49" s="66">
        <f t="shared" si="133"/>
        <v>1830</v>
      </c>
      <c r="H49" s="66">
        <f t="shared" si="134"/>
        <v>1372.5</v>
      </c>
      <c r="I49" s="66">
        <f t="shared" si="135"/>
        <v>0</v>
      </c>
      <c r="J49" s="68">
        <v>1250.0</v>
      </c>
      <c r="K49" s="66">
        <f t="shared" si="136"/>
        <v>150</v>
      </c>
      <c r="L49" s="69">
        <f t="shared" si="137"/>
        <v>25652.5</v>
      </c>
      <c r="M49" s="70">
        <f t="shared" si="138"/>
        <v>0.06641721311</v>
      </c>
      <c r="N49" s="71">
        <f t="shared" si="139"/>
        <v>1824.977477</v>
      </c>
      <c r="O49" s="66">
        <f t="shared" si="140"/>
        <v>27477.47748</v>
      </c>
      <c r="P49" s="78">
        <v>30500.0</v>
      </c>
      <c r="Q49" s="73">
        <f t="shared" si="141"/>
        <v>5083.333333</v>
      </c>
      <c r="R49" s="74"/>
      <c r="S49" s="75"/>
      <c r="T49" s="66">
        <f t="shared" si="142"/>
        <v>0</v>
      </c>
      <c r="U49" s="66">
        <f t="shared" si="143"/>
        <v>0</v>
      </c>
      <c r="V49" s="66">
        <f t="shared" si="144"/>
        <v>0</v>
      </c>
      <c r="W49" s="66">
        <f t="shared" si="145"/>
        <v>0</v>
      </c>
      <c r="X49" s="68">
        <v>1250.0</v>
      </c>
      <c r="Y49" s="66">
        <f t="shared" si="146"/>
        <v>0</v>
      </c>
      <c r="Z49" s="69">
        <f t="shared" si="147"/>
        <v>1250</v>
      </c>
      <c r="AA49" s="70" t="str">
        <f t="shared" si="148"/>
        <v>#DIV/0!</v>
      </c>
      <c r="AB49" s="71">
        <f t="shared" si="149"/>
        <v>-1250</v>
      </c>
      <c r="AC49" s="66">
        <f t="shared" si="150"/>
        <v>0</v>
      </c>
      <c r="AD49" s="78"/>
      <c r="AE49" s="73" t="str">
        <f t="shared" si="151"/>
        <v>#DIV/0!</v>
      </c>
      <c r="AF49" s="76"/>
      <c r="AG49" s="75"/>
      <c r="AH49" s="66">
        <f t="shared" si="152"/>
        <v>0</v>
      </c>
      <c r="AI49" s="66">
        <f t="shared" si="153"/>
        <v>0</v>
      </c>
      <c r="AJ49" s="66">
        <f t="shared" si="154"/>
        <v>0</v>
      </c>
      <c r="AK49" s="66">
        <f t="shared" si="155"/>
        <v>0</v>
      </c>
      <c r="AL49" s="68">
        <v>1250.0</v>
      </c>
      <c r="AM49" s="66">
        <f t="shared" si="156"/>
        <v>0</v>
      </c>
      <c r="AN49" s="69">
        <f t="shared" si="157"/>
        <v>1250</v>
      </c>
      <c r="AO49" s="70" t="str">
        <f t="shared" si="158"/>
        <v>#DIV/0!</v>
      </c>
      <c r="AP49" s="71">
        <f t="shared" si="159"/>
        <v>-1250</v>
      </c>
      <c r="AQ49" s="66">
        <f t="shared" si="160"/>
        <v>0</v>
      </c>
      <c r="AR49" s="78"/>
      <c r="AS49" s="73" t="str">
        <f t="shared" si="161"/>
        <v>#DIV/0!</v>
      </c>
    </row>
    <row r="50">
      <c r="A50" s="103" t="s">
        <v>75</v>
      </c>
      <c r="B50" s="66">
        <f>B5*3+B6*2+B7</f>
        <v>20500</v>
      </c>
      <c r="C50" s="65">
        <f t="shared" si="130"/>
        <v>18450</v>
      </c>
      <c r="D50" s="66">
        <f t="shared" si="131"/>
        <v>16621.62162</v>
      </c>
      <c r="E50" s="67">
        <v>1.0</v>
      </c>
      <c r="F50" s="66">
        <f t="shared" si="132"/>
        <v>0</v>
      </c>
      <c r="G50" s="66">
        <f t="shared" si="133"/>
        <v>0</v>
      </c>
      <c r="H50" s="66">
        <f t="shared" si="134"/>
        <v>0</v>
      </c>
      <c r="I50" s="66">
        <f t="shared" si="135"/>
        <v>0</v>
      </c>
      <c r="J50" s="68">
        <v>1250.0</v>
      </c>
      <c r="K50" s="66">
        <f t="shared" si="136"/>
        <v>831.0810811</v>
      </c>
      <c r="L50" s="69">
        <f t="shared" si="137"/>
        <v>18702.7027</v>
      </c>
      <c r="M50" s="70" t="str">
        <f t="shared" si="138"/>
        <v>#DIV/0!</v>
      </c>
      <c r="N50" s="71">
        <f t="shared" si="139"/>
        <v>-18702.7027</v>
      </c>
      <c r="O50" s="66">
        <f t="shared" si="140"/>
        <v>0</v>
      </c>
      <c r="P50" s="78"/>
      <c r="Q50" s="73">
        <f t="shared" si="141"/>
        <v>0</v>
      </c>
      <c r="R50" s="74"/>
      <c r="S50" s="75"/>
      <c r="T50" s="66"/>
      <c r="U50" s="66"/>
      <c r="V50" s="66"/>
      <c r="W50" s="66"/>
      <c r="X50" s="68"/>
      <c r="Y50" s="66"/>
      <c r="Z50" s="69"/>
      <c r="AA50" s="70"/>
      <c r="AB50" s="71"/>
      <c r="AC50" s="66"/>
      <c r="AD50" s="78"/>
      <c r="AE50" s="73"/>
      <c r="AF50" s="76"/>
      <c r="AG50" s="75"/>
      <c r="AH50" s="66"/>
      <c r="AI50" s="66"/>
      <c r="AJ50" s="66"/>
      <c r="AK50" s="66"/>
      <c r="AL50" s="68"/>
      <c r="AM50" s="66"/>
      <c r="AN50" s="69"/>
      <c r="AO50" s="70"/>
      <c r="AP50" s="71"/>
      <c r="AQ50" s="66"/>
      <c r="AR50" s="78"/>
      <c r="AS50" s="73"/>
    </row>
    <row r="51">
      <c r="A51" s="104" t="s">
        <v>76</v>
      </c>
      <c r="B51" s="66">
        <f t="shared" ref="B51:B52" si="162">B5*3+B6*3</f>
        <v>20100</v>
      </c>
      <c r="C51" s="65">
        <f t="shared" si="130"/>
        <v>18090</v>
      </c>
      <c r="D51" s="66">
        <f t="shared" si="131"/>
        <v>16297.2973</v>
      </c>
      <c r="E51" s="67">
        <v>1.0</v>
      </c>
      <c r="F51" s="66">
        <f t="shared" si="132"/>
        <v>0</v>
      </c>
      <c r="G51" s="66">
        <f t="shared" si="133"/>
        <v>0</v>
      </c>
      <c r="H51" s="66">
        <f t="shared" si="134"/>
        <v>0</v>
      </c>
      <c r="I51" s="66">
        <f t="shared" si="135"/>
        <v>0</v>
      </c>
      <c r="J51" s="68">
        <v>1250.0</v>
      </c>
      <c r="K51" s="66">
        <f t="shared" si="136"/>
        <v>814.8648649</v>
      </c>
      <c r="L51" s="69">
        <f t="shared" si="137"/>
        <v>18362.16216</v>
      </c>
      <c r="M51" s="70" t="str">
        <f t="shared" si="138"/>
        <v>#DIV/0!</v>
      </c>
      <c r="N51" s="71">
        <f t="shared" si="139"/>
        <v>-18362.16216</v>
      </c>
      <c r="O51" s="66">
        <f t="shared" si="140"/>
        <v>0</v>
      </c>
      <c r="P51" s="78"/>
      <c r="Q51" s="73">
        <f t="shared" si="141"/>
        <v>0</v>
      </c>
      <c r="R51" s="74"/>
      <c r="S51" s="75"/>
      <c r="T51" s="66"/>
      <c r="U51" s="66"/>
      <c r="V51" s="66"/>
      <c r="W51" s="66"/>
      <c r="X51" s="68"/>
      <c r="Y51" s="66"/>
      <c r="Z51" s="69"/>
      <c r="AA51" s="70"/>
      <c r="AB51" s="71"/>
      <c r="AC51" s="66"/>
      <c r="AD51" s="78"/>
      <c r="AE51" s="73"/>
      <c r="AF51" s="76"/>
      <c r="AG51" s="75"/>
      <c r="AH51" s="66"/>
      <c r="AI51" s="66"/>
      <c r="AJ51" s="66"/>
      <c r="AK51" s="66"/>
      <c r="AL51" s="68"/>
      <c r="AM51" s="66"/>
      <c r="AN51" s="69"/>
      <c r="AO51" s="70"/>
      <c r="AP51" s="71"/>
      <c r="AQ51" s="66"/>
      <c r="AR51" s="78"/>
      <c r="AS51" s="73"/>
    </row>
    <row r="52">
      <c r="A52" s="104" t="s">
        <v>77</v>
      </c>
      <c r="B52" s="66">
        <f t="shared" si="162"/>
        <v>22200</v>
      </c>
      <c r="C52" s="65">
        <f t="shared" si="130"/>
        <v>19980</v>
      </c>
      <c r="D52" s="66">
        <f t="shared" si="131"/>
        <v>18000</v>
      </c>
      <c r="E52" s="67">
        <v>1.0</v>
      </c>
      <c r="F52" s="66">
        <f t="shared" si="132"/>
        <v>0</v>
      </c>
      <c r="G52" s="66">
        <f t="shared" si="133"/>
        <v>0</v>
      </c>
      <c r="H52" s="66">
        <f t="shared" si="134"/>
        <v>0</v>
      </c>
      <c r="I52" s="66">
        <f t="shared" si="135"/>
        <v>0</v>
      </c>
      <c r="J52" s="68">
        <v>1250.0</v>
      </c>
      <c r="K52" s="66">
        <f t="shared" si="136"/>
        <v>900</v>
      </c>
      <c r="L52" s="69">
        <f t="shared" si="137"/>
        <v>20150</v>
      </c>
      <c r="M52" s="70" t="str">
        <f t="shared" si="138"/>
        <v>#DIV/0!</v>
      </c>
      <c r="N52" s="71">
        <f t="shared" si="139"/>
        <v>-20150</v>
      </c>
      <c r="O52" s="66">
        <f t="shared" si="140"/>
        <v>0</v>
      </c>
      <c r="P52" s="78"/>
      <c r="Q52" s="73">
        <f t="shared" si="141"/>
        <v>0</v>
      </c>
      <c r="R52" s="74"/>
      <c r="S52" s="75"/>
      <c r="T52" s="66"/>
      <c r="U52" s="66"/>
      <c r="V52" s="66"/>
      <c r="W52" s="66"/>
      <c r="X52" s="68"/>
      <c r="Y52" s="66"/>
      <c r="Z52" s="69"/>
      <c r="AA52" s="70"/>
      <c r="AB52" s="71"/>
      <c r="AC52" s="66"/>
      <c r="AD52" s="78"/>
      <c r="AE52" s="73"/>
      <c r="AF52" s="76"/>
      <c r="AG52" s="75"/>
      <c r="AH52" s="66"/>
      <c r="AI52" s="66"/>
      <c r="AJ52" s="66"/>
      <c r="AK52" s="66"/>
      <c r="AL52" s="68"/>
      <c r="AM52" s="66"/>
      <c r="AN52" s="69"/>
      <c r="AO52" s="70"/>
      <c r="AP52" s="71"/>
      <c r="AQ52" s="66"/>
      <c r="AR52" s="78"/>
      <c r="AS52" s="73"/>
    </row>
    <row r="53">
      <c r="A53" s="104" t="s">
        <v>78</v>
      </c>
      <c r="B53" s="66">
        <f>B9*3+B5*3</f>
        <v>38100</v>
      </c>
      <c r="C53" s="65">
        <f t="shared" si="130"/>
        <v>34290</v>
      </c>
      <c r="D53" s="66">
        <f t="shared" si="131"/>
        <v>30891.89189</v>
      </c>
      <c r="E53" s="67">
        <v>1.0</v>
      </c>
      <c r="F53" s="66">
        <f t="shared" si="132"/>
        <v>0</v>
      </c>
      <c r="G53" s="66">
        <f t="shared" si="133"/>
        <v>0</v>
      </c>
      <c r="H53" s="66">
        <f t="shared" si="134"/>
        <v>0</v>
      </c>
      <c r="I53" s="66">
        <f t="shared" si="135"/>
        <v>0</v>
      </c>
      <c r="J53" s="68">
        <v>1250.0</v>
      </c>
      <c r="K53" s="66">
        <f t="shared" si="136"/>
        <v>1544.594595</v>
      </c>
      <c r="L53" s="69">
        <f t="shared" si="137"/>
        <v>33686.48649</v>
      </c>
      <c r="M53" s="70" t="str">
        <f t="shared" si="138"/>
        <v>#DIV/0!</v>
      </c>
      <c r="N53" s="71">
        <f t="shared" si="139"/>
        <v>-33686.48649</v>
      </c>
      <c r="O53" s="66">
        <f t="shared" si="140"/>
        <v>0</v>
      </c>
      <c r="P53" s="78"/>
      <c r="Q53" s="73">
        <f t="shared" si="141"/>
        <v>0</v>
      </c>
      <c r="R53" s="74"/>
      <c r="S53" s="75"/>
      <c r="T53" s="66"/>
      <c r="U53" s="66"/>
      <c r="V53" s="66"/>
      <c r="W53" s="66"/>
      <c r="X53" s="68"/>
      <c r="Y53" s="66"/>
      <c r="Z53" s="69"/>
      <c r="AA53" s="70"/>
      <c r="AB53" s="71"/>
      <c r="AC53" s="66"/>
      <c r="AD53" s="78"/>
      <c r="AE53" s="73"/>
      <c r="AF53" s="76"/>
      <c r="AG53" s="75"/>
      <c r="AH53" s="66"/>
      <c r="AI53" s="66"/>
      <c r="AJ53" s="66"/>
      <c r="AK53" s="66"/>
      <c r="AL53" s="68"/>
      <c r="AM53" s="66"/>
      <c r="AN53" s="69"/>
      <c r="AO53" s="70"/>
      <c r="AP53" s="71"/>
      <c r="AQ53" s="66"/>
      <c r="AR53" s="78"/>
      <c r="AS53" s="73"/>
    </row>
    <row r="54">
      <c r="A54" s="104" t="s">
        <v>79</v>
      </c>
      <c r="B54" s="66">
        <f>B9*3+B5*3</f>
        <v>38100</v>
      </c>
      <c r="C54" s="65">
        <f t="shared" si="130"/>
        <v>34290</v>
      </c>
      <c r="D54" s="66">
        <f t="shared" si="131"/>
        <v>30891.89189</v>
      </c>
      <c r="E54" s="67">
        <v>1.0</v>
      </c>
      <c r="F54" s="66">
        <f t="shared" si="132"/>
        <v>0</v>
      </c>
      <c r="G54" s="66">
        <f t="shared" si="133"/>
        <v>0</v>
      </c>
      <c r="H54" s="66">
        <f t="shared" si="134"/>
        <v>0</v>
      </c>
      <c r="I54" s="66">
        <f t="shared" si="135"/>
        <v>0</v>
      </c>
      <c r="J54" s="68">
        <v>1250.0</v>
      </c>
      <c r="K54" s="66">
        <f t="shared" si="136"/>
        <v>1544.594595</v>
      </c>
      <c r="L54" s="69">
        <f t="shared" si="137"/>
        <v>33686.48649</v>
      </c>
      <c r="M54" s="70" t="str">
        <f t="shared" si="138"/>
        <v>#DIV/0!</v>
      </c>
      <c r="N54" s="71">
        <f t="shared" si="139"/>
        <v>-33686.48649</v>
      </c>
      <c r="O54" s="66">
        <f t="shared" si="140"/>
        <v>0</v>
      </c>
      <c r="P54" s="78"/>
      <c r="Q54" s="73">
        <f t="shared" si="141"/>
        <v>0</v>
      </c>
      <c r="R54" s="74"/>
      <c r="S54" s="75"/>
      <c r="T54" s="66"/>
      <c r="U54" s="66"/>
      <c r="V54" s="66"/>
      <c r="W54" s="66"/>
      <c r="X54" s="68"/>
      <c r="Y54" s="66"/>
      <c r="Z54" s="69"/>
      <c r="AA54" s="70"/>
      <c r="AB54" s="71"/>
      <c r="AC54" s="66"/>
      <c r="AD54" s="78"/>
      <c r="AE54" s="73"/>
      <c r="AF54" s="76"/>
      <c r="AG54" s="75"/>
      <c r="AH54" s="66"/>
      <c r="AI54" s="66"/>
      <c r="AJ54" s="66"/>
      <c r="AK54" s="66"/>
      <c r="AL54" s="68"/>
      <c r="AM54" s="66"/>
      <c r="AN54" s="69"/>
      <c r="AO54" s="70"/>
      <c r="AP54" s="71"/>
      <c r="AQ54" s="66"/>
      <c r="AR54" s="78"/>
      <c r="AS54" s="73"/>
    </row>
    <row r="55">
      <c r="A55" s="104" t="s">
        <v>80</v>
      </c>
      <c r="B55" s="66">
        <f>B9*3+B7*3</f>
        <v>40200</v>
      </c>
      <c r="C55" s="65">
        <f t="shared" si="130"/>
        <v>36180</v>
      </c>
      <c r="D55" s="66">
        <f t="shared" si="131"/>
        <v>32594.59459</v>
      </c>
      <c r="E55" s="67">
        <v>1.0</v>
      </c>
      <c r="F55" s="66">
        <f t="shared" si="132"/>
        <v>0</v>
      </c>
      <c r="G55" s="66">
        <f t="shared" si="133"/>
        <v>0</v>
      </c>
      <c r="H55" s="66">
        <f t="shared" si="134"/>
        <v>0</v>
      </c>
      <c r="I55" s="66">
        <f t="shared" si="135"/>
        <v>0</v>
      </c>
      <c r="J55" s="68">
        <v>1250.0</v>
      </c>
      <c r="K55" s="66">
        <f t="shared" si="136"/>
        <v>1629.72973</v>
      </c>
      <c r="L55" s="69">
        <f t="shared" si="137"/>
        <v>35474.32432</v>
      </c>
      <c r="M55" s="70" t="str">
        <f t="shared" si="138"/>
        <v>#DIV/0!</v>
      </c>
      <c r="N55" s="71">
        <f t="shared" si="139"/>
        <v>-35474.32432</v>
      </c>
      <c r="O55" s="66">
        <f t="shared" si="140"/>
        <v>0</v>
      </c>
      <c r="P55" s="78"/>
      <c r="Q55" s="73">
        <f t="shared" si="141"/>
        <v>0</v>
      </c>
      <c r="R55" s="74"/>
      <c r="S55" s="75"/>
      <c r="T55" s="66"/>
      <c r="U55" s="66"/>
      <c r="V55" s="66"/>
      <c r="W55" s="66"/>
      <c r="X55" s="68"/>
      <c r="Y55" s="66"/>
      <c r="Z55" s="69"/>
      <c r="AA55" s="70"/>
      <c r="AB55" s="71"/>
      <c r="AC55" s="66"/>
      <c r="AD55" s="78"/>
      <c r="AE55" s="73"/>
      <c r="AF55" s="76"/>
      <c r="AG55" s="75"/>
      <c r="AH55" s="66"/>
      <c r="AI55" s="66"/>
      <c r="AJ55" s="66"/>
      <c r="AK55" s="66"/>
      <c r="AL55" s="68"/>
      <c r="AM55" s="66"/>
      <c r="AN55" s="69"/>
      <c r="AO55" s="70"/>
      <c r="AP55" s="71"/>
      <c r="AQ55" s="66"/>
      <c r="AR55" s="78"/>
      <c r="AS55" s="73"/>
    </row>
    <row r="56">
      <c r="A56" s="104" t="s">
        <v>81</v>
      </c>
      <c r="B56" s="66">
        <f>B9*4+B13</f>
        <v>43700</v>
      </c>
      <c r="C56" s="65">
        <f t="shared" si="130"/>
        <v>39330</v>
      </c>
      <c r="D56" s="66">
        <f t="shared" si="131"/>
        <v>35432.43243</v>
      </c>
      <c r="E56" s="67">
        <v>1.0</v>
      </c>
      <c r="F56" s="66">
        <f t="shared" si="132"/>
        <v>0</v>
      </c>
      <c r="G56" s="66">
        <f t="shared" si="133"/>
        <v>0</v>
      </c>
      <c r="H56" s="66">
        <f t="shared" si="134"/>
        <v>0</v>
      </c>
      <c r="I56" s="66">
        <f t="shared" si="135"/>
        <v>0</v>
      </c>
      <c r="J56" s="68">
        <v>1250.0</v>
      </c>
      <c r="K56" s="66">
        <f t="shared" si="136"/>
        <v>1771.621622</v>
      </c>
      <c r="L56" s="69">
        <f t="shared" si="137"/>
        <v>38454.05405</v>
      </c>
      <c r="M56" s="70" t="str">
        <f t="shared" si="138"/>
        <v>#DIV/0!</v>
      </c>
      <c r="N56" s="71">
        <f t="shared" si="139"/>
        <v>-38454.05405</v>
      </c>
      <c r="O56" s="66">
        <f t="shared" si="140"/>
        <v>0</v>
      </c>
      <c r="P56" s="78"/>
      <c r="Q56" s="73">
        <f t="shared" si="141"/>
        <v>0</v>
      </c>
      <c r="R56" s="74"/>
      <c r="S56" s="75"/>
      <c r="T56" s="66"/>
      <c r="U56" s="66"/>
      <c r="V56" s="66"/>
      <c r="W56" s="66"/>
      <c r="X56" s="68"/>
      <c r="Y56" s="66"/>
      <c r="Z56" s="69"/>
      <c r="AA56" s="70"/>
      <c r="AB56" s="71"/>
      <c r="AC56" s="66"/>
      <c r="AD56" s="78"/>
      <c r="AE56" s="73"/>
      <c r="AF56" s="76"/>
      <c r="AG56" s="75"/>
      <c r="AH56" s="66"/>
      <c r="AI56" s="66"/>
      <c r="AJ56" s="66"/>
      <c r="AK56" s="66"/>
      <c r="AL56" s="68"/>
      <c r="AM56" s="66"/>
      <c r="AN56" s="69"/>
      <c r="AO56" s="70"/>
      <c r="AP56" s="71"/>
      <c r="AQ56" s="66"/>
      <c r="AR56" s="78"/>
      <c r="AS56" s="73"/>
    </row>
    <row r="57">
      <c r="A57" s="104" t="s">
        <v>82</v>
      </c>
      <c r="B57" s="66">
        <f>B8*4+B13</f>
        <v>105700</v>
      </c>
      <c r="C57" s="65">
        <f t="shared" si="130"/>
        <v>95130</v>
      </c>
      <c r="D57" s="66">
        <f t="shared" si="131"/>
        <v>85702.7027</v>
      </c>
      <c r="E57" s="67">
        <v>1.0</v>
      </c>
      <c r="F57" s="66">
        <f t="shared" si="132"/>
        <v>0</v>
      </c>
      <c r="G57" s="66">
        <f t="shared" si="133"/>
        <v>0</v>
      </c>
      <c r="H57" s="66">
        <f t="shared" si="134"/>
        <v>0</v>
      </c>
      <c r="I57" s="66">
        <f t="shared" si="135"/>
        <v>0</v>
      </c>
      <c r="J57" s="68">
        <v>1250.0</v>
      </c>
      <c r="K57" s="66">
        <f t="shared" si="136"/>
        <v>4285.135135</v>
      </c>
      <c r="L57" s="69">
        <f t="shared" si="137"/>
        <v>91237.83784</v>
      </c>
      <c r="M57" s="70" t="str">
        <f t="shared" si="138"/>
        <v>#DIV/0!</v>
      </c>
      <c r="N57" s="71">
        <f t="shared" si="139"/>
        <v>-91237.83784</v>
      </c>
      <c r="O57" s="66">
        <f t="shared" si="140"/>
        <v>0</v>
      </c>
      <c r="P57" s="78"/>
      <c r="Q57" s="73">
        <f t="shared" si="141"/>
        <v>0</v>
      </c>
      <c r="R57" s="74"/>
      <c r="S57" s="75"/>
      <c r="T57" s="66"/>
      <c r="U57" s="66"/>
      <c r="V57" s="66"/>
      <c r="W57" s="66"/>
      <c r="X57" s="68"/>
      <c r="Y57" s="66"/>
      <c r="Z57" s="69"/>
      <c r="AA57" s="70"/>
      <c r="AB57" s="71"/>
      <c r="AC57" s="66"/>
      <c r="AD57" s="78"/>
      <c r="AE57" s="73"/>
      <c r="AF57" s="76"/>
      <c r="AG57" s="75"/>
      <c r="AH57" s="66"/>
      <c r="AI57" s="66"/>
      <c r="AJ57" s="66"/>
      <c r="AK57" s="66"/>
      <c r="AL57" s="68"/>
      <c r="AM57" s="66"/>
      <c r="AN57" s="69"/>
      <c r="AO57" s="70"/>
      <c r="AP57" s="71"/>
      <c r="AQ57" s="66"/>
      <c r="AR57" s="78"/>
      <c r="AS57" s="73"/>
    </row>
    <row r="58">
      <c r="A58" s="105"/>
      <c r="B58" s="66"/>
      <c r="C58" s="65">
        <f t="shared" si="130"/>
        <v>0</v>
      </c>
      <c r="D58" s="66">
        <f t="shared" si="131"/>
        <v>0</v>
      </c>
      <c r="E58" s="67">
        <v>1.0</v>
      </c>
      <c r="F58" s="66">
        <f t="shared" si="132"/>
        <v>0</v>
      </c>
      <c r="G58" s="66">
        <f t="shared" si="133"/>
        <v>0</v>
      </c>
      <c r="H58" s="66">
        <f t="shared" si="134"/>
        <v>0</v>
      </c>
      <c r="I58" s="66">
        <f t="shared" si="135"/>
        <v>0</v>
      </c>
      <c r="J58" s="68">
        <v>1250.0</v>
      </c>
      <c r="K58" s="66">
        <f t="shared" si="136"/>
        <v>0</v>
      </c>
      <c r="L58" s="69">
        <f t="shared" si="137"/>
        <v>1250</v>
      </c>
      <c r="M58" s="70" t="str">
        <f t="shared" si="138"/>
        <v>#DIV/0!</v>
      </c>
      <c r="N58" s="71">
        <f t="shared" si="139"/>
        <v>-1250</v>
      </c>
      <c r="O58" s="66">
        <f t="shared" si="140"/>
        <v>0</v>
      </c>
      <c r="P58" s="78"/>
      <c r="Q58" s="73">
        <f t="shared" si="141"/>
        <v>0</v>
      </c>
      <c r="R58" s="74"/>
      <c r="S58" s="75"/>
      <c r="T58" s="66"/>
      <c r="U58" s="66"/>
      <c r="V58" s="66"/>
      <c r="W58" s="66"/>
      <c r="X58" s="68"/>
      <c r="Y58" s="66"/>
      <c r="Z58" s="69"/>
      <c r="AA58" s="70"/>
      <c r="AB58" s="71"/>
      <c r="AC58" s="66"/>
      <c r="AD58" s="78"/>
      <c r="AE58" s="73"/>
      <c r="AF58" s="76"/>
      <c r="AG58" s="75"/>
      <c r="AH58" s="66"/>
      <c r="AI58" s="66"/>
      <c r="AJ58" s="66"/>
      <c r="AK58" s="66"/>
      <c r="AL58" s="68"/>
      <c r="AM58" s="66"/>
      <c r="AN58" s="69"/>
      <c r="AO58" s="70"/>
      <c r="AP58" s="71"/>
      <c r="AQ58" s="66"/>
      <c r="AR58" s="78"/>
      <c r="AS58" s="73"/>
    </row>
    <row r="59">
      <c r="A59" s="104" t="s">
        <v>83</v>
      </c>
      <c r="B59" s="66">
        <f>B9*5+B13</f>
        <v>53200</v>
      </c>
      <c r="C59" s="65">
        <f t="shared" si="130"/>
        <v>47880</v>
      </c>
      <c r="D59" s="66">
        <f t="shared" si="131"/>
        <v>43135.13514</v>
      </c>
      <c r="E59" s="67">
        <v>1.0</v>
      </c>
      <c r="F59" s="66">
        <f t="shared" si="132"/>
        <v>0</v>
      </c>
      <c r="G59" s="66">
        <f t="shared" si="133"/>
        <v>0</v>
      </c>
      <c r="H59" s="66">
        <f t="shared" si="134"/>
        <v>0</v>
      </c>
      <c r="I59" s="66">
        <f t="shared" si="135"/>
        <v>0</v>
      </c>
      <c r="J59" s="68">
        <v>1250.0</v>
      </c>
      <c r="K59" s="66">
        <f t="shared" si="136"/>
        <v>2156.756757</v>
      </c>
      <c r="L59" s="69">
        <f t="shared" si="137"/>
        <v>46541.89189</v>
      </c>
      <c r="M59" s="70" t="str">
        <f t="shared" si="138"/>
        <v>#DIV/0!</v>
      </c>
      <c r="N59" s="71">
        <f t="shared" si="139"/>
        <v>-46541.89189</v>
      </c>
      <c r="O59" s="66">
        <f t="shared" si="140"/>
        <v>0</v>
      </c>
      <c r="P59" s="78"/>
      <c r="Q59" s="73">
        <f t="shared" si="141"/>
        <v>0</v>
      </c>
      <c r="R59" s="74"/>
      <c r="S59" s="75"/>
      <c r="T59" s="66"/>
      <c r="U59" s="66"/>
      <c r="V59" s="66"/>
      <c r="W59" s="66"/>
      <c r="X59" s="68"/>
      <c r="Y59" s="66"/>
      <c r="Z59" s="69"/>
      <c r="AA59" s="70"/>
      <c r="AB59" s="71"/>
      <c r="AC59" s="66"/>
      <c r="AD59" s="78"/>
      <c r="AE59" s="73"/>
      <c r="AF59" s="76"/>
      <c r="AG59" s="75"/>
      <c r="AH59" s="66"/>
      <c r="AI59" s="66"/>
      <c r="AJ59" s="66"/>
      <c r="AK59" s="66"/>
      <c r="AL59" s="68"/>
      <c r="AM59" s="66"/>
      <c r="AN59" s="69"/>
      <c r="AO59" s="70"/>
      <c r="AP59" s="71"/>
      <c r="AQ59" s="66"/>
      <c r="AR59" s="78"/>
      <c r="AS59" s="73"/>
    </row>
    <row r="60">
      <c r="A60" s="104" t="s">
        <v>84</v>
      </c>
      <c r="B60" s="66">
        <f>B12*4+B13</f>
        <v>297700</v>
      </c>
      <c r="C60" s="65">
        <f t="shared" si="130"/>
        <v>267930</v>
      </c>
      <c r="D60" s="66">
        <f t="shared" si="131"/>
        <v>241378.3784</v>
      </c>
      <c r="E60" s="67">
        <v>1.0</v>
      </c>
      <c r="F60" s="66">
        <f t="shared" si="132"/>
        <v>0</v>
      </c>
      <c r="G60" s="66">
        <f t="shared" si="133"/>
        <v>0</v>
      </c>
      <c r="H60" s="66">
        <f t="shared" si="134"/>
        <v>0</v>
      </c>
      <c r="I60" s="66">
        <f t="shared" si="135"/>
        <v>0</v>
      </c>
      <c r="J60" s="68">
        <v>1250.0</v>
      </c>
      <c r="K60" s="66">
        <f t="shared" si="136"/>
        <v>12068.91892</v>
      </c>
      <c r="L60" s="69">
        <f t="shared" si="137"/>
        <v>254697.2973</v>
      </c>
      <c r="M60" s="70" t="str">
        <f t="shared" si="138"/>
        <v>#DIV/0!</v>
      </c>
      <c r="N60" s="71">
        <f t="shared" si="139"/>
        <v>-254697.2973</v>
      </c>
      <c r="O60" s="66">
        <f t="shared" si="140"/>
        <v>0</v>
      </c>
      <c r="P60" s="78"/>
      <c r="Q60" s="73">
        <f t="shared" si="141"/>
        <v>0</v>
      </c>
      <c r="R60" s="74"/>
      <c r="S60" s="75"/>
      <c r="T60" s="66"/>
      <c r="U60" s="66"/>
      <c r="V60" s="66"/>
      <c r="W60" s="66"/>
      <c r="X60" s="68"/>
      <c r="Y60" s="66"/>
      <c r="Z60" s="69"/>
      <c r="AA60" s="70"/>
      <c r="AB60" s="71"/>
      <c r="AC60" s="66"/>
      <c r="AD60" s="78"/>
      <c r="AE60" s="73"/>
      <c r="AF60" s="76"/>
      <c r="AG60" s="75"/>
      <c r="AH60" s="66"/>
      <c r="AI60" s="66"/>
      <c r="AJ60" s="66"/>
      <c r="AK60" s="66"/>
      <c r="AL60" s="68"/>
      <c r="AM60" s="66"/>
      <c r="AN60" s="69"/>
      <c r="AO60" s="70"/>
      <c r="AP60" s="71"/>
      <c r="AQ60" s="66"/>
      <c r="AR60" s="78"/>
      <c r="AS60" s="73"/>
    </row>
    <row r="61">
      <c r="A61" s="104" t="s">
        <v>85</v>
      </c>
      <c r="B61" s="66">
        <f>B10*4+B13</f>
        <v>65700</v>
      </c>
      <c r="C61" s="65">
        <f t="shared" si="130"/>
        <v>59130</v>
      </c>
      <c r="D61" s="66">
        <f t="shared" si="131"/>
        <v>53270.27027</v>
      </c>
      <c r="E61" s="67">
        <v>1.0</v>
      </c>
      <c r="F61" s="66">
        <f t="shared" si="132"/>
        <v>0</v>
      </c>
      <c r="G61" s="66">
        <f t="shared" si="133"/>
        <v>0</v>
      </c>
      <c r="H61" s="66">
        <f t="shared" si="134"/>
        <v>0</v>
      </c>
      <c r="I61" s="66">
        <f t="shared" si="135"/>
        <v>0</v>
      </c>
      <c r="J61" s="68">
        <v>1250.0</v>
      </c>
      <c r="K61" s="66">
        <f t="shared" si="136"/>
        <v>2663.513514</v>
      </c>
      <c r="L61" s="69">
        <f t="shared" si="137"/>
        <v>57183.78378</v>
      </c>
      <c r="M61" s="70" t="str">
        <f t="shared" si="138"/>
        <v>#DIV/0!</v>
      </c>
      <c r="N61" s="71">
        <f t="shared" si="139"/>
        <v>-57183.78378</v>
      </c>
      <c r="O61" s="66">
        <f t="shared" si="140"/>
        <v>0</v>
      </c>
      <c r="P61" s="78"/>
      <c r="Q61" s="73">
        <f t="shared" si="141"/>
        <v>0</v>
      </c>
      <c r="R61" s="74"/>
      <c r="S61" s="75"/>
      <c r="T61" s="66"/>
      <c r="U61" s="66"/>
      <c r="V61" s="66"/>
      <c r="W61" s="66"/>
      <c r="X61" s="68"/>
      <c r="Y61" s="66"/>
      <c r="Z61" s="69"/>
      <c r="AA61" s="70"/>
      <c r="AB61" s="71"/>
      <c r="AC61" s="66"/>
      <c r="AD61" s="78"/>
      <c r="AE61" s="73"/>
      <c r="AF61" s="76"/>
      <c r="AG61" s="75"/>
      <c r="AH61" s="66"/>
      <c r="AI61" s="66"/>
      <c r="AJ61" s="66"/>
      <c r="AK61" s="66"/>
      <c r="AL61" s="68"/>
      <c r="AM61" s="66"/>
      <c r="AN61" s="69"/>
      <c r="AO61" s="70"/>
      <c r="AP61" s="71"/>
      <c r="AQ61" s="66"/>
      <c r="AR61" s="78"/>
      <c r="AS61" s="73"/>
    </row>
    <row r="62">
      <c r="A62" s="104" t="s">
        <v>86</v>
      </c>
      <c r="B62" s="66">
        <f>B11*4+B13</f>
        <v>77700</v>
      </c>
      <c r="C62" s="65">
        <f t="shared" si="130"/>
        <v>69930</v>
      </c>
      <c r="D62" s="66">
        <f t="shared" si="131"/>
        <v>63000</v>
      </c>
      <c r="E62" s="67">
        <v>1.0</v>
      </c>
      <c r="F62" s="66">
        <f t="shared" si="132"/>
        <v>0</v>
      </c>
      <c r="G62" s="66">
        <f t="shared" si="133"/>
        <v>0</v>
      </c>
      <c r="H62" s="66">
        <f t="shared" si="134"/>
        <v>0</v>
      </c>
      <c r="I62" s="66">
        <f t="shared" si="135"/>
        <v>0</v>
      </c>
      <c r="J62" s="68">
        <v>1250.0</v>
      </c>
      <c r="K62" s="66">
        <f t="shared" si="136"/>
        <v>3150</v>
      </c>
      <c r="L62" s="69">
        <f t="shared" si="137"/>
        <v>67400</v>
      </c>
      <c r="M62" s="70" t="str">
        <f t="shared" si="138"/>
        <v>#DIV/0!</v>
      </c>
      <c r="N62" s="71">
        <f t="shared" si="139"/>
        <v>-67400</v>
      </c>
      <c r="O62" s="66">
        <f t="shared" si="140"/>
        <v>0</v>
      </c>
      <c r="P62" s="78"/>
      <c r="Q62" s="73">
        <f t="shared" si="141"/>
        <v>0</v>
      </c>
      <c r="R62" s="74"/>
      <c r="S62" s="75"/>
      <c r="T62" s="66"/>
      <c r="U62" s="66"/>
      <c r="V62" s="66"/>
      <c r="W62" s="66"/>
      <c r="X62" s="68"/>
      <c r="Y62" s="66"/>
      <c r="Z62" s="69"/>
      <c r="AA62" s="70"/>
      <c r="AB62" s="71"/>
      <c r="AC62" s="66"/>
      <c r="AD62" s="78"/>
      <c r="AE62" s="73"/>
      <c r="AF62" s="76"/>
      <c r="AG62" s="75"/>
      <c r="AH62" s="66"/>
      <c r="AI62" s="66"/>
      <c r="AJ62" s="66"/>
      <c r="AK62" s="66"/>
      <c r="AL62" s="68"/>
      <c r="AM62" s="66"/>
      <c r="AN62" s="69"/>
      <c r="AO62" s="70"/>
      <c r="AP62" s="71"/>
      <c r="AQ62" s="66"/>
      <c r="AR62" s="78"/>
      <c r="AS62" s="73"/>
    </row>
    <row r="63">
      <c r="A63" s="104"/>
      <c r="B63" s="66"/>
      <c r="C63" s="65">
        <f t="shared" si="130"/>
        <v>0</v>
      </c>
      <c r="D63" s="66">
        <f t="shared" si="131"/>
        <v>0</v>
      </c>
      <c r="E63" s="67">
        <v>1.0</v>
      </c>
      <c r="F63" s="66">
        <f t="shared" si="132"/>
        <v>0</v>
      </c>
      <c r="G63" s="66">
        <f t="shared" si="133"/>
        <v>0</v>
      </c>
      <c r="H63" s="66">
        <f t="shared" si="134"/>
        <v>0</v>
      </c>
      <c r="I63" s="66">
        <f t="shared" si="135"/>
        <v>0</v>
      </c>
      <c r="J63" s="68">
        <v>1250.0</v>
      </c>
      <c r="K63" s="66">
        <f t="shared" si="136"/>
        <v>0</v>
      </c>
      <c r="L63" s="69">
        <f t="shared" si="137"/>
        <v>1250</v>
      </c>
      <c r="M63" s="70" t="str">
        <f t="shared" si="138"/>
        <v>#DIV/0!</v>
      </c>
      <c r="N63" s="71">
        <f t="shared" si="139"/>
        <v>-1250</v>
      </c>
      <c r="O63" s="66">
        <f t="shared" si="140"/>
        <v>0</v>
      </c>
      <c r="P63" s="78"/>
      <c r="Q63" s="73">
        <f t="shared" si="141"/>
        <v>0</v>
      </c>
      <c r="R63" s="74"/>
      <c r="S63" s="75"/>
      <c r="T63" s="66"/>
      <c r="U63" s="66"/>
      <c r="V63" s="66"/>
      <c r="W63" s="66"/>
      <c r="X63" s="68"/>
      <c r="Y63" s="66"/>
      <c r="Z63" s="69"/>
      <c r="AA63" s="70"/>
      <c r="AB63" s="71"/>
      <c r="AC63" s="66"/>
      <c r="AD63" s="78"/>
      <c r="AE63" s="73"/>
      <c r="AF63" s="76"/>
      <c r="AG63" s="75"/>
      <c r="AH63" s="66"/>
      <c r="AI63" s="66"/>
      <c r="AJ63" s="66"/>
      <c r="AK63" s="66"/>
      <c r="AL63" s="68"/>
      <c r="AM63" s="66"/>
      <c r="AN63" s="69"/>
      <c r="AO63" s="70"/>
      <c r="AP63" s="71"/>
      <c r="AQ63" s="66"/>
      <c r="AR63" s="78"/>
      <c r="AS63" s="73"/>
    </row>
    <row r="64">
      <c r="A64" s="104"/>
      <c r="B64" s="66"/>
      <c r="C64" s="65">
        <f t="shared" si="130"/>
        <v>0</v>
      </c>
      <c r="D64" s="66">
        <f t="shared" si="131"/>
        <v>0</v>
      </c>
      <c r="E64" s="67">
        <v>1.0</v>
      </c>
      <c r="F64" s="66">
        <f t="shared" si="132"/>
        <v>0</v>
      </c>
      <c r="G64" s="66">
        <f t="shared" si="133"/>
        <v>0</v>
      </c>
      <c r="H64" s="66">
        <f t="shared" si="134"/>
        <v>0</v>
      </c>
      <c r="I64" s="66">
        <f t="shared" si="135"/>
        <v>0</v>
      </c>
      <c r="J64" s="68">
        <v>1250.0</v>
      </c>
      <c r="K64" s="66">
        <f t="shared" si="136"/>
        <v>0</v>
      </c>
      <c r="L64" s="69">
        <f t="shared" si="137"/>
        <v>1250</v>
      </c>
      <c r="M64" s="70" t="str">
        <f t="shared" si="138"/>
        <v>#DIV/0!</v>
      </c>
      <c r="N64" s="71">
        <f t="shared" si="139"/>
        <v>-1250</v>
      </c>
      <c r="O64" s="66">
        <f t="shared" si="140"/>
        <v>0</v>
      </c>
      <c r="P64" s="78"/>
      <c r="Q64" s="73">
        <f t="shared" si="141"/>
        <v>0</v>
      </c>
      <c r="R64" s="74"/>
      <c r="S64" s="75"/>
      <c r="T64" s="66">
        <f t="shared" ref="T64:T68" si="163">AD64*$T$3</f>
        <v>0</v>
      </c>
      <c r="U64" s="66">
        <f t="shared" ref="U64:U68" si="164">AD64*$U$3</f>
        <v>0</v>
      </c>
      <c r="V64" s="66">
        <f t="shared" ref="V64:V68" si="165">AD64*$V$3</f>
        <v>0</v>
      </c>
      <c r="W64" s="66">
        <f t="shared" ref="W64:W68" si="166">AD64*$W$3</f>
        <v>0</v>
      </c>
      <c r="X64" s="68">
        <v>1250.0</v>
      </c>
      <c r="Y64" s="66">
        <f t="shared" ref="Y64:Y68" si="167">R64*$Y$3</f>
        <v>0</v>
      </c>
      <c r="Z64" s="69">
        <f t="shared" ref="Z64:Z68" si="168">(D64*S64)+T64+U64+V64+W64+X64+Y64</f>
        <v>1250</v>
      </c>
      <c r="AA64" s="70" t="str">
        <f t="shared" ref="AA64:AA68" si="169">AB64/AC64</f>
        <v>#DIV/0!</v>
      </c>
      <c r="AB64" s="71">
        <f t="shared" ref="AB64:AB68" si="170">AC64-Z64</f>
        <v>-1250</v>
      </c>
      <c r="AC64" s="66">
        <f t="shared" ref="AC64:AC68" si="171">AD64/$O$4</f>
        <v>0</v>
      </c>
      <c r="AD64" s="78"/>
      <c r="AE64" s="73" t="str">
        <f t="shared" ref="AE64:AE68" si="172">AD64/S64</f>
        <v>#DIV/0!</v>
      </c>
      <c r="AF64" s="76"/>
      <c r="AG64" s="75"/>
      <c r="AH64" s="66">
        <f t="shared" ref="AH64:AH69" si="173">AR64*$AH$3</f>
        <v>0</v>
      </c>
      <c r="AI64" s="66">
        <f t="shared" ref="AI64:AI69" si="174">AR64*$AI$3</f>
        <v>0</v>
      </c>
      <c r="AJ64" s="66">
        <f t="shared" ref="AJ64:AJ69" si="175">AR64*$AJ$3</f>
        <v>0</v>
      </c>
      <c r="AK64" s="66">
        <f t="shared" ref="AK64:AK69" si="176">AR64*$AK$3</f>
        <v>0</v>
      </c>
      <c r="AL64" s="68">
        <v>1250.0</v>
      </c>
      <c r="AM64" s="66">
        <f t="shared" ref="AM64:AM69" si="177">AF64*$AM$3</f>
        <v>0</v>
      </c>
      <c r="AN64" s="69">
        <f t="shared" ref="AN64:AN69" si="178">(R64*AG64)+AH64+AI64+AJ64+AK64+AL64+AM64</f>
        <v>1250</v>
      </c>
      <c r="AO64" s="70" t="str">
        <f t="shared" ref="AO64:AO69" si="179">AP64/AQ64</f>
        <v>#DIV/0!</v>
      </c>
      <c r="AP64" s="71">
        <f t="shared" ref="AP64:AP69" si="180">AQ64-AN64</f>
        <v>-1250</v>
      </c>
      <c r="AQ64" s="66">
        <f t="shared" ref="AQ64:AQ69" si="181">AR64/$O$4</f>
        <v>0</v>
      </c>
      <c r="AR64" s="78"/>
      <c r="AS64" s="73" t="str">
        <f t="shared" ref="AS64:AS69" si="182">AR64/AG64</f>
        <v>#DIV/0!</v>
      </c>
    </row>
    <row r="65">
      <c r="A65" s="106" t="s">
        <v>87</v>
      </c>
      <c r="B65" s="108">
        <f>B6*55</f>
        <v>192500</v>
      </c>
      <c r="C65" s="65">
        <f t="shared" si="130"/>
        <v>173250</v>
      </c>
      <c r="D65" s="66">
        <f t="shared" si="131"/>
        <v>156081.0811</v>
      </c>
      <c r="E65" s="107">
        <v>1.0</v>
      </c>
      <c r="F65" s="66">
        <f t="shared" si="132"/>
        <v>24930</v>
      </c>
      <c r="G65" s="66">
        <f t="shared" si="133"/>
        <v>14958</v>
      </c>
      <c r="H65" s="66">
        <f t="shared" si="134"/>
        <v>11218.5</v>
      </c>
      <c r="I65" s="66">
        <f t="shared" si="135"/>
        <v>0</v>
      </c>
      <c r="J65" s="68">
        <v>1250.0</v>
      </c>
      <c r="K65" s="66">
        <f t="shared" si="136"/>
        <v>7804.054054</v>
      </c>
      <c r="L65" s="69">
        <f t="shared" si="137"/>
        <v>216241.6351</v>
      </c>
      <c r="M65" s="70">
        <f t="shared" si="138"/>
        <v>0.03719127557</v>
      </c>
      <c r="N65" s="71">
        <f t="shared" si="139"/>
        <v>8352.959459</v>
      </c>
      <c r="O65" s="66">
        <f t="shared" si="140"/>
        <v>224594.5946</v>
      </c>
      <c r="P65" s="78">
        <v>249300.0</v>
      </c>
      <c r="Q65" s="73">
        <f t="shared" si="141"/>
        <v>249300</v>
      </c>
      <c r="R65" s="74"/>
      <c r="S65" s="75"/>
      <c r="T65" s="66">
        <f t="shared" si="163"/>
        <v>0</v>
      </c>
      <c r="U65" s="66">
        <f t="shared" si="164"/>
        <v>0</v>
      </c>
      <c r="V65" s="66">
        <f t="shared" si="165"/>
        <v>0</v>
      </c>
      <c r="W65" s="66">
        <f t="shared" si="166"/>
        <v>0</v>
      </c>
      <c r="X65" s="68">
        <v>1250.0</v>
      </c>
      <c r="Y65" s="66">
        <f t="shared" si="167"/>
        <v>0</v>
      </c>
      <c r="Z65" s="69">
        <f t="shared" si="168"/>
        <v>1250</v>
      </c>
      <c r="AA65" s="70" t="str">
        <f t="shared" si="169"/>
        <v>#DIV/0!</v>
      </c>
      <c r="AB65" s="71">
        <f t="shared" si="170"/>
        <v>-1250</v>
      </c>
      <c r="AC65" s="66">
        <f t="shared" si="171"/>
        <v>0</v>
      </c>
      <c r="AD65" s="78"/>
      <c r="AE65" s="73" t="str">
        <f t="shared" si="172"/>
        <v>#DIV/0!</v>
      </c>
      <c r="AF65" s="76"/>
      <c r="AG65" s="75"/>
      <c r="AH65" s="66">
        <f t="shared" si="173"/>
        <v>0</v>
      </c>
      <c r="AI65" s="66">
        <f t="shared" si="174"/>
        <v>0</v>
      </c>
      <c r="AJ65" s="66">
        <f t="shared" si="175"/>
        <v>0</v>
      </c>
      <c r="AK65" s="66">
        <f t="shared" si="176"/>
        <v>0</v>
      </c>
      <c r="AL65" s="68">
        <v>1250.0</v>
      </c>
      <c r="AM65" s="66">
        <f t="shared" si="177"/>
        <v>0</v>
      </c>
      <c r="AN65" s="69">
        <f t="shared" si="178"/>
        <v>1250</v>
      </c>
      <c r="AO65" s="70" t="str">
        <f t="shared" si="179"/>
        <v>#DIV/0!</v>
      </c>
      <c r="AP65" s="71">
        <f t="shared" si="180"/>
        <v>-1250</v>
      </c>
      <c r="AQ65" s="66">
        <f t="shared" si="181"/>
        <v>0</v>
      </c>
      <c r="AR65" s="78"/>
      <c r="AS65" s="73" t="str">
        <f t="shared" si="182"/>
        <v>#DIV/0!</v>
      </c>
    </row>
    <row r="66">
      <c r="A66" s="106" t="s">
        <v>88</v>
      </c>
      <c r="B66" s="108">
        <f>B7*25+B13*2</f>
        <v>108900</v>
      </c>
      <c r="C66" s="65">
        <f t="shared" si="130"/>
        <v>98010</v>
      </c>
      <c r="D66" s="66">
        <f t="shared" si="131"/>
        <v>88297.2973</v>
      </c>
      <c r="E66" s="109">
        <v>1.0</v>
      </c>
      <c r="F66" s="66">
        <f t="shared" si="132"/>
        <v>15700</v>
      </c>
      <c r="G66" s="66">
        <f t="shared" si="133"/>
        <v>9420</v>
      </c>
      <c r="H66" s="66">
        <f t="shared" si="134"/>
        <v>7065</v>
      </c>
      <c r="I66" s="66">
        <f t="shared" si="135"/>
        <v>0</v>
      </c>
      <c r="J66" s="68">
        <v>1250.0</v>
      </c>
      <c r="K66" s="66">
        <f t="shared" si="136"/>
        <v>4414.864865</v>
      </c>
      <c r="L66" s="69">
        <f t="shared" si="137"/>
        <v>126147.1622</v>
      </c>
      <c r="M66" s="70">
        <f t="shared" si="138"/>
        <v>0.1081315287</v>
      </c>
      <c r="N66" s="71">
        <f t="shared" si="139"/>
        <v>15294.27928</v>
      </c>
      <c r="O66" s="66">
        <f t="shared" si="140"/>
        <v>141441.4414</v>
      </c>
      <c r="P66" s="78">
        <v>157000.0</v>
      </c>
      <c r="Q66" s="73">
        <f t="shared" si="141"/>
        <v>157000</v>
      </c>
      <c r="R66" s="74"/>
      <c r="S66" s="75"/>
      <c r="T66" s="66">
        <f t="shared" si="163"/>
        <v>0</v>
      </c>
      <c r="U66" s="66">
        <f t="shared" si="164"/>
        <v>0</v>
      </c>
      <c r="V66" s="66">
        <f t="shared" si="165"/>
        <v>0</v>
      </c>
      <c r="W66" s="66">
        <f t="shared" si="166"/>
        <v>0</v>
      </c>
      <c r="X66" s="68">
        <v>1250.0</v>
      </c>
      <c r="Y66" s="66">
        <f t="shared" si="167"/>
        <v>0</v>
      </c>
      <c r="Z66" s="69">
        <f t="shared" si="168"/>
        <v>1250</v>
      </c>
      <c r="AA66" s="70" t="str">
        <f t="shared" si="169"/>
        <v>#DIV/0!</v>
      </c>
      <c r="AB66" s="71">
        <f t="shared" si="170"/>
        <v>-1250</v>
      </c>
      <c r="AC66" s="66">
        <f t="shared" si="171"/>
        <v>0</v>
      </c>
      <c r="AD66" s="78"/>
      <c r="AE66" s="73" t="str">
        <f t="shared" si="172"/>
        <v>#DIV/0!</v>
      </c>
      <c r="AF66" s="76"/>
      <c r="AG66" s="75"/>
      <c r="AH66" s="66">
        <f t="shared" si="173"/>
        <v>0</v>
      </c>
      <c r="AI66" s="66">
        <f t="shared" si="174"/>
        <v>0</v>
      </c>
      <c r="AJ66" s="66">
        <f t="shared" si="175"/>
        <v>0</v>
      </c>
      <c r="AK66" s="66">
        <f t="shared" si="176"/>
        <v>0</v>
      </c>
      <c r="AL66" s="68">
        <v>1250.0</v>
      </c>
      <c r="AM66" s="66">
        <f t="shared" si="177"/>
        <v>0</v>
      </c>
      <c r="AN66" s="69">
        <f t="shared" si="178"/>
        <v>1250</v>
      </c>
      <c r="AO66" s="70" t="str">
        <f t="shared" si="179"/>
        <v>#DIV/0!</v>
      </c>
      <c r="AP66" s="71">
        <f t="shared" si="180"/>
        <v>-1250</v>
      </c>
      <c r="AQ66" s="66">
        <f t="shared" si="181"/>
        <v>0</v>
      </c>
      <c r="AR66" s="78"/>
      <c r="AS66" s="73" t="str">
        <f t="shared" si="182"/>
        <v>#DIV/0!</v>
      </c>
    </row>
    <row r="67">
      <c r="A67" s="106" t="s">
        <v>89</v>
      </c>
      <c r="B67" s="108">
        <f>B15*55</f>
        <v>192500</v>
      </c>
      <c r="C67" s="65">
        <f t="shared" si="130"/>
        <v>173250</v>
      </c>
      <c r="D67" s="66">
        <f t="shared" si="131"/>
        <v>156081.0811</v>
      </c>
      <c r="E67" s="109">
        <v>1.0</v>
      </c>
      <c r="F67" s="66">
        <f t="shared" si="132"/>
        <v>25430</v>
      </c>
      <c r="G67" s="66">
        <f t="shared" si="133"/>
        <v>15258</v>
      </c>
      <c r="H67" s="66">
        <f t="shared" si="134"/>
        <v>11443.5</v>
      </c>
      <c r="I67" s="66">
        <f t="shared" si="135"/>
        <v>0</v>
      </c>
      <c r="J67" s="68">
        <v>1250.0</v>
      </c>
      <c r="K67" s="66">
        <f t="shared" si="136"/>
        <v>7804.054054</v>
      </c>
      <c r="L67" s="69">
        <f t="shared" si="137"/>
        <v>217266.6351</v>
      </c>
      <c r="M67" s="70">
        <f t="shared" si="138"/>
        <v>0.05164779788</v>
      </c>
      <c r="N67" s="71">
        <f t="shared" si="139"/>
        <v>11832.46396</v>
      </c>
      <c r="O67" s="66">
        <f t="shared" si="140"/>
        <v>229099.0991</v>
      </c>
      <c r="P67" s="78">
        <v>254300.0</v>
      </c>
      <c r="Q67" s="73">
        <f t="shared" si="141"/>
        <v>254300</v>
      </c>
      <c r="R67" s="74"/>
      <c r="S67" s="75"/>
      <c r="T67" s="66">
        <f t="shared" si="163"/>
        <v>0</v>
      </c>
      <c r="U67" s="66">
        <f t="shared" si="164"/>
        <v>0</v>
      </c>
      <c r="V67" s="66">
        <f t="shared" si="165"/>
        <v>0</v>
      </c>
      <c r="W67" s="66">
        <f t="shared" si="166"/>
        <v>0</v>
      </c>
      <c r="X67" s="68">
        <v>1250.0</v>
      </c>
      <c r="Y67" s="66">
        <f t="shared" si="167"/>
        <v>0</v>
      </c>
      <c r="Z67" s="69">
        <f t="shared" si="168"/>
        <v>1250</v>
      </c>
      <c r="AA67" s="70" t="str">
        <f t="shared" si="169"/>
        <v>#DIV/0!</v>
      </c>
      <c r="AB67" s="71">
        <f t="shared" si="170"/>
        <v>-1250</v>
      </c>
      <c r="AC67" s="66">
        <f t="shared" si="171"/>
        <v>0</v>
      </c>
      <c r="AD67" s="78"/>
      <c r="AE67" s="73" t="str">
        <f t="shared" si="172"/>
        <v>#DIV/0!</v>
      </c>
      <c r="AF67" s="76"/>
      <c r="AG67" s="75"/>
      <c r="AH67" s="66">
        <f t="shared" si="173"/>
        <v>0</v>
      </c>
      <c r="AI67" s="66">
        <f t="shared" si="174"/>
        <v>0</v>
      </c>
      <c r="AJ67" s="66">
        <f t="shared" si="175"/>
        <v>0</v>
      </c>
      <c r="AK67" s="66">
        <f t="shared" si="176"/>
        <v>0</v>
      </c>
      <c r="AL67" s="68">
        <v>1250.0</v>
      </c>
      <c r="AM67" s="66">
        <f t="shared" si="177"/>
        <v>0</v>
      </c>
      <c r="AN67" s="69">
        <f t="shared" si="178"/>
        <v>1250</v>
      </c>
      <c r="AO67" s="70" t="str">
        <f t="shared" si="179"/>
        <v>#DIV/0!</v>
      </c>
      <c r="AP67" s="71">
        <f t="shared" si="180"/>
        <v>-1250</v>
      </c>
      <c r="AQ67" s="66">
        <f t="shared" si="181"/>
        <v>0</v>
      </c>
      <c r="AR67" s="78"/>
      <c r="AS67" s="73" t="str">
        <f t="shared" si="182"/>
        <v>#DIV/0!</v>
      </c>
    </row>
    <row r="68">
      <c r="A68" s="106" t="s">
        <v>90</v>
      </c>
      <c r="B68" s="108">
        <f>B14*55</f>
        <v>192500</v>
      </c>
      <c r="C68" s="65">
        <f t="shared" si="130"/>
        <v>173250</v>
      </c>
      <c r="D68" s="66">
        <f t="shared" si="131"/>
        <v>156081.0811</v>
      </c>
      <c r="E68" s="109">
        <v>1.0</v>
      </c>
      <c r="F68" s="66">
        <f t="shared" si="132"/>
        <v>25430</v>
      </c>
      <c r="G68" s="66">
        <f t="shared" si="133"/>
        <v>15258</v>
      </c>
      <c r="H68" s="66">
        <f t="shared" si="134"/>
        <v>11443.5</v>
      </c>
      <c r="I68" s="66">
        <f t="shared" si="135"/>
        <v>0</v>
      </c>
      <c r="J68" s="68">
        <v>1250.0</v>
      </c>
      <c r="K68" s="66">
        <f t="shared" si="136"/>
        <v>7804.054054</v>
      </c>
      <c r="L68" s="69">
        <f t="shared" si="137"/>
        <v>217266.6351</v>
      </c>
      <c r="M68" s="70">
        <f t="shared" si="138"/>
        <v>0.05164779788</v>
      </c>
      <c r="N68" s="71">
        <f t="shared" si="139"/>
        <v>11832.46396</v>
      </c>
      <c r="O68" s="66">
        <f t="shared" si="140"/>
        <v>229099.0991</v>
      </c>
      <c r="P68" s="78">
        <v>254300.0</v>
      </c>
      <c r="Q68" s="73">
        <f t="shared" si="141"/>
        <v>254300</v>
      </c>
      <c r="R68" s="74"/>
      <c r="S68" s="75"/>
      <c r="T68" s="66">
        <f t="shared" si="163"/>
        <v>0</v>
      </c>
      <c r="U68" s="66">
        <f t="shared" si="164"/>
        <v>0</v>
      </c>
      <c r="V68" s="66">
        <f t="shared" si="165"/>
        <v>0</v>
      </c>
      <c r="W68" s="66">
        <f t="shared" si="166"/>
        <v>0</v>
      </c>
      <c r="X68" s="68">
        <v>1250.0</v>
      </c>
      <c r="Y68" s="66">
        <f t="shared" si="167"/>
        <v>0</v>
      </c>
      <c r="Z68" s="69">
        <f t="shared" si="168"/>
        <v>1250</v>
      </c>
      <c r="AA68" s="70" t="str">
        <f t="shared" si="169"/>
        <v>#DIV/0!</v>
      </c>
      <c r="AB68" s="71">
        <f t="shared" si="170"/>
        <v>-1250</v>
      </c>
      <c r="AC68" s="66">
        <f t="shared" si="171"/>
        <v>0</v>
      </c>
      <c r="AD68" s="78"/>
      <c r="AE68" s="73" t="str">
        <f t="shared" si="172"/>
        <v>#DIV/0!</v>
      </c>
      <c r="AF68" s="76"/>
      <c r="AG68" s="75"/>
      <c r="AH68" s="66">
        <f t="shared" si="173"/>
        <v>0</v>
      </c>
      <c r="AI68" s="66">
        <f t="shared" si="174"/>
        <v>0</v>
      </c>
      <c r="AJ68" s="66">
        <f t="shared" si="175"/>
        <v>0</v>
      </c>
      <c r="AK68" s="66">
        <f t="shared" si="176"/>
        <v>0</v>
      </c>
      <c r="AL68" s="68">
        <v>1250.0</v>
      </c>
      <c r="AM68" s="66">
        <f t="shared" si="177"/>
        <v>0</v>
      </c>
      <c r="AN68" s="69">
        <f t="shared" si="178"/>
        <v>1250</v>
      </c>
      <c r="AO68" s="70" t="str">
        <f t="shared" si="179"/>
        <v>#DIV/0!</v>
      </c>
      <c r="AP68" s="71">
        <f t="shared" si="180"/>
        <v>-1250</v>
      </c>
      <c r="AQ68" s="66">
        <f t="shared" si="181"/>
        <v>0</v>
      </c>
      <c r="AR68" s="78"/>
      <c r="AS68" s="73" t="str">
        <f t="shared" si="182"/>
        <v>#DIV/0!</v>
      </c>
    </row>
    <row r="69">
      <c r="A69" s="178"/>
      <c r="C69" s="65">
        <f t="shared" si="130"/>
        <v>0</v>
      </c>
      <c r="D69" s="66">
        <f t="shared" si="131"/>
        <v>0</v>
      </c>
      <c r="E69" s="109"/>
      <c r="F69" s="66">
        <f t="shared" si="132"/>
        <v>0</v>
      </c>
      <c r="G69" s="66">
        <f t="shared" si="133"/>
        <v>0</v>
      </c>
      <c r="H69" s="66">
        <f t="shared" si="134"/>
        <v>0</v>
      </c>
      <c r="I69" s="66">
        <f t="shared" si="135"/>
        <v>0</v>
      </c>
      <c r="J69" s="68">
        <v>1250.0</v>
      </c>
      <c r="K69" s="66">
        <f t="shared" si="136"/>
        <v>0</v>
      </c>
      <c r="L69" s="69">
        <f t="shared" si="137"/>
        <v>1250</v>
      </c>
      <c r="M69" s="70" t="str">
        <f t="shared" si="138"/>
        <v>#DIV/0!</v>
      </c>
      <c r="N69" s="71">
        <f t="shared" si="139"/>
        <v>-1250</v>
      </c>
      <c r="O69" s="66">
        <f t="shared" si="140"/>
        <v>0</v>
      </c>
      <c r="P69" s="152"/>
      <c r="Q69" s="73" t="str">
        <f t="shared" si="141"/>
        <v>#DIV/0!</v>
      </c>
      <c r="R69" s="74"/>
      <c r="S69" s="112"/>
      <c r="AF69" s="76"/>
      <c r="AG69" s="75"/>
      <c r="AH69" s="66">
        <f t="shared" si="173"/>
        <v>0</v>
      </c>
      <c r="AI69" s="66">
        <f t="shared" si="174"/>
        <v>0</v>
      </c>
      <c r="AJ69" s="66">
        <f t="shared" si="175"/>
        <v>0</v>
      </c>
      <c r="AK69" s="66">
        <f t="shared" si="176"/>
        <v>0</v>
      </c>
      <c r="AL69" s="68">
        <v>1250.0</v>
      </c>
      <c r="AM69" s="66">
        <f t="shared" si="177"/>
        <v>0</v>
      </c>
      <c r="AN69" s="69">
        <f t="shared" si="178"/>
        <v>1250</v>
      </c>
      <c r="AO69" s="70" t="str">
        <f t="shared" si="179"/>
        <v>#DIV/0!</v>
      </c>
      <c r="AP69" s="71">
        <f t="shared" si="180"/>
        <v>-1250</v>
      </c>
      <c r="AQ69" s="66">
        <f t="shared" si="181"/>
        <v>0</v>
      </c>
      <c r="AR69" s="78"/>
      <c r="AS69" s="73" t="str">
        <f t="shared" si="182"/>
        <v>#DIV/0!</v>
      </c>
    </row>
    <row r="70" ht="25.5" customHeight="1">
      <c r="A70" s="130" t="s">
        <v>97</v>
      </c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74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76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</row>
    <row r="71">
      <c r="A71" s="106" t="s">
        <v>98</v>
      </c>
      <c r="B71" s="65">
        <v>1825.0</v>
      </c>
      <c r="C71" s="65">
        <f t="shared" ref="C71:C76" si="183">B71*$C$4</f>
        <v>1642.5</v>
      </c>
      <c r="D71" s="66">
        <f t="shared" ref="D71:D76" si="184">C71/$D$4</f>
        <v>1479.72973</v>
      </c>
      <c r="E71" s="124">
        <v>5.0</v>
      </c>
      <c r="F71" s="66">
        <f t="shared" ref="F71:F76" si="185">P71*$F$3</f>
        <v>1600</v>
      </c>
      <c r="G71" s="66">
        <f t="shared" ref="G71:G76" si="186">P71*$G$3</f>
        <v>960</v>
      </c>
      <c r="H71" s="66">
        <f t="shared" ref="H71:H76" si="187">P71*$H$3</f>
        <v>720</v>
      </c>
      <c r="I71" s="66">
        <f t="shared" ref="I71:I76" si="188">P71*$I$3</f>
        <v>0</v>
      </c>
      <c r="J71" s="68">
        <v>1250.0</v>
      </c>
      <c r="K71" s="66">
        <f t="shared" ref="K71:K76" si="189">D71*$K$3</f>
        <v>73.98648649</v>
      </c>
      <c r="L71" s="69">
        <f t="shared" ref="L71:L76" si="190">(D71*E71)+F71+G71+H71+I71+J71+K71</f>
        <v>12002.63514</v>
      </c>
      <c r="M71" s="70">
        <f t="shared" ref="M71:M76" si="191">N71/O71</f>
        <v>0.1673171875</v>
      </c>
      <c r="N71" s="71">
        <f t="shared" ref="N71:N76" si="192">O71-L71</f>
        <v>2411.779279</v>
      </c>
      <c r="O71" s="66">
        <f t="shared" ref="O71:O76" si="193">P71/$O$4</f>
        <v>14414.41441</v>
      </c>
      <c r="P71" s="78">
        <v>16000.0</v>
      </c>
      <c r="Q71" s="73">
        <f t="shared" ref="Q71:Q76" si="194">P71/E71</f>
        <v>3200</v>
      </c>
      <c r="R71" s="74"/>
      <c r="S71" s="75"/>
      <c r="T71" s="66">
        <f t="shared" ref="T71:T76" si="195">AD71*$T$3</f>
        <v>0</v>
      </c>
      <c r="U71" s="66">
        <f t="shared" ref="U71:U76" si="196">AD71*$U$3</f>
        <v>0</v>
      </c>
      <c r="V71" s="66">
        <f t="shared" ref="V71:V76" si="197">AD71*$V$3</f>
        <v>0</v>
      </c>
      <c r="W71" s="66">
        <f t="shared" ref="W71:W76" si="198">AD71*$W$3</f>
        <v>0</v>
      </c>
      <c r="X71" s="68">
        <v>1250.0</v>
      </c>
      <c r="Y71" s="66">
        <f t="shared" ref="Y71:Y76" si="199">R71*$Y$3</f>
        <v>0</v>
      </c>
      <c r="Z71" s="69">
        <f t="shared" ref="Z71:Z76" si="200">(D71*S71)+T71+U71+V71+W71+X71+Y71</f>
        <v>1250</v>
      </c>
      <c r="AA71" s="70" t="str">
        <f t="shared" ref="AA71:AA76" si="201">AB71/AC71</f>
        <v>#DIV/0!</v>
      </c>
      <c r="AB71" s="71">
        <f t="shared" ref="AB71:AB76" si="202">AC71-Z71</f>
        <v>-1250</v>
      </c>
      <c r="AC71" s="66">
        <f t="shared" ref="AC71:AC76" si="203">AD71/$O$4</f>
        <v>0</v>
      </c>
      <c r="AD71" s="78"/>
      <c r="AE71" s="73" t="str">
        <f t="shared" ref="AE71:AE76" si="204">AD71/S71</f>
        <v>#DIV/0!</v>
      </c>
      <c r="AF71" s="76"/>
      <c r="AG71" s="75"/>
      <c r="AH71" s="66">
        <f t="shared" ref="AH71:AH76" si="205">AR71*$AH$3</f>
        <v>0</v>
      </c>
      <c r="AI71" s="66">
        <f t="shared" ref="AI71:AI76" si="206">AR71*$AI$3</f>
        <v>0</v>
      </c>
      <c r="AJ71" s="66">
        <f t="shared" ref="AJ71:AJ76" si="207">AR71*$AJ$3</f>
        <v>0</v>
      </c>
      <c r="AK71" s="66">
        <f t="shared" ref="AK71:AK76" si="208">AR71*$AK$3</f>
        <v>0</v>
      </c>
      <c r="AL71" s="68">
        <v>1250.0</v>
      </c>
      <c r="AM71" s="66">
        <f t="shared" ref="AM71:AM76" si="209">AF71*$AM$3</f>
        <v>0</v>
      </c>
      <c r="AN71" s="69">
        <f t="shared" ref="AN71:AN76" si="210">(R71*AG71)+AH71+AI71+AJ71+AK71+AL71+AM71</f>
        <v>1250</v>
      </c>
      <c r="AO71" s="70" t="str">
        <f t="shared" ref="AO71:AO76" si="211">AP71/AQ71</f>
        <v>#DIV/0!</v>
      </c>
      <c r="AP71" s="71">
        <f t="shared" ref="AP71:AP76" si="212">AQ71-AN71</f>
        <v>-1250</v>
      </c>
      <c r="AQ71" s="66">
        <f t="shared" ref="AQ71:AQ76" si="213">AR71/$O$4</f>
        <v>0</v>
      </c>
      <c r="AR71" s="78"/>
      <c r="AS71" s="73" t="str">
        <f t="shared" ref="AS71:AS76" si="214">AR71/AG71</f>
        <v>#DIV/0!</v>
      </c>
    </row>
    <row r="72">
      <c r="A72" s="106" t="s">
        <v>99</v>
      </c>
      <c r="B72" s="65">
        <v>2200.0</v>
      </c>
      <c r="C72" s="65">
        <f t="shared" si="183"/>
        <v>1980</v>
      </c>
      <c r="D72" s="66">
        <f t="shared" si="184"/>
        <v>1783.783784</v>
      </c>
      <c r="E72" s="124">
        <v>5.0</v>
      </c>
      <c r="F72" s="66">
        <f t="shared" si="185"/>
        <v>1800</v>
      </c>
      <c r="G72" s="66">
        <f t="shared" si="186"/>
        <v>1080</v>
      </c>
      <c r="H72" s="66">
        <f t="shared" si="187"/>
        <v>810</v>
      </c>
      <c r="I72" s="66">
        <f t="shared" si="188"/>
        <v>0</v>
      </c>
      <c r="J72" s="68">
        <v>1250.0</v>
      </c>
      <c r="K72" s="66">
        <f t="shared" si="189"/>
        <v>89.18918919</v>
      </c>
      <c r="L72" s="69">
        <f t="shared" si="190"/>
        <v>13948.10811</v>
      </c>
      <c r="M72" s="70">
        <f t="shared" si="191"/>
        <v>0.1398666667</v>
      </c>
      <c r="N72" s="71">
        <f t="shared" si="192"/>
        <v>2268.108108</v>
      </c>
      <c r="O72" s="66">
        <f t="shared" si="193"/>
        <v>16216.21622</v>
      </c>
      <c r="P72" s="78">
        <v>18000.0</v>
      </c>
      <c r="Q72" s="73">
        <f t="shared" si="194"/>
        <v>3600</v>
      </c>
      <c r="R72" s="74"/>
      <c r="S72" s="75"/>
      <c r="T72" s="66">
        <f t="shared" si="195"/>
        <v>0</v>
      </c>
      <c r="U72" s="66">
        <f t="shared" si="196"/>
        <v>0</v>
      </c>
      <c r="V72" s="66">
        <f t="shared" si="197"/>
        <v>0</v>
      </c>
      <c r="W72" s="66">
        <f t="shared" si="198"/>
        <v>0</v>
      </c>
      <c r="X72" s="68">
        <v>1250.0</v>
      </c>
      <c r="Y72" s="66">
        <f t="shared" si="199"/>
        <v>0</v>
      </c>
      <c r="Z72" s="69">
        <f t="shared" si="200"/>
        <v>1250</v>
      </c>
      <c r="AA72" s="70" t="str">
        <f t="shared" si="201"/>
        <v>#DIV/0!</v>
      </c>
      <c r="AB72" s="71">
        <f t="shared" si="202"/>
        <v>-1250</v>
      </c>
      <c r="AC72" s="66">
        <f t="shared" si="203"/>
        <v>0</v>
      </c>
      <c r="AD72" s="78"/>
      <c r="AE72" s="73" t="str">
        <f t="shared" si="204"/>
        <v>#DIV/0!</v>
      </c>
      <c r="AF72" s="76"/>
      <c r="AG72" s="75"/>
      <c r="AH72" s="66">
        <f t="shared" si="205"/>
        <v>0</v>
      </c>
      <c r="AI72" s="66">
        <f t="shared" si="206"/>
        <v>0</v>
      </c>
      <c r="AJ72" s="66">
        <f t="shared" si="207"/>
        <v>0</v>
      </c>
      <c r="AK72" s="66">
        <f t="shared" si="208"/>
        <v>0</v>
      </c>
      <c r="AL72" s="68">
        <v>1250.0</v>
      </c>
      <c r="AM72" s="66">
        <f t="shared" si="209"/>
        <v>0</v>
      </c>
      <c r="AN72" s="69">
        <f t="shared" si="210"/>
        <v>1250</v>
      </c>
      <c r="AO72" s="70" t="str">
        <f t="shared" si="211"/>
        <v>#DIV/0!</v>
      </c>
      <c r="AP72" s="71">
        <f t="shared" si="212"/>
        <v>-1250</v>
      </c>
      <c r="AQ72" s="66">
        <f t="shared" si="213"/>
        <v>0</v>
      </c>
      <c r="AR72" s="78"/>
      <c r="AS72" s="73" t="str">
        <f t="shared" si="214"/>
        <v>#DIV/0!</v>
      </c>
    </row>
    <row r="73">
      <c r="A73" s="106" t="s">
        <v>100</v>
      </c>
      <c r="B73" s="65">
        <v>2900.0</v>
      </c>
      <c r="C73" s="65">
        <f t="shared" si="183"/>
        <v>2610</v>
      </c>
      <c r="D73" s="66">
        <f t="shared" si="184"/>
        <v>2351.351351</v>
      </c>
      <c r="E73" s="124">
        <v>3.0</v>
      </c>
      <c r="F73" s="66">
        <f t="shared" si="185"/>
        <v>1780</v>
      </c>
      <c r="G73" s="66">
        <f t="shared" si="186"/>
        <v>1068</v>
      </c>
      <c r="H73" s="66">
        <f t="shared" si="187"/>
        <v>801</v>
      </c>
      <c r="I73" s="66">
        <f t="shared" si="188"/>
        <v>0</v>
      </c>
      <c r="J73" s="68">
        <v>1250.0</v>
      </c>
      <c r="K73" s="66">
        <f t="shared" si="189"/>
        <v>117.5675676</v>
      </c>
      <c r="L73" s="69">
        <f t="shared" si="190"/>
        <v>12070.62162</v>
      </c>
      <c r="M73" s="70">
        <f t="shared" si="191"/>
        <v>0.2472814607</v>
      </c>
      <c r="N73" s="71">
        <f t="shared" si="192"/>
        <v>3965.414414</v>
      </c>
      <c r="O73" s="66">
        <f t="shared" si="193"/>
        <v>16036.03604</v>
      </c>
      <c r="P73" s="78">
        <v>17800.0</v>
      </c>
      <c r="Q73" s="73">
        <f t="shared" si="194"/>
        <v>5933.333333</v>
      </c>
      <c r="R73" s="74"/>
      <c r="S73" s="75"/>
      <c r="T73" s="66">
        <f t="shared" si="195"/>
        <v>0</v>
      </c>
      <c r="U73" s="66">
        <f t="shared" si="196"/>
        <v>0</v>
      </c>
      <c r="V73" s="66">
        <f t="shared" si="197"/>
        <v>0</v>
      </c>
      <c r="W73" s="66">
        <f t="shared" si="198"/>
        <v>0</v>
      </c>
      <c r="X73" s="68">
        <v>1250.0</v>
      </c>
      <c r="Y73" s="66">
        <f t="shared" si="199"/>
        <v>0</v>
      </c>
      <c r="Z73" s="69">
        <f t="shared" si="200"/>
        <v>1250</v>
      </c>
      <c r="AA73" s="70" t="str">
        <f t="shared" si="201"/>
        <v>#DIV/0!</v>
      </c>
      <c r="AB73" s="71">
        <f t="shared" si="202"/>
        <v>-1250</v>
      </c>
      <c r="AC73" s="66">
        <f t="shared" si="203"/>
        <v>0</v>
      </c>
      <c r="AD73" s="78"/>
      <c r="AE73" s="73" t="str">
        <f t="shared" si="204"/>
        <v>#DIV/0!</v>
      </c>
      <c r="AF73" s="76"/>
      <c r="AG73" s="75"/>
      <c r="AH73" s="66">
        <f t="shared" si="205"/>
        <v>0</v>
      </c>
      <c r="AI73" s="66">
        <f t="shared" si="206"/>
        <v>0</v>
      </c>
      <c r="AJ73" s="66">
        <f t="shared" si="207"/>
        <v>0</v>
      </c>
      <c r="AK73" s="66">
        <f t="shared" si="208"/>
        <v>0</v>
      </c>
      <c r="AL73" s="68">
        <v>1250.0</v>
      </c>
      <c r="AM73" s="66">
        <f t="shared" si="209"/>
        <v>0</v>
      </c>
      <c r="AN73" s="69">
        <f t="shared" si="210"/>
        <v>1250</v>
      </c>
      <c r="AO73" s="70" t="str">
        <f t="shared" si="211"/>
        <v>#DIV/0!</v>
      </c>
      <c r="AP73" s="71">
        <f t="shared" si="212"/>
        <v>-1250</v>
      </c>
      <c r="AQ73" s="66">
        <f t="shared" si="213"/>
        <v>0</v>
      </c>
      <c r="AR73" s="78"/>
      <c r="AS73" s="73" t="str">
        <f t="shared" si="214"/>
        <v>#DIV/0!</v>
      </c>
    </row>
    <row r="74">
      <c r="A74" s="106" t="s">
        <v>101</v>
      </c>
      <c r="B74" s="65">
        <f>B73+200</f>
        <v>3100</v>
      </c>
      <c r="C74" s="65">
        <f t="shared" si="183"/>
        <v>2790</v>
      </c>
      <c r="D74" s="66">
        <f t="shared" si="184"/>
        <v>2513.513514</v>
      </c>
      <c r="E74" s="124">
        <v>5.0</v>
      </c>
      <c r="F74" s="66">
        <f t="shared" si="185"/>
        <v>4500</v>
      </c>
      <c r="G74" s="66">
        <f t="shared" si="186"/>
        <v>2700</v>
      </c>
      <c r="H74" s="66">
        <f t="shared" si="187"/>
        <v>2025</v>
      </c>
      <c r="I74" s="66">
        <f t="shared" si="188"/>
        <v>0</v>
      </c>
      <c r="J74" s="68">
        <v>1250.0</v>
      </c>
      <c r="K74" s="66">
        <f t="shared" si="189"/>
        <v>125.6756757</v>
      </c>
      <c r="L74" s="69">
        <f t="shared" si="190"/>
        <v>23168.24324</v>
      </c>
      <c r="M74" s="70">
        <f t="shared" si="191"/>
        <v>0.4285166667</v>
      </c>
      <c r="N74" s="71">
        <f t="shared" si="192"/>
        <v>17372.2973</v>
      </c>
      <c r="O74" s="66">
        <f t="shared" si="193"/>
        <v>40540.54054</v>
      </c>
      <c r="P74" s="78">
        <v>45000.0</v>
      </c>
      <c r="Q74" s="73">
        <f t="shared" si="194"/>
        <v>9000</v>
      </c>
      <c r="R74" s="74"/>
      <c r="S74" s="75"/>
      <c r="T74" s="66">
        <f t="shared" si="195"/>
        <v>0</v>
      </c>
      <c r="U74" s="66">
        <f t="shared" si="196"/>
        <v>0</v>
      </c>
      <c r="V74" s="66">
        <f t="shared" si="197"/>
        <v>0</v>
      </c>
      <c r="W74" s="66">
        <f t="shared" si="198"/>
        <v>0</v>
      </c>
      <c r="X74" s="68">
        <v>1250.0</v>
      </c>
      <c r="Y74" s="66">
        <f t="shared" si="199"/>
        <v>0</v>
      </c>
      <c r="Z74" s="69">
        <f t="shared" si="200"/>
        <v>1250</v>
      </c>
      <c r="AA74" s="70" t="str">
        <f t="shared" si="201"/>
        <v>#DIV/0!</v>
      </c>
      <c r="AB74" s="71">
        <f t="shared" si="202"/>
        <v>-1250</v>
      </c>
      <c r="AC74" s="66">
        <f t="shared" si="203"/>
        <v>0</v>
      </c>
      <c r="AD74" s="78"/>
      <c r="AE74" s="73" t="str">
        <f t="shared" si="204"/>
        <v>#DIV/0!</v>
      </c>
      <c r="AF74" s="76"/>
      <c r="AG74" s="75"/>
      <c r="AH74" s="66">
        <f t="shared" si="205"/>
        <v>0</v>
      </c>
      <c r="AI74" s="66">
        <f t="shared" si="206"/>
        <v>0</v>
      </c>
      <c r="AJ74" s="66">
        <f t="shared" si="207"/>
        <v>0</v>
      </c>
      <c r="AK74" s="66">
        <f t="shared" si="208"/>
        <v>0</v>
      </c>
      <c r="AL74" s="68">
        <v>1250.0</v>
      </c>
      <c r="AM74" s="66">
        <f t="shared" si="209"/>
        <v>0</v>
      </c>
      <c r="AN74" s="69">
        <f t="shared" si="210"/>
        <v>1250</v>
      </c>
      <c r="AO74" s="70" t="str">
        <f t="shared" si="211"/>
        <v>#DIV/0!</v>
      </c>
      <c r="AP74" s="71">
        <f t="shared" si="212"/>
        <v>-1250</v>
      </c>
      <c r="AQ74" s="66">
        <f t="shared" si="213"/>
        <v>0</v>
      </c>
      <c r="AR74" s="78"/>
      <c r="AS74" s="73" t="str">
        <f t="shared" si="214"/>
        <v>#DIV/0!</v>
      </c>
    </row>
    <row r="75">
      <c r="A75" s="106" t="s">
        <v>102</v>
      </c>
      <c r="B75" s="65">
        <v>5500.0</v>
      </c>
      <c r="C75" s="65">
        <f t="shared" si="183"/>
        <v>4950</v>
      </c>
      <c r="D75" s="66">
        <f t="shared" si="184"/>
        <v>4459.459459</v>
      </c>
      <c r="E75" s="124">
        <v>1.0</v>
      </c>
      <c r="F75" s="66">
        <f t="shared" si="185"/>
        <v>926.2</v>
      </c>
      <c r="G75" s="66">
        <f t="shared" si="186"/>
        <v>555.72</v>
      </c>
      <c r="H75" s="66">
        <f t="shared" si="187"/>
        <v>416.79</v>
      </c>
      <c r="I75" s="66">
        <f t="shared" si="188"/>
        <v>0</v>
      </c>
      <c r="J75" s="68">
        <v>1250.0</v>
      </c>
      <c r="K75" s="66">
        <f t="shared" si="189"/>
        <v>222.972973</v>
      </c>
      <c r="L75" s="69">
        <f t="shared" si="190"/>
        <v>7831.142432</v>
      </c>
      <c r="M75" s="70">
        <f t="shared" si="191"/>
        <v>0.06148044699</v>
      </c>
      <c r="N75" s="71">
        <f t="shared" si="192"/>
        <v>513.0017117</v>
      </c>
      <c r="O75" s="66">
        <f t="shared" si="193"/>
        <v>8344.144144</v>
      </c>
      <c r="P75" s="78">
        <v>9262.0</v>
      </c>
      <c r="Q75" s="73">
        <f t="shared" si="194"/>
        <v>9262</v>
      </c>
      <c r="R75" s="74"/>
      <c r="S75" s="75"/>
      <c r="T75" s="66">
        <f t="shared" si="195"/>
        <v>0</v>
      </c>
      <c r="U75" s="66">
        <f t="shared" si="196"/>
        <v>0</v>
      </c>
      <c r="V75" s="66">
        <f t="shared" si="197"/>
        <v>0</v>
      </c>
      <c r="W75" s="66">
        <f t="shared" si="198"/>
        <v>0</v>
      </c>
      <c r="X75" s="68">
        <v>1250.0</v>
      </c>
      <c r="Y75" s="66">
        <f t="shared" si="199"/>
        <v>0</v>
      </c>
      <c r="Z75" s="69">
        <f t="shared" si="200"/>
        <v>1250</v>
      </c>
      <c r="AA75" s="70" t="str">
        <f t="shared" si="201"/>
        <v>#DIV/0!</v>
      </c>
      <c r="AB75" s="71">
        <f t="shared" si="202"/>
        <v>-1250</v>
      </c>
      <c r="AC75" s="66">
        <f t="shared" si="203"/>
        <v>0</v>
      </c>
      <c r="AD75" s="78"/>
      <c r="AE75" s="73" t="str">
        <f t="shared" si="204"/>
        <v>#DIV/0!</v>
      </c>
      <c r="AF75" s="76"/>
      <c r="AG75" s="75"/>
      <c r="AH75" s="66">
        <f t="shared" si="205"/>
        <v>0</v>
      </c>
      <c r="AI75" s="66">
        <f t="shared" si="206"/>
        <v>0</v>
      </c>
      <c r="AJ75" s="66">
        <f t="shared" si="207"/>
        <v>0</v>
      </c>
      <c r="AK75" s="66">
        <f t="shared" si="208"/>
        <v>0</v>
      </c>
      <c r="AL75" s="68">
        <v>1250.0</v>
      </c>
      <c r="AM75" s="66">
        <f t="shared" si="209"/>
        <v>0</v>
      </c>
      <c r="AN75" s="69">
        <f t="shared" si="210"/>
        <v>1250</v>
      </c>
      <c r="AO75" s="70" t="str">
        <f t="shared" si="211"/>
        <v>#DIV/0!</v>
      </c>
      <c r="AP75" s="71">
        <f t="shared" si="212"/>
        <v>-1250</v>
      </c>
      <c r="AQ75" s="66">
        <f t="shared" si="213"/>
        <v>0</v>
      </c>
      <c r="AR75" s="78"/>
      <c r="AS75" s="73" t="str">
        <f t="shared" si="214"/>
        <v>#DIV/0!</v>
      </c>
    </row>
    <row r="76">
      <c r="A76" s="106" t="s">
        <v>103</v>
      </c>
      <c r="B76" s="65">
        <v>10500.0</v>
      </c>
      <c r="C76" s="65">
        <f t="shared" si="183"/>
        <v>9450</v>
      </c>
      <c r="D76" s="66">
        <f t="shared" si="184"/>
        <v>8513.513514</v>
      </c>
      <c r="E76" s="124">
        <v>1.0</v>
      </c>
      <c r="F76" s="66">
        <f t="shared" si="185"/>
        <v>1700</v>
      </c>
      <c r="G76" s="66">
        <f t="shared" si="186"/>
        <v>1020</v>
      </c>
      <c r="H76" s="66">
        <f t="shared" si="187"/>
        <v>765</v>
      </c>
      <c r="I76" s="66">
        <f t="shared" si="188"/>
        <v>0</v>
      </c>
      <c r="J76" s="68">
        <v>1250.0</v>
      </c>
      <c r="K76" s="66">
        <f t="shared" si="189"/>
        <v>425.6756757</v>
      </c>
      <c r="L76" s="69">
        <f t="shared" si="190"/>
        <v>13674.18919</v>
      </c>
      <c r="M76" s="70">
        <f t="shared" si="191"/>
        <v>0.1071558824</v>
      </c>
      <c r="N76" s="71">
        <f t="shared" si="192"/>
        <v>1641.126126</v>
      </c>
      <c r="O76" s="66">
        <f t="shared" si="193"/>
        <v>15315.31532</v>
      </c>
      <c r="P76" s="78">
        <v>17000.0</v>
      </c>
      <c r="Q76" s="73">
        <f t="shared" si="194"/>
        <v>17000</v>
      </c>
      <c r="R76" s="74"/>
      <c r="S76" s="75"/>
      <c r="T76" s="66">
        <f t="shared" si="195"/>
        <v>0</v>
      </c>
      <c r="U76" s="66">
        <f t="shared" si="196"/>
        <v>0</v>
      </c>
      <c r="V76" s="66">
        <f t="shared" si="197"/>
        <v>0</v>
      </c>
      <c r="W76" s="66">
        <f t="shared" si="198"/>
        <v>0</v>
      </c>
      <c r="X76" s="68">
        <v>1250.0</v>
      </c>
      <c r="Y76" s="66">
        <f t="shared" si="199"/>
        <v>0</v>
      </c>
      <c r="Z76" s="69">
        <f t="shared" si="200"/>
        <v>1250</v>
      </c>
      <c r="AA76" s="70" t="str">
        <f t="shared" si="201"/>
        <v>#DIV/0!</v>
      </c>
      <c r="AB76" s="71">
        <f t="shared" si="202"/>
        <v>-1250</v>
      </c>
      <c r="AC76" s="66">
        <f t="shared" si="203"/>
        <v>0</v>
      </c>
      <c r="AD76" s="78"/>
      <c r="AE76" s="73" t="str">
        <f t="shared" si="204"/>
        <v>#DIV/0!</v>
      </c>
      <c r="AF76" s="76"/>
      <c r="AG76" s="75"/>
      <c r="AH76" s="66">
        <f t="shared" si="205"/>
        <v>0</v>
      </c>
      <c r="AI76" s="66">
        <f t="shared" si="206"/>
        <v>0</v>
      </c>
      <c r="AJ76" s="66">
        <f t="shared" si="207"/>
        <v>0</v>
      </c>
      <c r="AK76" s="66">
        <f t="shared" si="208"/>
        <v>0</v>
      </c>
      <c r="AL76" s="68">
        <v>1250.0</v>
      </c>
      <c r="AM76" s="66">
        <f t="shared" si="209"/>
        <v>0</v>
      </c>
      <c r="AN76" s="69">
        <f t="shared" si="210"/>
        <v>1250</v>
      </c>
      <c r="AO76" s="70" t="str">
        <f t="shared" si="211"/>
        <v>#DIV/0!</v>
      </c>
      <c r="AP76" s="71">
        <f t="shared" si="212"/>
        <v>-1250</v>
      </c>
      <c r="AQ76" s="66">
        <f t="shared" si="213"/>
        <v>0</v>
      </c>
      <c r="AR76" s="78"/>
      <c r="AS76" s="73" t="str">
        <f t="shared" si="214"/>
        <v>#DIV/0!</v>
      </c>
    </row>
    <row r="77">
      <c r="A77" s="132"/>
      <c r="B77" s="133"/>
      <c r="C77" s="133"/>
      <c r="D77" s="66"/>
      <c r="E77" s="124"/>
      <c r="F77" s="66"/>
      <c r="G77" s="66"/>
      <c r="H77" s="66"/>
      <c r="I77" s="66"/>
      <c r="J77" s="68"/>
      <c r="K77" s="66"/>
      <c r="L77" s="69"/>
      <c r="M77" s="70"/>
      <c r="N77" s="71"/>
      <c r="O77" s="66"/>
      <c r="P77" s="78"/>
      <c r="Q77" s="73"/>
      <c r="R77" s="74"/>
      <c r="S77" s="75"/>
      <c r="T77" s="66"/>
      <c r="U77" s="66"/>
      <c r="V77" s="66"/>
      <c r="W77" s="66"/>
      <c r="X77" s="68"/>
      <c r="Y77" s="66"/>
      <c r="Z77" s="69"/>
      <c r="AA77" s="70"/>
      <c r="AB77" s="71"/>
      <c r="AC77" s="66"/>
      <c r="AD77" s="78"/>
      <c r="AE77" s="73"/>
      <c r="AF77" s="76"/>
      <c r="AG77" s="75"/>
      <c r="AH77" s="66"/>
      <c r="AI77" s="66"/>
      <c r="AJ77" s="66"/>
      <c r="AK77" s="66"/>
      <c r="AL77" s="68"/>
      <c r="AM77" s="66"/>
      <c r="AN77" s="69"/>
      <c r="AO77" s="70"/>
      <c r="AP77" s="71"/>
      <c r="AQ77" s="66"/>
      <c r="AR77" s="78"/>
      <c r="AS77" s="73"/>
    </row>
    <row r="78">
      <c r="A78" s="106" t="s">
        <v>104</v>
      </c>
      <c r="B78" s="133">
        <f t="shared" ref="B78:B80" si="215">B71*6</f>
        <v>10950</v>
      </c>
      <c r="C78" s="65">
        <f t="shared" ref="C78:C84" si="216">B78*$C$4</f>
        <v>9855</v>
      </c>
      <c r="D78" s="66">
        <f t="shared" ref="D78:D84" si="217">C78/$D$4</f>
        <v>8878.378378</v>
      </c>
      <c r="E78" s="124">
        <v>1.0</v>
      </c>
      <c r="F78" s="66">
        <f t="shared" ref="F78:F84" si="218">P78*$F$3</f>
        <v>0</v>
      </c>
      <c r="G78" s="66">
        <f t="shared" ref="G78:G84" si="219">P78*$G$3</f>
        <v>0</v>
      </c>
      <c r="H78" s="66">
        <f t="shared" ref="H78:H84" si="220">P78*$H$3</f>
        <v>0</v>
      </c>
      <c r="I78" s="66">
        <f t="shared" ref="I78:I84" si="221">P78*$I$3</f>
        <v>0</v>
      </c>
      <c r="J78" s="68">
        <v>1250.0</v>
      </c>
      <c r="K78" s="66">
        <f t="shared" ref="K78:K84" si="222">D78*$K$3</f>
        <v>443.9189189</v>
      </c>
      <c r="L78" s="69">
        <f t="shared" ref="L78:L84" si="223">(D78*E78)+F78+G78+H78+I78+J78+K78</f>
        <v>10572.2973</v>
      </c>
      <c r="M78" s="70" t="str">
        <f t="shared" ref="M78:M84" si="224">N78/O78</f>
        <v>#DIV/0!</v>
      </c>
      <c r="N78" s="71">
        <f t="shared" ref="N78:N84" si="225">O78-L78</f>
        <v>-10572.2973</v>
      </c>
      <c r="O78" s="66">
        <f t="shared" ref="O78:O84" si="226">P78/$O$4</f>
        <v>0</v>
      </c>
      <c r="P78" s="78"/>
      <c r="Q78" s="73">
        <f t="shared" ref="Q78:Q84" si="227">P78/E78</f>
        <v>0</v>
      </c>
      <c r="R78" s="74"/>
      <c r="S78" s="75"/>
      <c r="T78" s="66"/>
      <c r="U78" s="66"/>
      <c r="V78" s="66"/>
      <c r="W78" s="66"/>
      <c r="X78" s="68"/>
      <c r="Y78" s="66"/>
      <c r="Z78" s="69"/>
      <c r="AA78" s="70"/>
      <c r="AB78" s="71"/>
      <c r="AC78" s="66"/>
      <c r="AD78" s="78"/>
      <c r="AE78" s="73"/>
      <c r="AF78" s="76"/>
      <c r="AG78" s="75"/>
      <c r="AH78" s="66"/>
      <c r="AI78" s="66"/>
      <c r="AJ78" s="66"/>
      <c r="AK78" s="66"/>
      <c r="AL78" s="68"/>
      <c r="AM78" s="66"/>
      <c r="AN78" s="69"/>
      <c r="AO78" s="70"/>
      <c r="AP78" s="71"/>
      <c r="AQ78" s="66"/>
      <c r="AR78" s="78"/>
      <c r="AS78" s="73"/>
    </row>
    <row r="79">
      <c r="A79" s="106" t="s">
        <v>105</v>
      </c>
      <c r="B79" s="133">
        <f t="shared" si="215"/>
        <v>13200</v>
      </c>
      <c r="C79" s="65">
        <f t="shared" si="216"/>
        <v>11880</v>
      </c>
      <c r="D79" s="66">
        <f t="shared" si="217"/>
        <v>10702.7027</v>
      </c>
      <c r="E79" s="124">
        <v>1.0</v>
      </c>
      <c r="F79" s="66">
        <f t="shared" si="218"/>
        <v>0</v>
      </c>
      <c r="G79" s="66">
        <f t="shared" si="219"/>
        <v>0</v>
      </c>
      <c r="H79" s="66">
        <f t="shared" si="220"/>
        <v>0</v>
      </c>
      <c r="I79" s="66">
        <f t="shared" si="221"/>
        <v>0</v>
      </c>
      <c r="J79" s="68">
        <v>1250.0</v>
      </c>
      <c r="K79" s="66">
        <f t="shared" si="222"/>
        <v>535.1351351</v>
      </c>
      <c r="L79" s="69">
        <f t="shared" si="223"/>
        <v>12487.83784</v>
      </c>
      <c r="M79" s="70" t="str">
        <f t="shared" si="224"/>
        <v>#DIV/0!</v>
      </c>
      <c r="N79" s="71">
        <f t="shared" si="225"/>
        <v>-12487.83784</v>
      </c>
      <c r="O79" s="66">
        <f t="shared" si="226"/>
        <v>0</v>
      </c>
      <c r="P79" s="78"/>
      <c r="Q79" s="73">
        <f t="shared" si="227"/>
        <v>0</v>
      </c>
      <c r="R79" s="74"/>
      <c r="S79" s="75"/>
      <c r="T79" s="66"/>
      <c r="U79" s="66"/>
      <c r="V79" s="66"/>
      <c r="W79" s="66"/>
      <c r="X79" s="68"/>
      <c r="Y79" s="66"/>
      <c r="Z79" s="69"/>
      <c r="AA79" s="70"/>
      <c r="AB79" s="71"/>
      <c r="AC79" s="66"/>
      <c r="AD79" s="78"/>
      <c r="AE79" s="73"/>
      <c r="AF79" s="76"/>
      <c r="AG79" s="75"/>
      <c r="AH79" s="66"/>
      <c r="AI79" s="66"/>
      <c r="AJ79" s="66"/>
      <c r="AK79" s="66"/>
      <c r="AL79" s="68"/>
      <c r="AM79" s="66"/>
      <c r="AN79" s="69"/>
      <c r="AO79" s="70"/>
      <c r="AP79" s="71"/>
      <c r="AQ79" s="66"/>
      <c r="AR79" s="78"/>
      <c r="AS79" s="73"/>
    </row>
    <row r="80">
      <c r="A80" s="106" t="s">
        <v>106</v>
      </c>
      <c r="B80" s="133">
        <f t="shared" si="215"/>
        <v>17400</v>
      </c>
      <c r="C80" s="65">
        <f t="shared" si="216"/>
        <v>15660</v>
      </c>
      <c r="D80" s="66">
        <f t="shared" si="217"/>
        <v>14108.10811</v>
      </c>
      <c r="E80" s="124">
        <v>1.0</v>
      </c>
      <c r="F80" s="66">
        <f t="shared" si="218"/>
        <v>0</v>
      </c>
      <c r="G80" s="66">
        <f t="shared" si="219"/>
        <v>0</v>
      </c>
      <c r="H80" s="66">
        <f t="shared" si="220"/>
        <v>0</v>
      </c>
      <c r="I80" s="66">
        <f t="shared" si="221"/>
        <v>0</v>
      </c>
      <c r="J80" s="68">
        <v>1250.0</v>
      </c>
      <c r="K80" s="66">
        <f t="shared" si="222"/>
        <v>705.4054054</v>
      </c>
      <c r="L80" s="69">
        <f t="shared" si="223"/>
        <v>16063.51351</v>
      </c>
      <c r="M80" s="70" t="str">
        <f t="shared" si="224"/>
        <v>#DIV/0!</v>
      </c>
      <c r="N80" s="71">
        <f t="shared" si="225"/>
        <v>-16063.51351</v>
      </c>
      <c r="O80" s="66">
        <f t="shared" si="226"/>
        <v>0</v>
      </c>
      <c r="P80" s="78"/>
      <c r="Q80" s="73">
        <f t="shared" si="227"/>
        <v>0</v>
      </c>
      <c r="R80" s="74"/>
      <c r="S80" s="75"/>
      <c r="T80" s="66"/>
      <c r="U80" s="66"/>
      <c r="V80" s="66"/>
      <c r="W80" s="66"/>
      <c r="X80" s="68"/>
      <c r="Y80" s="66"/>
      <c r="Z80" s="69"/>
      <c r="AA80" s="70"/>
      <c r="AB80" s="71"/>
      <c r="AC80" s="66"/>
      <c r="AD80" s="78"/>
      <c r="AE80" s="73"/>
      <c r="AF80" s="76"/>
      <c r="AG80" s="75"/>
      <c r="AH80" s="66"/>
      <c r="AI80" s="66"/>
      <c r="AJ80" s="66"/>
      <c r="AK80" s="66"/>
      <c r="AL80" s="68"/>
      <c r="AM80" s="66"/>
      <c r="AN80" s="69"/>
      <c r="AO80" s="70"/>
      <c r="AP80" s="71"/>
      <c r="AQ80" s="66"/>
      <c r="AR80" s="78"/>
      <c r="AS80" s="73"/>
    </row>
    <row r="81">
      <c r="A81" s="135"/>
      <c r="B81" s="133"/>
      <c r="C81" s="65">
        <f t="shared" si="216"/>
        <v>0</v>
      </c>
      <c r="D81" s="66">
        <f t="shared" si="217"/>
        <v>0</v>
      </c>
      <c r="E81" s="124">
        <v>1.0</v>
      </c>
      <c r="F81" s="66">
        <f t="shared" si="218"/>
        <v>0</v>
      </c>
      <c r="G81" s="66">
        <f t="shared" si="219"/>
        <v>0</v>
      </c>
      <c r="H81" s="66">
        <f t="shared" si="220"/>
        <v>0</v>
      </c>
      <c r="I81" s="66">
        <f t="shared" si="221"/>
        <v>0</v>
      </c>
      <c r="J81" s="68">
        <v>1250.0</v>
      </c>
      <c r="K81" s="66">
        <f t="shared" si="222"/>
        <v>0</v>
      </c>
      <c r="L81" s="69">
        <f t="shared" si="223"/>
        <v>1250</v>
      </c>
      <c r="M81" s="70" t="str">
        <f t="shared" si="224"/>
        <v>#DIV/0!</v>
      </c>
      <c r="N81" s="71">
        <f t="shared" si="225"/>
        <v>-1250</v>
      </c>
      <c r="O81" s="66">
        <f t="shared" si="226"/>
        <v>0</v>
      </c>
      <c r="P81" s="78"/>
      <c r="Q81" s="73">
        <f t="shared" si="227"/>
        <v>0</v>
      </c>
      <c r="R81" s="74"/>
      <c r="S81" s="75"/>
      <c r="T81" s="66"/>
      <c r="U81" s="66"/>
      <c r="V81" s="66"/>
      <c r="W81" s="66"/>
      <c r="X81" s="68"/>
      <c r="Y81" s="66"/>
      <c r="Z81" s="69"/>
      <c r="AA81" s="70"/>
      <c r="AB81" s="71"/>
      <c r="AC81" s="66"/>
      <c r="AD81" s="78"/>
      <c r="AE81" s="73"/>
      <c r="AF81" s="76"/>
      <c r="AG81" s="75"/>
      <c r="AH81" s="66"/>
      <c r="AI81" s="66"/>
      <c r="AJ81" s="66"/>
      <c r="AK81" s="66"/>
      <c r="AL81" s="68"/>
      <c r="AM81" s="66"/>
      <c r="AN81" s="69"/>
      <c r="AO81" s="70"/>
      <c r="AP81" s="71"/>
      <c r="AQ81" s="66"/>
      <c r="AR81" s="78"/>
      <c r="AS81" s="73"/>
    </row>
    <row r="82">
      <c r="A82" s="106" t="s">
        <v>107</v>
      </c>
      <c r="B82" s="133">
        <f>B76*3+B75*3</f>
        <v>48000</v>
      </c>
      <c r="C82" s="65">
        <f t="shared" si="216"/>
        <v>43200</v>
      </c>
      <c r="D82" s="66">
        <f t="shared" si="217"/>
        <v>38918.91892</v>
      </c>
      <c r="E82" s="124">
        <v>1.0</v>
      </c>
      <c r="F82" s="66">
        <f t="shared" si="218"/>
        <v>0</v>
      </c>
      <c r="G82" s="66">
        <f t="shared" si="219"/>
        <v>0</v>
      </c>
      <c r="H82" s="66">
        <f t="shared" si="220"/>
        <v>0</v>
      </c>
      <c r="I82" s="66">
        <f t="shared" si="221"/>
        <v>0</v>
      </c>
      <c r="J82" s="68">
        <v>1250.0</v>
      </c>
      <c r="K82" s="66">
        <f t="shared" si="222"/>
        <v>1945.945946</v>
      </c>
      <c r="L82" s="69">
        <f t="shared" si="223"/>
        <v>42114.86486</v>
      </c>
      <c r="M82" s="70" t="str">
        <f t="shared" si="224"/>
        <v>#DIV/0!</v>
      </c>
      <c r="N82" s="71">
        <f t="shared" si="225"/>
        <v>-42114.86486</v>
      </c>
      <c r="O82" s="66">
        <f t="shared" si="226"/>
        <v>0</v>
      </c>
      <c r="P82" s="78"/>
      <c r="Q82" s="73">
        <f t="shared" si="227"/>
        <v>0</v>
      </c>
      <c r="R82" s="74"/>
      <c r="S82" s="75"/>
      <c r="T82" s="66"/>
      <c r="U82" s="66"/>
      <c r="V82" s="66"/>
      <c r="W82" s="66"/>
      <c r="X82" s="68"/>
      <c r="Y82" s="66"/>
      <c r="Z82" s="69"/>
      <c r="AA82" s="70"/>
      <c r="AB82" s="71"/>
      <c r="AC82" s="66"/>
      <c r="AD82" s="78"/>
      <c r="AE82" s="73"/>
      <c r="AF82" s="76"/>
      <c r="AG82" s="75"/>
      <c r="AH82" s="66"/>
      <c r="AI82" s="66"/>
      <c r="AJ82" s="66"/>
      <c r="AK82" s="66"/>
      <c r="AL82" s="68"/>
      <c r="AM82" s="66"/>
      <c r="AN82" s="69"/>
      <c r="AO82" s="70"/>
      <c r="AP82" s="71"/>
      <c r="AQ82" s="66"/>
      <c r="AR82" s="78"/>
      <c r="AS82" s="73"/>
    </row>
    <row r="83">
      <c r="A83" s="106" t="s">
        <v>108</v>
      </c>
      <c r="B83" s="133">
        <f>B75*3+B71*3</f>
        <v>21975</v>
      </c>
      <c r="C83" s="65">
        <f t="shared" si="216"/>
        <v>19777.5</v>
      </c>
      <c r="D83" s="66">
        <f t="shared" si="217"/>
        <v>17817.56757</v>
      </c>
      <c r="E83" s="124">
        <v>1.0</v>
      </c>
      <c r="F83" s="66">
        <f t="shared" si="218"/>
        <v>0</v>
      </c>
      <c r="G83" s="66">
        <f t="shared" si="219"/>
        <v>0</v>
      </c>
      <c r="H83" s="66">
        <f t="shared" si="220"/>
        <v>0</v>
      </c>
      <c r="I83" s="66">
        <f t="shared" si="221"/>
        <v>0</v>
      </c>
      <c r="J83" s="68">
        <v>1250.0</v>
      </c>
      <c r="K83" s="66">
        <f t="shared" si="222"/>
        <v>890.8783784</v>
      </c>
      <c r="L83" s="69">
        <f t="shared" si="223"/>
        <v>19958.44595</v>
      </c>
      <c r="M83" s="70" t="str">
        <f t="shared" si="224"/>
        <v>#DIV/0!</v>
      </c>
      <c r="N83" s="71">
        <f t="shared" si="225"/>
        <v>-19958.44595</v>
      </c>
      <c r="O83" s="66">
        <f t="shared" si="226"/>
        <v>0</v>
      </c>
      <c r="P83" s="78"/>
      <c r="Q83" s="73">
        <f t="shared" si="227"/>
        <v>0</v>
      </c>
      <c r="R83" s="74"/>
      <c r="S83" s="75"/>
      <c r="T83" s="66"/>
      <c r="U83" s="66"/>
      <c r="V83" s="66"/>
      <c r="W83" s="66"/>
      <c r="X83" s="68"/>
      <c r="Y83" s="66"/>
      <c r="Z83" s="69"/>
      <c r="AA83" s="70"/>
      <c r="AB83" s="71"/>
      <c r="AC83" s="66"/>
      <c r="AD83" s="78"/>
      <c r="AE83" s="73"/>
      <c r="AF83" s="76"/>
      <c r="AG83" s="75"/>
      <c r="AH83" s="66"/>
      <c r="AI83" s="66"/>
      <c r="AJ83" s="66"/>
      <c r="AK83" s="66"/>
      <c r="AL83" s="68"/>
      <c r="AM83" s="66"/>
      <c r="AN83" s="69"/>
      <c r="AO83" s="70"/>
      <c r="AP83" s="71"/>
      <c r="AQ83" s="66"/>
      <c r="AR83" s="78"/>
      <c r="AS83" s="73"/>
    </row>
    <row r="84">
      <c r="A84" s="106" t="s">
        <v>109</v>
      </c>
      <c r="B84" s="133">
        <f>B75*3+B72*3</f>
        <v>23100</v>
      </c>
      <c r="C84" s="65">
        <f t="shared" si="216"/>
        <v>20790</v>
      </c>
      <c r="D84" s="66">
        <f t="shared" si="217"/>
        <v>18729.72973</v>
      </c>
      <c r="E84" s="124">
        <v>1.0</v>
      </c>
      <c r="F84" s="66">
        <f t="shared" si="218"/>
        <v>0</v>
      </c>
      <c r="G84" s="66">
        <f t="shared" si="219"/>
        <v>0</v>
      </c>
      <c r="H84" s="66">
        <f t="shared" si="220"/>
        <v>0</v>
      </c>
      <c r="I84" s="66">
        <f t="shared" si="221"/>
        <v>0</v>
      </c>
      <c r="J84" s="68">
        <v>1250.0</v>
      </c>
      <c r="K84" s="66">
        <f t="shared" si="222"/>
        <v>936.4864865</v>
      </c>
      <c r="L84" s="69">
        <f t="shared" si="223"/>
        <v>20916.21622</v>
      </c>
      <c r="M84" s="70" t="str">
        <f t="shared" si="224"/>
        <v>#DIV/0!</v>
      </c>
      <c r="N84" s="71">
        <f t="shared" si="225"/>
        <v>-20916.21622</v>
      </c>
      <c r="O84" s="66">
        <f t="shared" si="226"/>
        <v>0</v>
      </c>
      <c r="P84" s="78"/>
      <c r="Q84" s="73">
        <f t="shared" si="227"/>
        <v>0</v>
      </c>
      <c r="R84" s="74"/>
      <c r="S84" s="75"/>
      <c r="T84" s="66"/>
      <c r="U84" s="66"/>
      <c r="V84" s="66"/>
      <c r="W84" s="66"/>
      <c r="X84" s="68"/>
      <c r="Y84" s="66"/>
      <c r="Z84" s="69"/>
      <c r="AA84" s="70"/>
      <c r="AB84" s="71"/>
      <c r="AC84" s="66"/>
      <c r="AD84" s="78"/>
      <c r="AE84" s="73"/>
      <c r="AF84" s="76"/>
      <c r="AG84" s="75"/>
      <c r="AH84" s="66"/>
      <c r="AI84" s="66"/>
      <c r="AJ84" s="66"/>
      <c r="AK84" s="66"/>
      <c r="AL84" s="68"/>
      <c r="AM84" s="66"/>
      <c r="AN84" s="69"/>
      <c r="AO84" s="70"/>
      <c r="AP84" s="71"/>
      <c r="AQ84" s="66"/>
      <c r="AR84" s="78"/>
      <c r="AS84" s="73"/>
    </row>
    <row r="85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6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76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</row>
    <row r="86">
      <c r="A86" s="106" t="s">
        <v>110</v>
      </c>
      <c r="B86" s="65">
        <f t="shared" ref="B86:B88" si="228">B71*55</f>
        <v>100375</v>
      </c>
      <c r="C86" s="65">
        <f t="shared" ref="C86:C90" si="229">B86*$C$4</f>
        <v>90337.5</v>
      </c>
      <c r="D86" s="66">
        <f t="shared" ref="D86:D90" si="230">C86/$D$4</f>
        <v>81385.13514</v>
      </c>
      <c r="E86" s="124">
        <v>1.0</v>
      </c>
      <c r="F86" s="66">
        <f t="shared" ref="F86:F90" si="231">P86*$F$3</f>
        <v>14500</v>
      </c>
      <c r="G86" s="66">
        <f t="shared" ref="G86:G90" si="232">P86*$G$3</f>
        <v>8700</v>
      </c>
      <c r="H86" s="66">
        <f t="shared" ref="H86:H90" si="233">P86*$H$3</f>
        <v>6525</v>
      </c>
      <c r="I86" s="66">
        <f t="shared" ref="I86:I90" si="234">P86*$I$3</f>
        <v>0</v>
      </c>
      <c r="J86" s="68">
        <v>1250.0</v>
      </c>
      <c r="K86" s="66">
        <f t="shared" ref="K86:K90" si="235">D86*$K$3</f>
        <v>4069.256757</v>
      </c>
      <c r="L86" s="69">
        <f t="shared" ref="L86:L90" si="236">(D86*E86)+F86+G86+H86+I86+J86+K86</f>
        <v>116429.3919</v>
      </c>
      <c r="M86" s="70">
        <f t="shared" ref="M86:M90" si="237">N86/O86</f>
        <v>0.108712931</v>
      </c>
      <c r="N86" s="71">
        <f t="shared" ref="N86:N90" si="238">O86-L86</f>
        <v>14201.23874</v>
      </c>
      <c r="O86" s="66">
        <f t="shared" ref="O86:O90" si="239">P86/$O$4</f>
        <v>130630.6306</v>
      </c>
      <c r="P86" s="78">
        <v>145000.0</v>
      </c>
      <c r="Q86" s="73">
        <f t="shared" ref="Q86:Q90" si="240">P86/E86</f>
        <v>145000</v>
      </c>
      <c r="R86" s="74"/>
      <c r="S86" s="75"/>
      <c r="T86" s="66">
        <f t="shared" ref="T86:T90" si="241">AD86*$T$3</f>
        <v>0</v>
      </c>
      <c r="U86" s="66">
        <f t="shared" ref="U86:U90" si="242">AD86*$U$3</f>
        <v>0</v>
      </c>
      <c r="V86" s="66">
        <f t="shared" ref="V86:V90" si="243">AD86*$V$3</f>
        <v>0</v>
      </c>
      <c r="W86" s="66">
        <f t="shared" ref="W86:W90" si="244">AD86*$W$3</f>
        <v>0</v>
      </c>
      <c r="X86" s="68">
        <v>1250.0</v>
      </c>
      <c r="Y86" s="66">
        <f t="shared" ref="Y86:Y90" si="245">R86*$Y$3</f>
        <v>0</v>
      </c>
      <c r="Z86" s="69">
        <f t="shared" ref="Z86:Z90" si="246">(D86*S86)+T86+U86+V86+W86+X86+Y86</f>
        <v>1250</v>
      </c>
      <c r="AA86" s="70" t="str">
        <f t="shared" ref="AA86:AA90" si="247">AB86/AC86</f>
        <v>#DIV/0!</v>
      </c>
      <c r="AB86" s="71">
        <f t="shared" ref="AB86:AB90" si="248">AC86-Z86</f>
        <v>-1250</v>
      </c>
      <c r="AC86" s="66">
        <f t="shared" ref="AC86:AC90" si="249">AD86/$O$4</f>
        <v>0</v>
      </c>
      <c r="AD86" s="78"/>
      <c r="AE86" s="73" t="str">
        <f t="shared" ref="AE86:AE90" si="250">AD86/S86</f>
        <v>#DIV/0!</v>
      </c>
      <c r="AF86" s="76"/>
      <c r="AG86" s="75"/>
      <c r="AH86" s="66">
        <f t="shared" ref="AH86:AH90" si="251">AR86*$AH$3</f>
        <v>0</v>
      </c>
      <c r="AI86" s="66">
        <f t="shared" ref="AI86:AI90" si="252">AR86*$AI$3</f>
        <v>0</v>
      </c>
      <c r="AJ86" s="66">
        <f t="shared" ref="AJ86:AJ90" si="253">AR86*$AJ$3</f>
        <v>0</v>
      </c>
      <c r="AK86" s="66">
        <f t="shared" ref="AK86:AK90" si="254">AR86*$AK$3</f>
        <v>0</v>
      </c>
      <c r="AL86" s="68">
        <v>1250.0</v>
      </c>
      <c r="AM86" s="66">
        <f t="shared" ref="AM86:AM90" si="255">AF86*$AM$3</f>
        <v>0</v>
      </c>
      <c r="AN86" s="69">
        <f t="shared" ref="AN86:AN90" si="256">(R86*AG86)+AH86+AI86+AJ86+AK86+AL86+AM86</f>
        <v>1250</v>
      </c>
      <c r="AO86" s="70" t="str">
        <f t="shared" ref="AO86:AO90" si="257">AP86/AQ86</f>
        <v>#DIV/0!</v>
      </c>
      <c r="AP86" s="71">
        <f t="shared" ref="AP86:AP90" si="258">AQ86-AN86</f>
        <v>-1250</v>
      </c>
      <c r="AQ86" s="66">
        <f t="shared" ref="AQ86:AQ90" si="259">AR86/$O$4</f>
        <v>0</v>
      </c>
      <c r="AR86" s="78"/>
      <c r="AS86" s="73" t="str">
        <f t="shared" ref="AS86:AS90" si="260">AR86/AG86</f>
        <v>#DIV/0!</v>
      </c>
    </row>
    <row r="87">
      <c r="A87" s="106" t="s">
        <v>111</v>
      </c>
      <c r="B87" s="65">
        <f t="shared" si="228"/>
        <v>121000</v>
      </c>
      <c r="C87" s="65">
        <f t="shared" si="229"/>
        <v>108900</v>
      </c>
      <c r="D87" s="66">
        <f t="shared" si="230"/>
        <v>98108.10811</v>
      </c>
      <c r="E87" s="124">
        <v>1.0</v>
      </c>
      <c r="F87" s="66">
        <f t="shared" si="231"/>
        <v>17890</v>
      </c>
      <c r="G87" s="66">
        <f t="shared" si="232"/>
        <v>10734</v>
      </c>
      <c r="H87" s="66">
        <f t="shared" si="233"/>
        <v>8050.5</v>
      </c>
      <c r="I87" s="66">
        <f t="shared" si="234"/>
        <v>0</v>
      </c>
      <c r="J87" s="68">
        <v>1250.0</v>
      </c>
      <c r="K87" s="66">
        <f t="shared" si="235"/>
        <v>4905.405405</v>
      </c>
      <c r="L87" s="69">
        <f t="shared" si="236"/>
        <v>140938.0135</v>
      </c>
      <c r="M87" s="70">
        <f t="shared" si="237"/>
        <v>0.1255383175</v>
      </c>
      <c r="N87" s="71">
        <f t="shared" si="238"/>
        <v>20233.15766</v>
      </c>
      <c r="O87" s="66">
        <f t="shared" si="239"/>
        <v>161171.1712</v>
      </c>
      <c r="P87" s="78">
        <v>178900.0</v>
      </c>
      <c r="Q87" s="73">
        <f t="shared" si="240"/>
        <v>178900</v>
      </c>
      <c r="R87" s="74"/>
      <c r="S87" s="75"/>
      <c r="T87" s="66">
        <f t="shared" si="241"/>
        <v>0</v>
      </c>
      <c r="U87" s="66">
        <f t="shared" si="242"/>
        <v>0</v>
      </c>
      <c r="V87" s="66">
        <f t="shared" si="243"/>
        <v>0</v>
      </c>
      <c r="W87" s="66">
        <f t="shared" si="244"/>
        <v>0</v>
      </c>
      <c r="X87" s="68">
        <v>1250.0</v>
      </c>
      <c r="Y87" s="66">
        <f t="shared" si="245"/>
        <v>0</v>
      </c>
      <c r="Z87" s="69">
        <f t="shared" si="246"/>
        <v>1250</v>
      </c>
      <c r="AA87" s="70" t="str">
        <f t="shared" si="247"/>
        <v>#DIV/0!</v>
      </c>
      <c r="AB87" s="71">
        <f t="shared" si="248"/>
        <v>-1250</v>
      </c>
      <c r="AC87" s="66">
        <f t="shared" si="249"/>
        <v>0</v>
      </c>
      <c r="AD87" s="78"/>
      <c r="AE87" s="73" t="str">
        <f t="shared" si="250"/>
        <v>#DIV/0!</v>
      </c>
      <c r="AF87" s="76"/>
      <c r="AG87" s="75"/>
      <c r="AH87" s="66">
        <f t="shared" si="251"/>
        <v>0</v>
      </c>
      <c r="AI87" s="66">
        <f t="shared" si="252"/>
        <v>0</v>
      </c>
      <c r="AJ87" s="66">
        <f t="shared" si="253"/>
        <v>0</v>
      </c>
      <c r="AK87" s="66">
        <f t="shared" si="254"/>
        <v>0</v>
      </c>
      <c r="AL87" s="68">
        <v>1250.0</v>
      </c>
      <c r="AM87" s="66">
        <f t="shared" si="255"/>
        <v>0</v>
      </c>
      <c r="AN87" s="69">
        <f t="shared" si="256"/>
        <v>1250</v>
      </c>
      <c r="AO87" s="70" t="str">
        <f t="shared" si="257"/>
        <v>#DIV/0!</v>
      </c>
      <c r="AP87" s="71">
        <f t="shared" si="258"/>
        <v>-1250</v>
      </c>
      <c r="AQ87" s="66">
        <f t="shared" si="259"/>
        <v>0</v>
      </c>
      <c r="AR87" s="78"/>
      <c r="AS87" s="73" t="str">
        <f t="shared" si="260"/>
        <v>#DIV/0!</v>
      </c>
    </row>
    <row r="88">
      <c r="A88" s="106" t="s">
        <v>112</v>
      </c>
      <c r="B88" s="65">
        <f t="shared" si="228"/>
        <v>159500</v>
      </c>
      <c r="C88" s="65">
        <f t="shared" si="229"/>
        <v>143550</v>
      </c>
      <c r="D88" s="66">
        <f t="shared" si="230"/>
        <v>129324.3243</v>
      </c>
      <c r="E88" s="124">
        <v>1.0</v>
      </c>
      <c r="F88" s="66">
        <f t="shared" si="231"/>
        <v>26000</v>
      </c>
      <c r="G88" s="66">
        <f t="shared" si="232"/>
        <v>15600</v>
      </c>
      <c r="H88" s="66">
        <f t="shared" si="233"/>
        <v>11700</v>
      </c>
      <c r="I88" s="66">
        <f t="shared" si="234"/>
        <v>0</v>
      </c>
      <c r="J88" s="68">
        <v>1250.0</v>
      </c>
      <c r="K88" s="66">
        <f t="shared" si="235"/>
        <v>6466.216216</v>
      </c>
      <c r="L88" s="69">
        <f t="shared" si="236"/>
        <v>190340.5405</v>
      </c>
      <c r="M88" s="70">
        <f t="shared" si="237"/>
        <v>0.1873923077</v>
      </c>
      <c r="N88" s="71">
        <f t="shared" si="238"/>
        <v>43893.69369</v>
      </c>
      <c r="O88" s="66">
        <f t="shared" si="239"/>
        <v>234234.2342</v>
      </c>
      <c r="P88" s="78">
        <v>260000.0</v>
      </c>
      <c r="Q88" s="73">
        <f t="shared" si="240"/>
        <v>260000</v>
      </c>
      <c r="R88" s="74"/>
      <c r="S88" s="75"/>
      <c r="T88" s="66">
        <f t="shared" si="241"/>
        <v>0</v>
      </c>
      <c r="U88" s="66">
        <f t="shared" si="242"/>
        <v>0</v>
      </c>
      <c r="V88" s="66">
        <f t="shared" si="243"/>
        <v>0</v>
      </c>
      <c r="W88" s="66">
        <f t="shared" si="244"/>
        <v>0</v>
      </c>
      <c r="X88" s="68">
        <v>1250.0</v>
      </c>
      <c r="Y88" s="66">
        <f t="shared" si="245"/>
        <v>0</v>
      </c>
      <c r="Z88" s="69">
        <f t="shared" si="246"/>
        <v>1250</v>
      </c>
      <c r="AA88" s="70" t="str">
        <f t="shared" si="247"/>
        <v>#DIV/0!</v>
      </c>
      <c r="AB88" s="71">
        <f t="shared" si="248"/>
        <v>-1250</v>
      </c>
      <c r="AC88" s="66">
        <f t="shared" si="249"/>
        <v>0</v>
      </c>
      <c r="AD88" s="78"/>
      <c r="AE88" s="73" t="str">
        <f t="shared" si="250"/>
        <v>#DIV/0!</v>
      </c>
      <c r="AF88" s="76"/>
      <c r="AG88" s="75"/>
      <c r="AH88" s="66">
        <f t="shared" si="251"/>
        <v>0</v>
      </c>
      <c r="AI88" s="66">
        <f t="shared" si="252"/>
        <v>0</v>
      </c>
      <c r="AJ88" s="66">
        <f t="shared" si="253"/>
        <v>0</v>
      </c>
      <c r="AK88" s="66">
        <f t="shared" si="254"/>
        <v>0</v>
      </c>
      <c r="AL88" s="68">
        <v>1250.0</v>
      </c>
      <c r="AM88" s="66">
        <f t="shared" si="255"/>
        <v>0</v>
      </c>
      <c r="AN88" s="69">
        <f t="shared" si="256"/>
        <v>1250</v>
      </c>
      <c r="AO88" s="70" t="str">
        <f t="shared" si="257"/>
        <v>#DIV/0!</v>
      </c>
      <c r="AP88" s="71">
        <f t="shared" si="258"/>
        <v>-1250</v>
      </c>
      <c r="AQ88" s="66">
        <f t="shared" si="259"/>
        <v>0</v>
      </c>
      <c r="AR88" s="78"/>
      <c r="AS88" s="73" t="str">
        <f t="shared" si="260"/>
        <v>#DIV/0!</v>
      </c>
    </row>
    <row r="89">
      <c r="A89" s="106" t="s">
        <v>113</v>
      </c>
      <c r="B89" s="65">
        <f>B75*30</f>
        <v>165000</v>
      </c>
      <c r="C89" s="65">
        <f t="shared" si="229"/>
        <v>148500</v>
      </c>
      <c r="D89" s="66">
        <f t="shared" si="230"/>
        <v>133783.7838</v>
      </c>
      <c r="E89" s="124">
        <v>1.0</v>
      </c>
      <c r="F89" s="66">
        <f t="shared" si="231"/>
        <v>21700</v>
      </c>
      <c r="G89" s="66">
        <f t="shared" si="232"/>
        <v>13020</v>
      </c>
      <c r="H89" s="66">
        <f t="shared" si="233"/>
        <v>9765</v>
      </c>
      <c r="I89" s="66">
        <f t="shared" si="234"/>
        <v>0</v>
      </c>
      <c r="J89" s="68">
        <v>1250.0</v>
      </c>
      <c r="K89" s="66">
        <f t="shared" si="235"/>
        <v>6689.189189</v>
      </c>
      <c r="L89" s="69">
        <f t="shared" si="236"/>
        <v>186207.973</v>
      </c>
      <c r="M89" s="70">
        <f t="shared" si="237"/>
        <v>0.04750760369</v>
      </c>
      <c r="N89" s="71">
        <f t="shared" si="238"/>
        <v>9287.522523</v>
      </c>
      <c r="O89" s="66">
        <f t="shared" si="239"/>
        <v>195495.4955</v>
      </c>
      <c r="P89" s="78">
        <v>217000.0</v>
      </c>
      <c r="Q89" s="73">
        <f t="shared" si="240"/>
        <v>217000</v>
      </c>
      <c r="R89" s="74"/>
      <c r="S89" s="75"/>
      <c r="T89" s="66">
        <f t="shared" si="241"/>
        <v>0</v>
      </c>
      <c r="U89" s="66">
        <f t="shared" si="242"/>
        <v>0</v>
      </c>
      <c r="V89" s="66">
        <f t="shared" si="243"/>
        <v>0</v>
      </c>
      <c r="W89" s="66">
        <f t="shared" si="244"/>
        <v>0</v>
      </c>
      <c r="X89" s="68">
        <v>1250.0</v>
      </c>
      <c r="Y89" s="66">
        <f t="shared" si="245"/>
        <v>0</v>
      </c>
      <c r="Z89" s="69">
        <f t="shared" si="246"/>
        <v>1250</v>
      </c>
      <c r="AA89" s="70" t="str">
        <f t="shared" si="247"/>
        <v>#DIV/0!</v>
      </c>
      <c r="AB89" s="71">
        <f t="shared" si="248"/>
        <v>-1250</v>
      </c>
      <c r="AC89" s="66">
        <f t="shared" si="249"/>
        <v>0</v>
      </c>
      <c r="AD89" s="78"/>
      <c r="AE89" s="73" t="str">
        <f t="shared" si="250"/>
        <v>#DIV/0!</v>
      </c>
      <c r="AF89" s="76"/>
      <c r="AG89" s="75"/>
      <c r="AH89" s="66">
        <f t="shared" si="251"/>
        <v>0</v>
      </c>
      <c r="AI89" s="66">
        <f t="shared" si="252"/>
        <v>0</v>
      </c>
      <c r="AJ89" s="66">
        <f t="shared" si="253"/>
        <v>0</v>
      </c>
      <c r="AK89" s="66">
        <f t="shared" si="254"/>
        <v>0</v>
      </c>
      <c r="AL89" s="68">
        <v>1250.0</v>
      </c>
      <c r="AM89" s="66">
        <f t="shared" si="255"/>
        <v>0</v>
      </c>
      <c r="AN89" s="69">
        <f t="shared" si="256"/>
        <v>1250</v>
      </c>
      <c r="AO89" s="70" t="str">
        <f t="shared" si="257"/>
        <v>#DIV/0!</v>
      </c>
      <c r="AP89" s="71">
        <f t="shared" si="258"/>
        <v>-1250</v>
      </c>
      <c r="AQ89" s="66">
        <f t="shared" si="259"/>
        <v>0</v>
      </c>
      <c r="AR89" s="78"/>
      <c r="AS89" s="73" t="str">
        <f t="shared" si="260"/>
        <v>#DIV/0!</v>
      </c>
    </row>
    <row r="90">
      <c r="A90" s="106" t="s">
        <v>114</v>
      </c>
      <c r="B90" s="81">
        <f>B76*4</f>
        <v>42000</v>
      </c>
      <c r="C90" s="65">
        <f t="shared" si="229"/>
        <v>37800</v>
      </c>
      <c r="D90" s="66">
        <f t="shared" si="230"/>
        <v>34054.05405</v>
      </c>
      <c r="E90" s="142">
        <v>1.0</v>
      </c>
      <c r="F90" s="66">
        <f t="shared" si="231"/>
        <v>6300</v>
      </c>
      <c r="G90" s="66">
        <f t="shared" si="232"/>
        <v>3780</v>
      </c>
      <c r="H90" s="66">
        <f t="shared" si="233"/>
        <v>2835</v>
      </c>
      <c r="I90" s="66">
        <f t="shared" si="234"/>
        <v>0</v>
      </c>
      <c r="J90" s="68">
        <v>1250.0</v>
      </c>
      <c r="K90" s="66">
        <f t="shared" si="235"/>
        <v>1702.702703</v>
      </c>
      <c r="L90" s="69">
        <f t="shared" si="236"/>
        <v>49921.75676</v>
      </c>
      <c r="M90" s="70">
        <f t="shared" si="237"/>
        <v>0.1204261905</v>
      </c>
      <c r="N90" s="71">
        <f t="shared" si="238"/>
        <v>6835</v>
      </c>
      <c r="O90" s="66">
        <f t="shared" si="239"/>
        <v>56756.75676</v>
      </c>
      <c r="P90" s="78">
        <v>63000.0</v>
      </c>
      <c r="Q90" s="73">
        <f t="shared" si="240"/>
        <v>63000</v>
      </c>
      <c r="R90" s="74"/>
      <c r="S90" s="75"/>
      <c r="T90" s="66">
        <f t="shared" si="241"/>
        <v>0</v>
      </c>
      <c r="U90" s="66">
        <f t="shared" si="242"/>
        <v>0</v>
      </c>
      <c r="V90" s="66">
        <f t="shared" si="243"/>
        <v>0</v>
      </c>
      <c r="W90" s="66">
        <f t="shared" si="244"/>
        <v>0</v>
      </c>
      <c r="X90" s="68">
        <v>1250.0</v>
      </c>
      <c r="Y90" s="66">
        <f t="shared" si="245"/>
        <v>0</v>
      </c>
      <c r="Z90" s="69">
        <f t="shared" si="246"/>
        <v>1250</v>
      </c>
      <c r="AA90" s="70" t="str">
        <f t="shared" si="247"/>
        <v>#DIV/0!</v>
      </c>
      <c r="AB90" s="71">
        <f t="shared" si="248"/>
        <v>-1250</v>
      </c>
      <c r="AC90" s="66">
        <f t="shared" si="249"/>
        <v>0</v>
      </c>
      <c r="AD90" s="78"/>
      <c r="AE90" s="73" t="str">
        <f t="shared" si="250"/>
        <v>#DIV/0!</v>
      </c>
      <c r="AF90" s="76"/>
      <c r="AG90" s="75"/>
      <c r="AH90" s="66">
        <f t="shared" si="251"/>
        <v>0</v>
      </c>
      <c r="AI90" s="66">
        <f t="shared" si="252"/>
        <v>0</v>
      </c>
      <c r="AJ90" s="66">
        <f t="shared" si="253"/>
        <v>0</v>
      </c>
      <c r="AK90" s="66">
        <f t="shared" si="254"/>
        <v>0</v>
      </c>
      <c r="AL90" s="68">
        <v>1250.0</v>
      </c>
      <c r="AM90" s="66">
        <f t="shared" si="255"/>
        <v>0</v>
      </c>
      <c r="AN90" s="69">
        <f t="shared" si="256"/>
        <v>1250</v>
      </c>
      <c r="AO90" s="70" t="str">
        <f t="shared" si="257"/>
        <v>#DIV/0!</v>
      </c>
      <c r="AP90" s="71">
        <f t="shared" si="258"/>
        <v>-1250</v>
      </c>
      <c r="AQ90" s="66">
        <f t="shared" si="259"/>
        <v>0</v>
      </c>
      <c r="AR90" s="78"/>
      <c r="AS90" s="73" t="str">
        <f t="shared" si="260"/>
        <v>#DIV/0!</v>
      </c>
    </row>
    <row r="91">
      <c r="A91" s="139" t="s">
        <v>115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140"/>
      <c r="S91" s="94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76"/>
      <c r="AG91" s="141"/>
      <c r="AH91" s="141"/>
      <c r="AI91" s="141"/>
      <c r="AJ91" s="141"/>
      <c r="AK91" s="141"/>
      <c r="AL91" s="141"/>
      <c r="AM91" s="141"/>
      <c r="AN91" s="141"/>
      <c r="AO91" s="141"/>
      <c r="AP91" s="141"/>
      <c r="AQ91" s="141"/>
      <c r="AR91" s="141"/>
      <c r="AS91" s="141"/>
      <c r="AT91" s="141"/>
      <c r="AU91" s="141"/>
      <c r="AV91" s="141"/>
      <c r="AW91" s="141"/>
      <c r="AX91" s="141"/>
      <c r="AY91" s="141"/>
      <c r="AZ91" s="141"/>
      <c r="BA91" s="141"/>
      <c r="BB91" s="141"/>
      <c r="BC91" s="141"/>
    </row>
    <row r="92">
      <c r="A92" s="106" t="s">
        <v>116</v>
      </c>
      <c r="B92" s="82">
        <f>B71+1000</f>
        <v>2825</v>
      </c>
      <c r="C92" s="65">
        <f>B92*$C$4</f>
        <v>2542.5</v>
      </c>
      <c r="D92" s="66">
        <f>C92/$D$4</f>
        <v>2290.540541</v>
      </c>
      <c r="E92" s="142">
        <v>1.0</v>
      </c>
      <c r="F92" s="66">
        <f>P92*$F$3</f>
        <v>3320</v>
      </c>
      <c r="G92" s="66">
        <f>P92*$G$3</f>
        <v>1992</v>
      </c>
      <c r="H92" s="66">
        <f>P92*$H$3</f>
        <v>1494</v>
      </c>
      <c r="I92" s="66">
        <f>P92*$I$3</f>
        <v>0</v>
      </c>
      <c r="J92" s="68">
        <v>1250.0</v>
      </c>
      <c r="K92" s="66">
        <f>D92*$K$3</f>
        <v>114.527027</v>
      </c>
      <c r="L92" s="69">
        <f>(D92*E92)+F92+G92+H92+I92+J92+K92</f>
        <v>10461.06757</v>
      </c>
      <c r="M92" s="70">
        <f>N92/O92</f>
        <v>0.6502474398</v>
      </c>
      <c r="N92" s="71">
        <f>O92-L92</f>
        <v>19448.84234</v>
      </c>
      <c r="O92" s="66">
        <f>P92/$O$4</f>
        <v>29909.90991</v>
      </c>
      <c r="P92" s="78">
        <v>33200.0</v>
      </c>
      <c r="Q92" s="73">
        <f>P92/E92</f>
        <v>33200</v>
      </c>
      <c r="R92" s="74"/>
      <c r="AF92" s="76"/>
      <c r="AG92" s="75"/>
      <c r="AH92" s="66">
        <f>AR92*$AH$3</f>
        <v>0</v>
      </c>
      <c r="AI92" s="66">
        <f>AR92*$AI$3</f>
        <v>0</v>
      </c>
      <c r="AJ92" s="66">
        <f>AR92*$AJ$3</f>
        <v>0</v>
      </c>
      <c r="AK92" s="66">
        <f>AR92*$AK$3</f>
        <v>0</v>
      </c>
      <c r="AL92" s="68">
        <v>1250.0</v>
      </c>
      <c r="AM92" s="66">
        <f>AF92*$AM$3</f>
        <v>0</v>
      </c>
      <c r="AN92" s="69">
        <f>(R92*AG92)+AH92+AI92+AJ92+AK92+AL92+AM92</f>
        <v>1250</v>
      </c>
      <c r="AO92" s="70" t="str">
        <f>AP92/AQ92</f>
        <v>#DIV/0!</v>
      </c>
      <c r="AP92" s="71">
        <f>AQ92-AN92</f>
        <v>-1250</v>
      </c>
      <c r="AQ92" s="66">
        <f>AR92/$O$4</f>
        <v>0</v>
      </c>
      <c r="AR92" s="78"/>
      <c r="AS92" s="73" t="str">
        <f>AR92/AG92</f>
        <v>#DIV/0!</v>
      </c>
    </row>
    <row r="93" ht="33.75" customHeight="1">
      <c r="A93" s="182" t="s">
        <v>117</v>
      </c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37"/>
      <c r="S93" s="183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76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  <c r="BC93" s="184"/>
    </row>
    <row r="94">
      <c r="A94" s="106" t="s">
        <v>118</v>
      </c>
      <c r="B94" s="111">
        <v>3000.0</v>
      </c>
      <c r="C94" s="65">
        <f t="shared" ref="C94:C103" si="261">B94*$C$4</f>
        <v>2700</v>
      </c>
      <c r="D94" s="66">
        <f t="shared" ref="D94:D103" si="262">C94/$D$4</f>
        <v>2432.432432</v>
      </c>
      <c r="E94" s="124">
        <v>4.0</v>
      </c>
      <c r="F94" s="66">
        <f t="shared" ref="F94:F103" si="263">P94*$F$3</f>
        <v>1800</v>
      </c>
      <c r="G94" s="66">
        <f t="shared" ref="G94:G103" si="264">P94*$G$3</f>
        <v>1080</v>
      </c>
      <c r="H94" s="66">
        <f t="shared" ref="H94:H103" si="265">P94*$H$3</f>
        <v>810</v>
      </c>
      <c r="I94" s="66">
        <f t="shared" ref="I94:I103" si="266">P94*$I$3</f>
        <v>0</v>
      </c>
      <c r="J94" s="68">
        <v>1250.0</v>
      </c>
      <c r="K94" s="66">
        <f t="shared" ref="K94:K103" si="267">D94*$K$3</f>
        <v>121.6216216</v>
      </c>
      <c r="L94" s="69">
        <f t="shared" ref="L94:L103" si="268">(D94*E94)+F94+G94+H94+I94+J94+K94</f>
        <v>14791.35135</v>
      </c>
      <c r="M94" s="70">
        <f t="shared" ref="M94:M103" si="269">N94/O94</f>
        <v>0.08786666667</v>
      </c>
      <c r="N94" s="71">
        <f t="shared" ref="N94:N103" si="270">O94-L94</f>
        <v>1424.864865</v>
      </c>
      <c r="O94" s="66">
        <f t="shared" ref="O94:O103" si="271">P94/$O$4</f>
        <v>16216.21622</v>
      </c>
      <c r="P94" s="78">
        <v>18000.0</v>
      </c>
      <c r="Q94" s="73">
        <f t="shared" ref="Q94:Q103" si="272">P94/E94</f>
        <v>4500</v>
      </c>
      <c r="R94" s="74"/>
      <c r="S94" s="75"/>
      <c r="T94" s="66">
        <f t="shared" ref="T94:T103" si="273">AD94*$T$3</f>
        <v>0</v>
      </c>
      <c r="U94" s="66">
        <f t="shared" ref="U94:U103" si="274">AD94*$U$3</f>
        <v>0</v>
      </c>
      <c r="V94" s="66">
        <f t="shared" ref="V94:V103" si="275">AD94*$V$3</f>
        <v>0</v>
      </c>
      <c r="W94" s="66">
        <f t="shared" ref="W94:W103" si="276">AD94*$W$3</f>
        <v>0</v>
      </c>
      <c r="X94" s="68">
        <v>1250.0</v>
      </c>
      <c r="Y94" s="66">
        <f t="shared" ref="Y94:Y103" si="277">R94*$Y$3</f>
        <v>0</v>
      </c>
      <c r="Z94" s="69">
        <f t="shared" ref="Z94:Z103" si="278">(D94*S94)+T94+U94+V94+W94+X94+Y94</f>
        <v>1250</v>
      </c>
      <c r="AA94" s="70" t="str">
        <f t="shared" ref="AA94:AA103" si="279">AB94/AC94</f>
        <v>#DIV/0!</v>
      </c>
      <c r="AB94" s="71">
        <f t="shared" ref="AB94:AB103" si="280">AC94-Z94</f>
        <v>-1250</v>
      </c>
      <c r="AC94" s="66">
        <f t="shared" ref="AC94:AC103" si="281">AD94/$O$4</f>
        <v>0</v>
      </c>
      <c r="AD94" s="78"/>
      <c r="AE94" s="73" t="str">
        <f t="shared" ref="AE94:AE103" si="282">AD94/S94</f>
        <v>#DIV/0!</v>
      </c>
      <c r="AF94" s="76"/>
      <c r="AG94" s="75"/>
      <c r="AH94" s="66">
        <f t="shared" ref="AH94:AH103" si="283">AR94*$AH$3</f>
        <v>0</v>
      </c>
      <c r="AI94" s="66">
        <f t="shared" ref="AI94:AI103" si="284">AR94*$AI$3</f>
        <v>0</v>
      </c>
      <c r="AJ94" s="66">
        <f t="shared" ref="AJ94:AJ103" si="285">AR94*$AJ$3</f>
        <v>0</v>
      </c>
      <c r="AK94" s="66">
        <f t="shared" ref="AK94:AK103" si="286">AR94*$AK$3</f>
        <v>0</v>
      </c>
      <c r="AL94" s="68">
        <v>1250.0</v>
      </c>
      <c r="AM94" s="66">
        <f t="shared" ref="AM94:AM103" si="287">AF94*$AM$3</f>
        <v>0</v>
      </c>
      <c r="AN94" s="69">
        <f t="shared" ref="AN94:AN103" si="288">(R94*AG94)+AH94+AI94+AJ94+AK94+AL94+AM94</f>
        <v>1250</v>
      </c>
      <c r="AO94" s="70" t="str">
        <f t="shared" ref="AO94:AO103" si="289">AP94/AQ94</f>
        <v>#DIV/0!</v>
      </c>
      <c r="AP94" s="71">
        <f t="shared" ref="AP94:AP103" si="290">AQ94-AN94</f>
        <v>-1250</v>
      </c>
      <c r="AQ94" s="66">
        <f t="shared" ref="AQ94:AQ103" si="291">AR94/$O$4</f>
        <v>0</v>
      </c>
      <c r="AR94" s="78"/>
      <c r="AS94" s="73" t="str">
        <f t="shared" ref="AS94:AS103" si="292">AR94/AG94</f>
        <v>#DIV/0!</v>
      </c>
    </row>
    <row r="95">
      <c r="A95" s="106" t="s">
        <v>119</v>
      </c>
      <c r="B95" s="111">
        <v>3000.0</v>
      </c>
      <c r="C95" s="65">
        <f t="shared" si="261"/>
        <v>2700</v>
      </c>
      <c r="D95" s="66">
        <f t="shared" si="262"/>
        <v>2432.432432</v>
      </c>
      <c r="E95" s="124">
        <v>4.0</v>
      </c>
      <c r="F95" s="66">
        <f t="shared" si="263"/>
        <v>1800</v>
      </c>
      <c r="G95" s="66">
        <f t="shared" si="264"/>
        <v>1080</v>
      </c>
      <c r="H95" s="66">
        <f t="shared" si="265"/>
        <v>810</v>
      </c>
      <c r="I95" s="66">
        <f t="shared" si="266"/>
        <v>0</v>
      </c>
      <c r="J95" s="68">
        <v>1250.0</v>
      </c>
      <c r="K95" s="66">
        <f t="shared" si="267"/>
        <v>121.6216216</v>
      </c>
      <c r="L95" s="69">
        <f t="shared" si="268"/>
        <v>14791.35135</v>
      </c>
      <c r="M95" s="70">
        <f t="shared" si="269"/>
        <v>0.08786666667</v>
      </c>
      <c r="N95" s="71">
        <f t="shared" si="270"/>
        <v>1424.864865</v>
      </c>
      <c r="O95" s="66">
        <f t="shared" si="271"/>
        <v>16216.21622</v>
      </c>
      <c r="P95" s="78">
        <v>18000.0</v>
      </c>
      <c r="Q95" s="73">
        <f t="shared" si="272"/>
        <v>4500</v>
      </c>
      <c r="R95" s="74"/>
      <c r="S95" s="75"/>
      <c r="T95" s="66">
        <f t="shared" si="273"/>
        <v>0</v>
      </c>
      <c r="U95" s="66">
        <f t="shared" si="274"/>
        <v>0</v>
      </c>
      <c r="V95" s="66">
        <f t="shared" si="275"/>
        <v>0</v>
      </c>
      <c r="W95" s="66">
        <f t="shared" si="276"/>
        <v>0</v>
      </c>
      <c r="X95" s="68">
        <v>1250.0</v>
      </c>
      <c r="Y95" s="66">
        <f t="shared" si="277"/>
        <v>0</v>
      </c>
      <c r="Z95" s="69">
        <f t="shared" si="278"/>
        <v>1250</v>
      </c>
      <c r="AA95" s="70" t="str">
        <f t="shared" si="279"/>
        <v>#DIV/0!</v>
      </c>
      <c r="AB95" s="71">
        <f t="shared" si="280"/>
        <v>-1250</v>
      </c>
      <c r="AC95" s="66">
        <f t="shared" si="281"/>
        <v>0</v>
      </c>
      <c r="AD95" s="78"/>
      <c r="AE95" s="73" t="str">
        <f t="shared" si="282"/>
        <v>#DIV/0!</v>
      </c>
      <c r="AF95" s="76"/>
      <c r="AG95" s="75"/>
      <c r="AH95" s="66">
        <f t="shared" si="283"/>
        <v>0</v>
      </c>
      <c r="AI95" s="66">
        <f t="shared" si="284"/>
        <v>0</v>
      </c>
      <c r="AJ95" s="66">
        <f t="shared" si="285"/>
        <v>0</v>
      </c>
      <c r="AK95" s="66">
        <f t="shared" si="286"/>
        <v>0</v>
      </c>
      <c r="AL95" s="68">
        <v>1250.0</v>
      </c>
      <c r="AM95" s="66">
        <f t="shared" si="287"/>
        <v>0</v>
      </c>
      <c r="AN95" s="69">
        <f t="shared" si="288"/>
        <v>1250</v>
      </c>
      <c r="AO95" s="70" t="str">
        <f t="shared" si="289"/>
        <v>#DIV/0!</v>
      </c>
      <c r="AP95" s="71">
        <f t="shared" si="290"/>
        <v>-1250</v>
      </c>
      <c r="AQ95" s="66">
        <f t="shared" si="291"/>
        <v>0</v>
      </c>
      <c r="AR95" s="78"/>
      <c r="AS95" s="73" t="str">
        <f t="shared" si="292"/>
        <v>#DIV/0!</v>
      </c>
    </row>
    <row r="96">
      <c r="A96" s="106" t="s">
        <v>120</v>
      </c>
      <c r="B96" s="111">
        <v>3100.0</v>
      </c>
      <c r="C96" s="65">
        <f t="shared" si="261"/>
        <v>2790</v>
      </c>
      <c r="D96" s="66">
        <f t="shared" si="262"/>
        <v>2513.513514</v>
      </c>
      <c r="E96" s="134">
        <v>5.0</v>
      </c>
      <c r="F96" s="66">
        <f t="shared" si="263"/>
        <v>2300</v>
      </c>
      <c r="G96" s="66">
        <f t="shared" si="264"/>
        <v>1380</v>
      </c>
      <c r="H96" s="66">
        <f t="shared" si="265"/>
        <v>1035</v>
      </c>
      <c r="I96" s="66">
        <f t="shared" si="266"/>
        <v>0</v>
      </c>
      <c r="J96" s="68">
        <v>1250.0</v>
      </c>
      <c r="K96" s="66">
        <f t="shared" si="267"/>
        <v>125.6756757</v>
      </c>
      <c r="L96" s="69">
        <f t="shared" si="268"/>
        <v>18658.24324</v>
      </c>
      <c r="M96" s="70">
        <f t="shared" si="269"/>
        <v>0.09953695652</v>
      </c>
      <c r="N96" s="71">
        <f t="shared" si="270"/>
        <v>2062.477477</v>
      </c>
      <c r="O96" s="66">
        <f t="shared" si="271"/>
        <v>20720.72072</v>
      </c>
      <c r="P96" s="78">
        <v>23000.0</v>
      </c>
      <c r="Q96" s="73">
        <f t="shared" si="272"/>
        <v>4600</v>
      </c>
      <c r="R96" s="74"/>
      <c r="S96" s="75"/>
      <c r="T96" s="66">
        <f t="shared" si="273"/>
        <v>0</v>
      </c>
      <c r="U96" s="66">
        <f t="shared" si="274"/>
        <v>0</v>
      </c>
      <c r="V96" s="66">
        <f t="shared" si="275"/>
        <v>0</v>
      </c>
      <c r="W96" s="66">
        <f t="shared" si="276"/>
        <v>0</v>
      </c>
      <c r="X96" s="68">
        <v>1250.0</v>
      </c>
      <c r="Y96" s="66">
        <f t="shared" si="277"/>
        <v>0</v>
      </c>
      <c r="Z96" s="69">
        <f t="shared" si="278"/>
        <v>1250</v>
      </c>
      <c r="AA96" s="70" t="str">
        <f t="shared" si="279"/>
        <v>#DIV/0!</v>
      </c>
      <c r="AB96" s="71">
        <f t="shared" si="280"/>
        <v>-1250</v>
      </c>
      <c r="AC96" s="66">
        <f t="shared" si="281"/>
        <v>0</v>
      </c>
      <c r="AD96" s="78"/>
      <c r="AE96" s="73" t="str">
        <f t="shared" si="282"/>
        <v>#DIV/0!</v>
      </c>
      <c r="AF96" s="76"/>
      <c r="AG96" s="75"/>
      <c r="AH96" s="66">
        <f t="shared" si="283"/>
        <v>0</v>
      </c>
      <c r="AI96" s="66">
        <f t="shared" si="284"/>
        <v>0</v>
      </c>
      <c r="AJ96" s="66">
        <f t="shared" si="285"/>
        <v>0</v>
      </c>
      <c r="AK96" s="66">
        <f t="shared" si="286"/>
        <v>0</v>
      </c>
      <c r="AL96" s="68">
        <v>1250.0</v>
      </c>
      <c r="AM96" s="66">
        <f t="shared" si="287"/>
        <v>0</v>
      </c>
      <c r="AN96" s="69">
        <f t="shared" si="288"/>
        <v>1250</v>
      </c>
      <c r="AO96" s="70" t="str">
        <f t="shared" si="289"/>
        <v>#DIV/0!</v>
      </c>
      <c r="AP96" s="71">
        <f t="shared" si="290"/>
        <v>-1250</v>
      </c>
      <c r="AQ96" s="66">
        <f t="shared" si="291"/>
        <v>0</v>
      </c>
      <c r="AR96" s="78"/>
      <c r="AS96" s="73" t="str">
        <f t="shared" si="292"/>
        <v>#DIV/0!</v>
      </c>
    </row>
    <row r="97">
      <c r="A97" s="106" t="s">
        <v>121</v>
      </c>
      <c r="B97" s="111">
        <v>3800.0</v>
      </c>
      <c r="C97" s="65">
        <f t="shared" si="261"/>
        <v>3420</v>
      </c>
      <c r="D97" s="66">
        <f t="shared" si="262"/>
        <v>3081.081081</v>
      </c>
      <c r="E97" s="124">
        <v>1.0</v>
      </c>
      <c r="F97" s="66">
        <f t="shared" si="263"/>
        <v>700</v>
      </c>
      <c r="G97" s="66">
        <f t="shared" si="264"/>
        <v>420</v>
      </c>
      <c r="H97" s="66">
        <f t="shared" si="265"/>
        <v>315</v>
      </c>
      <c r="I97" s="66">
        <f t="shared" si="266"/>
        <v>0</v>
      </c>
      <c r="J97" s="68">
        <v>1250.0</v>
      </c>
      <c r="K97" s="66">
        <f t="shared" si="267"/>
        <v>154.0540541</v>
      </c>
      <c r="L97" s="69">
        <f t="shared" si="268"/>
        <v>5920.135135</v>
      </c>
      <c r="M97" s="70">
        <f t="shared" si="269"/>
        <v>0.06123571429</v>
      </c>
      <c r="N97" s="71">
        <f t="shared" si="270"/>
        <v>386.1711712</v>
      </c>
      <c r="O97" s="66">
        <f t="shared" si="271"/>
        <v>6306.306306</v>
      </c>
      <c r="P97" s="78">
        <v>7000.0</v>
      </c>
      <c r="Q97" s="73">
        <f t="shared" si="272"/>
        <v>7000</v>
      </c>
      <c r="R97" s="74"/>
      <c r="S97" s="75"/>
      <c r="T97" s="66">
        <f t="shared" si="273"/>
        <v>0</v>
      </c>
      <c r="U97" s="66">
        <f t="shared" si="274"/>
        <v>0</v>
      </c>
      <c r="V97" s="66">
        <f t="shared" si="275"/>
        <v>0</v>
      </c>
      <c r="W97" s="66">
        <f t="shared" si="276"/>
        <v>0</v>
      </c>
      <c r="X97" s="68">
        <v>1250.0</v>
      </c>
      <c r="Y97" s="66">
        <f t="shared" si="277"/>
        <v>0</v>
      </c>
      <c r="Z97" s="69">
        <f t="shared" si="278"/>
        <v>1250</v>
      </c>
      <c r="AA97" s="70" t="str">
        <f t="shared" si="279"/>
        <v>#DIV/0!</v>
      </c>
      <c r="AB97" s="71">
        <f t="shared" si="280"/>
        <v>-1250</v>
      </c>
      <c r="AC97" s="66">
        <f t="shared" si="281"/>
        <v>0</v>
      </c>
      <c r="AD97" s="78"/>
      <c r="AE97" s="73" t="str">
        <f t="shared" si="282"/>
        <v>#DIV/0!</v>
      </c>
      <c r="AF97" s="76"/>
      <c r="AG97" s="75"/>
      <c r="AH97" s="66">
        <f t="shared" si="283"/>
        <v>0</v>
      </c>
      <c r="AI97" s="66">
        <f t="shared" si="284"/>
        <v>0</v>
      </c>
      <c r="AJ97" s="66">
        <f t="shared" si="285"/>
        <v>0</v>
      </c>
      <c r="AK97" s="66">
        <f t="shared" si="286"/>
        <v>0</v>
      </c>
      <c r="AL97" s="68">
        <v>1250.0</v>
      </c>
      <c r="AM97" s="66">
        <f t="shared" si="287"/>
        <v>0</v>
      </c>
      <c r="AN97" s="69">
        <f t="shared" si="288"/>
        <v>1250</v>
      </c>
      <c r="AO97" s="70" t="str">
        <f t="shared" si="289"/>
        <v>#DIV/0!</v>
      </c>
      <c r="AP97" s="71">
        <f t="shared" si="290"/>
        <v>-1250</v>
      </c>
      <c r="AQ97" s="66">
        <f t="shared" si="291"/>
        <v>0</v>
      </c>
      <c r="AR97" s="78"/>
      <c r="AS97" s="73" t="str">
        <f t="shared" si="292"/>
        <v>#DIV/0!</v>
      </c>
    </row>
    <row r="98">
      <c r="A98" s="106" t="s">
        <v>122</v>
      </c>
      <c r="B98" s="111">
        <v>5000.0</v>
      </c>
      <c r="C98" s="65">
        <f t="shared" si="261"/>
        <v>4500</v>
      </c>
      <c r="D98" s="66">
        <f t="shared" si="262"/>
        <v>4054.054054</v>
      </c>
      <c r="E98" s="134">
        <v>3.0</v>
      </c>
      <c r="F98" s="66">
        <f t="shared" si="263"/>
        <v>2160</v>
      </c>
      <c r="G98" s="66">
        <f t="shared" si="264"/>
        <v>1296</v>
      </c>
      <c r="H98" s="66">
        <f t="shared" si="265"/>
        <v>972</v>
      </c>
      <c r="I98" s="66">
        <f t="shared" si="266"/>
        <v>0</v>
      </c>
      <c r="J98" s="68">
        <v>1250.0</v>
      </c>
      <c r="K98" s="66">
        <f t="shared" si="267"/>
        <v>202.7027027</v>
      </c>
      <c r="L98" s="69">
        <f t="shared" si="268"/>
        <v>18042.86486</v>
      </c>
      <c r="M98" s="70">
        <f t="shared" si="269"/>
        <v>0.07279722222</v>
      </c>
      <c r="N98" s="71">
        <f t="shared" si="270"/>
        <v>1416.594595</v>
      </c>
      <c r="O98" s="66">
        <f t="shared" si="271"/>
        <v>19459.45946</v>
      </c>
      <c r="P98" s="78">
        <v>21600.0</v>
      </c>
      <c r="Q98" s="73">
        <f t="shared" si="272"/>
        <v>7200</v>
      </c>
      <c r="R98" s="74"/>
      <c r="S98" s="75"/>
      <c r="T98" s="66">
        <f t="shared" si="273"/>
        <v>0</v>
      </c>
      <c r="U98" s="66">
        <f t="shared" si="274"/>
        <v>0</v>
      </c>
      <c r="V98" s="66">
        <f t="shared" si="275"/>
        <v>0</v>
      </c>
      <c r="W98" s="66">
        <f t="shared" si="276"/>
        <v>0</v>
      </c>
      <c r="X98" s="68">
        <v>1250.0</v>
      </c>
      <c r="Y98" s="66">
        <f t="shared" si="277"/>
        <v>0</v>
      </c>
      <c r="Z98" s="69">
        <f t="shared" si="278"/>
        <v>1250</v>
      </c>
      <c r="AA98" s="70" t="str">
        <f t="shared" si="279"/>
        <v>#DIV/0!</v>
      </c>
      <c r="AB98" s="71">
        <f t="shared" si="280"/>
        <v>-1250</v>
      </c>
      <c r="AC98" s="66">
        <f t="shared" si="281"/>
        <v>0</v>
      </c>
      <c r="AD98" s="78"/>
      <c r="AE98" s="73" t="str">
        <f t="shared" si="282"/>
        <v>#DIV/0!</v>
      </c>
      <c r="AF98" s="76"/>
      <c r="AG98" s="75"/>
      <c r="AH98" s="66">
        <f t="shared" si="283"/>
        <v>0</v>
      </c>
      <c r="AI98" s="66">
        <f t="shared" si="284"/>
        <v>0</v>
      </c>
      <c r="AJ98" s="66">
        <f t="shared" si="285"/>
        <v>0</v>
      </c>
      <c r="AK98" s="66">
        <f t="shared" si="286"/>
        <v>0</v>
      </c>
      <c r="AL98" s="68">
        <v>1250.0</v>
      </c>
      <c r="AM98" s="66">
        <f t="shared" si="287"/>
        <v>0</v>
      </c>
      <c r="AN98" s="69">
        <f t="shared" si="288"/>
        <v>1250</v>
      </c>
      <c r="AO98" s="70" t="str">
        <f t="shared" si="289"/>
        <v>#DIV/0!</v>
      </c>
      <c r="AP98" s="71">
        <f t="shared" si="290"/>
        <v>-1250</v>
      </c>
      <c r="AQ98" s="66">
        <f t="shared" si="291"/>
        <v>0</v>
      </c>
      <c r="AR98" s="78"/>
      <c r="AS98" s="73" t="str">
        <f t="shared" si="292"/>
        <v>#DIV/0!</v>
      </c>
    </row>
    <row r="99">
      <c r="A99" s="106" t="s">
        <v>123</v>
      </c>
      <c r="B99" s="111">
        <v>5500.0</v>
      </c>
      <c r="C99" s="65">
        <f t="shared" si="261"/>
        <v>4950</v>
      </c>
      <c r="D99" s="66">
        <f t="shared" si="262"/>
        <v>4459.459459</v>
      </c>
      <c r="E99" s="124">
        <v>1.0</v>
      </c>
      <c r="F99" s="66">
        <f t="shared" si="263"/>
        <v>923.3</v>
      </c>
      <c r="G99" s="66">
        <f t="shared" si="264"/>
        <v>553.98</v>
      </c>
      <c r="H99" s="66">
        <f t="shared" si="265"/>
        <v>415.485</v>
      </c>
      <c r="I99" s="66">
        <f t="shared" si="266"/>
        <v>0</v>
      </c>
      <c r="J99" s="68">
        <v>1250.0</v>
      </c>
      <c r="K99" s="66">
        <f t="shared" si="267"/>
        <v>222.972973</v>
      </c>
      <c r="L99" s="69">
        <f t="shared" si="268"/>
        <v>7825.197432</v>
      </c>
      <c r="M99" s="70">
        <f t="shared" si="269"/>
        <v>0.05924735731</v>
      </c>
      <c r="N99" s="71">
        <f t="shared" si="270"/>
        <v>492.8205856</v>
      </c>
      <c r="O99" s="66">
        <f t="shared" si="271"/>
        <v>8318.018018</v>
      </c>
      <c r="P99" s="78">
        <v>9233.0</v>
      </c>
      <c r="Q99" s="73">
        <f t="shared" si="272"/>
        <v>9233</v>
      </c>
      <c r="R99" s="74"/>
      <c r="S99" s="75"/>
      <c r="T99" s="66">
        <f t="shared" si="273"/>
        <v>0</v>
      </c>
      <c r="U99" s="66">
        <f t="shared" si="274"/>
        <v>0</v>
      </c>
      <c r="V99" s="66">
        <f t="shared" si="275"/>
        <v>0</v>
      </c>
      <c r="W99" s="66">
        <f t="shared" si="276"/>
        <v>0</v>
      </c>
      <c r="X99" s="68">
        <v>1250.0</v>
      </c>
      <c r="Y99" s="66">
        <f t="shared" si="277"/>
        <v>0</v>
      </c>
      <c r="Z99" s="69">
        <f t="shared" si="278"/>
        <v>1250</v>
      </c>
      <c r="AA99" s="70" t="str">
        <f t="shared" si="279"/>
        <v>#DIV/0!</v>
      </c>
      <c r="AB99" s="71">
        <f t="shared" si="280"/>
        <v>-1250</v>
      </c>
      <c r="AC99" s="66">
        <f t="shared" si="281"/>
        <v>0</v>
      </c>
      <c r="AD99" s="78"/>
      <c r="AE99" s="73" t="str">
        <f t="shared" si="282"/>
        <v>#DIV/0!</v>
      </c>
      <c r="AF99" s="76"/>
      <c r="AG99" s="75"/>
      <c r="AH99" s="66">
        <f t="shared" si="283"/>
        <v>0</v>
      </c>
      <c r="AI99" s="66">
        <f t="shared" si="284"/>
        <v>0</v>
      </c>
      <c r="AJ99" s="66">
        <f t="shared" si="285"/>
        <v>0</v>
      </c>
      <c r="AK99" s="66">
        <f t="shared" si="286"/>
        <v>0</v>
      </c>
      <c r="AL99" s="68">
        <v>1250.0</v>
      </c>
      <c r="AM99" s="66">
        <f t="shared" si="287"/>
        <v>0</v>
      </c>
      <c r="AN99" s="69">
        <f t="shared" si="288"/>
        <v>1250</v>
      </c>
      <c r="AO99" s="70" t="str">
        <f t="shared" si="289"/>
        <v>#DIV/0!</v>
      </c>
      <c r="AP99" s="71">
        <f t="shared" si="290"/>
        <v>-1250</v>
      </c>
      <c r="AQ99" s="66">
        <f t="shared" si="291"/>
        <v>0</v>
      </c>
      <c r="AR99" s="78"/>
      <c r="AS99" s="73" t="str">
        <f t="shared" si="292"/>
        <v>#DIV/0!</v>
      </c>
    </row>
    <row r="100">
      <c r="A100" s="106" t="s">
        <v>124</v>
      </c>
      <c r="B100" s="111">
        <v>8500.0</v>
      </c>
      <c r="C100" s="65">
        <f t="shared" si="261"/>
        <v>7650</v>
      </c>
      <c r="D100" s="66">
        <f t="shared" si="262"/>
        <v>6891.891892</v>
      </c>
      <c r="E100" s="124">
        <v>1.0</v>
      </c>
      <c r="F100" s="66">
        <f t="shared" si="263"/>
        <v>1350</v>
      </c>
      <c r="G100" s="66">
        <f t="shared" si="264"/>
        <v>810</v>
      </c>
      <c r="H100" s="66">
        <f t="shared" si="265"/>
        <v>607.5</v>
      </c>
      <c r="I100" s="66">
        <f t="shared" si="266"/>
        <v>0</v>
      </c>
      <c r="J100" s="68">
        <v>1250.0</v>
      </c>
      <c r="K100" s="66">
        <f t="shared" si="267"/>
        <v>344.5945946</v>
      </c>
      <c r="L100" s="69">
        <f t="shared" si="268"/>
        <v>11253.98649</v>
      </c>
      <c r="M100" s="70">
        <f t="shared" si="269"/>
        <v>0.07467222222</v>
      </c>
      <c r="N100" s="71">
        <f t="shared" si="270"/>
        <v>908.1756757</v>
      </c>
      <c r="O100" s="66">
        <f t="shared" si="271"/>
        <v>12162.16216</v>
      </c>
      <c r="P100" s="78">
        <v>13500.0</v>
      </c>
      <c r="Q100" s="73">
        <f t="shared" si="272"/>
        <v>13500</v>
      </c>
      <c r="R100" s="74"/>
      <c r="S100" s="75"/>
      <c r="T100" s="66">
        <f t="shared" si="273"/>
        <v>0</v>
      </c>
      <c r="U100" s="66">
        <f t="shared" si="274"/>
        <v>0</v>
      </c>
      <c r="V100" s="66">
        <f t="shared" si="275"/>
        <v>0</v>
      </c>
      <c r="W100" s="66">
        <f t="shared" si="276"/>
        <v>0</v>
      </c>
      <c r="X100" s="68">
        <v>1250.0</v>
      </c>
      <c r="Y100" s="66">
        <f t="shared" si="277"/>
        <v>0</v>
      </c>
      <c r="Z100" s="69">
        <f t="shared" si="278"/>
        <v>1250</v>
      </c>
      <c r="AA100" s="70" t="str">
        <f t="shared" si="279"/>
        <v>#DIV/0!</v>
      </c>
      <c r="AB100" s="71">
        <f t="shared" si="280"/>
        <v>-1250</v>
      </c>
      <c r="AC100" s="66">
        <f t="shared" si="281"/>
        <v>0</v>
      </c>
      <c r="AD100" s="78"/>
      <c r="AE100" s="73" t="str">
        <f t="shared" si="282"/>
        <v>#DIV/0!</v>
      </c>
      <c r="AF100" s="76"/>
      <c r="AG100" s="75"/>
      <c r="AH100" s="66">
        <f t="shared" si="283"/>
        <v>0</v>
      </c>
      <c r="AI100" s="66">
        <f t="shared" si="284"/>
        <v>0</v>
      </c>
      <c r="AJ100" s="66">
        <f t="shared" si="285"/>
        <v>0</v>
      </c>
      <c r="AK100" s="66">
        <f t="shared" si="286"/>
        <v>0</v>
      </c>
      <c r="AL100" s="68">
        <v>1250.0</v>
      </c>
      <c r="AM100" s="66">
        <f t="shared" si="287"/>
        <v>0</v>
      </c>
      <c r="AN100" s="69">
        <f t="shared" si="288"/>
        <v>1250</v>
      </c>
      <c r="AO100" s="70" t="str">
        <f t="shared" si="289"/>
        <v>#DIV/0!</v>
      </c>
      <c r="AP100" s="71">
        <f t="shared" si="290"/>
        <v>-1250</v>
      </c>
      <c r="AQ100" s="66">
        <f t="shared" si="291"/>
        <v>0</v>
      </c>
      <c r="AR100" s="78"/>
      <c r="AS100" s="73" t="str">
        <f t="shared" si="292"/>
        <v>#DIV/0!</v>
      </c>
    </row>
    <row r="101">
      <c r="A101" s="106" t="s">
        <v>125</v>
      </c>
      <c r="B101" s="111">
        <v>10000.0</v>
      </c>
      <c r="C101" s="65">
        <f t="shared" si="261"/>
        <v>9000</v>
      </c>
      <c r="D101" s="66">
        <f t="shared" si="262"/>
        <v>8108.108108</v>
      </c>
      <c r="E101" s="124">
        <v>1.0</v>
      </c>
      <c r="F101" s="66">
        <f t="shared" si="263"/>
        <v>1500</v>
      </c>
      <c r="G101" s="66">
        <f t="shared" si="264"/>
        <v>900</v>
      </c>
      <c r="H101" s="66">
        <f t="shared" si="265"/>
        <v>675</v>
      </c>
      <c r="I101" s="66">
        <f t="shared" si="266"/>
        <v>0</v>
      </c>
      <c r="J101" s="68">
        <v>1250.0</v>
      </c>
      <c r="K101" s="66">
        <f t="shared" si="267"/>
        <v>405.4054054</v>
      </c>
      <c r="L101" s="69">
        <f t="shared" si="268"/>
        <v>12838.51351</v>
      </c>
      <c r="M101" s="70">
        <f t="shared" si="269"/>
        <v>0.04995</v>
      </c>
      <c r="N101" s="71">
        <f t="shared" si="270"/>
        <v>675</v>
      </c>
      <c r="O101" s="66">
        <f t="shared" si="271"/>
        <v>13513.51351</v>
      </c>
      <c r="P101" s="78">
        <v>15000.0</v>
      </c>
      <c r="Q101" s="73">
        <f t="shared" si="272"/>
        <v>15000</v>
      </c>
      <c r="R101" s="74"/>
      <c r="S101" s="75"/>
      <c r="T101" s="66">
        <f t="shared" si="273"/>
        <v>0</v>
      </c>
      <c r="U101" s="66">
        <f t="shared" si="274"/>
        <v>0</v>
      </c>
      <c r="V101" s="66">
        <f t="shared" si="275"/>
        <v>0</v>
      </c>
      <c r="W101" s="66">
        <f t="shared" si="276"/>
        <v>0</v>
      </c>
      <c r="X101" s="68">
        <v>1250.0</v>
      </c>
      <c r="Y101" s="66">
        <f t="shared" si="277"/>
        <v>0</v>
      </c>
      <c r="Z101" s="69">
        <f t="shared" si="278"/>
        <v>1250</v>
      </c>
      <c r="AA101" s="70" t="str">
        <f t="shared" si="279"/>
        <v>#DIV/0!</v>
      </c>
      <c r="AB101" s="71">
        <f t="shared" si="280"/>
        <v>-1250</v>
      </c>
      <c r="AC101" s="66">
        <f t="shared" si="281"/>
        <v>0</v>
      </c>
      <c r="AD101" s="78"/>
      <c r="AE101" s="73" t="str">
        <f t="shared" si="282"/>
        <v>#DIV/0!</v>
      </c>
      <c r="AF101" s="76"/>
      <c r="AG101" s="75"/>
      <c r="AH101" s="66">
        <f t="shared" si="283"/>
        <v>0</v>
      </c>
      <c r="AI101" s="66">
        <f t="shared" si="284"/>
        <v>0</v>
      </c>
      <c r="AJ101" s="66">
        <f t="shared" si="285"/>
        <v>0</v>
      </c>
      <c r="AK101" s="66">
        <f t="shared" si="286"/>
        <v>0</v>
      </c>
      <c r="AL101" s="68">
        <v>1250.0</v>
      </c>
      <c r="AM101" s="66">
        <f t="shared" si="287"/>
        <v>0</v>
      </c>
      <c r="AN101" s="69">
        <f t="shared" si="288"/>
        <v>1250</v>
      </c>
      <c r="AO101" s="70" t="str">
        <f t="shared" si="289"/>
        <v>#DIV/0!</v>
      </c>
      <c r="AP101" s="71">
        <f t="shared" si="290"/>
        <v>-1250</v>
      </c>
      <c r="AQ101" s="66">
        <f t="shared" si="291"/>
        <v>0</v>
      </c>
      <c r="AR101" s="78"/>
      <c r="AS101" s="73" t="str">
        <f t="shared" si="292"/>
        <v>#DIV/0!</v>
      </c>
    </row>
    <row r="102">
      <c r="A102" s="106" t="s">
        <v>126</v>
      </c>
      <c r="B102" s="108">
        <f>B95+1300+500</f>
        <v>4800</v>
      </c>
      <c r="C102" s="65">
        <f t="shared" si="261"/>
        <v>4320</v>
      </c>
      <c r="D102" s="66">
        <f t="shared" si="262"/>
        <v>3891.891892</v>
      </c>
      <c r="E102" s="124">
        <v>5.0</v>
      </c>
      <c r="F102" s="66">
        <f t="shared" si="263"/>
        <v>3500</v>
      </c>
      <c r="G102" s="66">
        <f t="shared" si="264"/>
        <v>2100</v>
      </c>
      <c r="H102" s="66">
        <f t="shared" si="265"/>
        <v>1575</v>
      </c>
      <c r="I102" s="66">
        <f t="shared" si="266"/>
        <v>0</v>
      </c>
      <c r="J102" s="68">
        <v>1250.0</v>
      </c>
      <c r="K102" s="66">
        <f t="shared" si="267"/>
        <v>194.5945946</v>
      </c>
      <c r="L102" s="69">
        <f t="shared" si="268"/>
        <v>28079.05405</v>
      </c>
      <c r="M102" s="70">
        <f t="shared" si="269"/>
        <v>0.1094928571</v>
      </c>
      <c r="N102" s="71">
        <f t="shared" si="270"/>
        <v>3452.477477</v>
      </c>
      <c r="O102" s="66">
        <f t="shared" si="271"/>
        <v>31531.53153</v>
      </c>
      <c r="P102" s="78">
        <v>35000.0</v>
      </c>
      <c r="Q102" s="73">
        <f t="shared" si="272"/>
        <v>7000</v>
      </c>
      <c r="R102" s="74"/>
      <c r="S102" s="75"/>
      <c r="T102" s="66">
        <f t="shared" si="273"/>
        <v>0</v>
      </c>
      <c r="U102" s="66">
        <f t="shared" si="274"/>
        <v>0</v>
      </c>
      <c r="V102" s="66">
        <f t="shared" si="275"/>
        <v>0</v>
      </c>
      <c r="W102" s="66">
        <f t="shared" si="276"/>
        <v>0</v>
      </c>
      <c r="X102" s="68">
        <v>1250.0</v>
      </c>
      <c r="Y102" s="66">
        <f t="shared" si="277"/>
        <v>0</v>
      </c>
      <c r="Z102" s="69">
        <f t="shared" si="278"/>
        <v>1250</v>
      </c>
      <c r="AA102" s="70" t="str">
        <f t="shared" si="279"/>
        <v>#DIV/0!</v>
      </c>
      <c r="AB102" s="71">
        <f t="shared" si="280"/>
        <v>-1250</v>
      </c>
      <c r="AC102" s="66">
        <f t="shared" si="281"/>
        <v>0</v>
      </c>
      <c r="AD102" s="78"/>
      <c r="AE102" s="73" t="str">
        <f t="shared" si="282"/>
        <v>#DIV/0!</v>
      </c>
      <c r="AF102" s="76"/>
      <c r="AG102" s="75"/>
      <c r="AH102" s="66">
        <f t="shared" si="283"/>
        <v>0</v>
      </c>
      <c r="AI102" s="66">
        <f t="shared" si="284"/>
        <v>0</v>
      </c>
      <c r="AJ102" s="66">
        <f t="shared" si="285"/>
        <v>0</v>
      </c>
      <c r="AK102" s="66">
        <f t="shared" si="286"/>
        <v>0</v>
      </c>
      <c r="AL102" s="68">
        <v>1250.0</v>
      </c>
      <c r="AM102" s="66">
        <f t="shared" si="287"/>
        <v>0</v>
      </c>
      <c r="AN102" s="69">
        <f t="shared" si="288"/>
        <v>1250</v>
      </c>
      <c r="AO102" s="70" t="str">
        <f t="shared" si="289"/>
        <v>#DIV/0!</v>
      </c>
      <c r="AP102" s="71">
        <f t="shared" si="290"/>
        <v>-1250</v>
      </c>
      <c r="AQ102" s="66">
        <f t="shared" si="291"/>
        <v>0</v>
      </c>
      <c r="AR102" s="78"/>
      <c r="AS102" s="73" t="str">
        <f t="shared" si="292"/>
        <v>#DIV/0!</v>
      </c>
    </row>
    <row r="103">
      <c r="A103" s="106" t="s">
        <v>127</v>
      </c>
      <c r="B103" s="111">
        <v>4700.0</v>
      </c>
      <c r="C103" s="65">
        <f t="shared" si="261"/>
        <v>4230</v>
      </c>
      <c r="D103" s="66">
        <f t="shared" si="262"/>
        <v>3810.810811</v>
      </c>
      <c r="E103" s="124">
        <v>5.0</v>
      </c>
      <c r="F103" s="66">
        <f t="shared" si="263"/>
        <v>4300</v>
      </c>
      <c r="G103" s="66">
        <f t="shared" si="264"/>
        <v>2580</v>
      </c>
      <c r="H103" s="66">
        <f t="shared" si="265"/>
        <v>1935</v>
      </c>
      <c r="I103" s="66">
        <f t="shared" si="266"/>
        <v>0</v>
      </c>
      <c r="J103" s="68">
        <v>1250.0</v>
      </c>
      <c r="K103" s="66">
        <f t="shared" si="267"/>
        <v>190.5405405</v>
      </c>
      <c r="L103" s="69">
        <f t="shared" si="268"/>
        <v>29309.59459</v>
      </c>
      <c r="M103" s="70">
        <f t="shared" si="269"/>
        <v>0.2434034884</v>
      </c>
      <c r="N103" s="71">
        <f t="shared" si="270"/>
        <v>9429.144144</v>
      </c>
      <c r="O103" s="66">
        <f t="shared" si="271"/>
        <v>38738.73874</v>
      </c>
      <c r="P103" s="78">
        <v>43000.0</v>
      </c>
      <c r="Q103" s="73">
        <f t="shared" si="272"/>
        <v>8600</v>
      </c>
      <c r="R103" s="74"/>
      <c r="S103" s="75"/>
      <c r="T103" s="66">
        <f t="shared" si="273"/>
        <v>0</v>
      </c>
      <c r="U103" s="66">
        <f t="shared" si="274"/>
        <v>0</v>
      </c>
      <c r="V103" s="66">
        <f t="shared" si="275"/>
        <v>0</v>
      </c>
      <c r="W103" s="66">
        <f t="shared" si="276"/>
        <v>0</v>
      </c>
      <c r="X103" s="68">
        <v>1250.0</v>
      </c>
      <c r="Y103" s="66">
        <f t="shared" si="277"/>
        <v>0</v>
      </c>
      <c r="Z103" s="69">
        <f t="shared" si="278"/>
        <v>1250</v>
      </c>
      <c r="AA103" s="70" t="str">
        <f t="shared" si="279"/>
        <v>#DIV/0!</v>
      </c>
      <c r="AB103" s="71">
        <f t="shared" si="280"/>
        <v>-1250</v>
      </c>
      <c r="AC103" s="66">
        <f t="shared" si="281"/>
        <v>0</v>
      </c>
      <c r="AD103" s="78"/>
      <c r="AE103" s="73" t="str">
        <f t="shared" si="282"/>
        <v>#DIV/0!</v>
      </c>
      <c r="AF103" s="76"/>
      <c r="AG103" s="75"/>
      <c r="AH103" s="66">
        <f t="shared" si="283"/>
        <v>0</v>
      </c>
      <c r="AI103" s="66">
        <f t="shared" si="284"/>
        <v>0</v>
      </c>
      <c r="AJ103" s="66">
        <f t="shared" si="285"/>
        <v>0</v>
      </c>
      <c r="AK103" s="66">
        <f t="shared" si="286"/>
        <v>0</v>
      </c>
      <c r="AL103" s="68">
        <v>1250.0</v>
      </c>
      <c r="AM103" s="66">
        <f t="shared" si="287"/>
        <v>0</v>
      </c>
      <c r="AN103" s="69">
        <f t="shared" si="288"/>
        <v>1250</v>
      </c>
      <c r="AO103" s="70" t="str">
        <f t="shared" si="289"/>
        <v>#DIV/0!</v>
      </c>
      <c r="AP103" s="71">
        <f t="shared" si="290"/>
        <v>-1250</v>
      </c>
      <c r="AQ103" s="66">
        <f t="shared" si="291"/>
        <v>0</v>
      </c>
      <c r="AR103" s="78"/>
      <c r="AS103" s="73" t="str">
        <f t="shared" si="292"/>
        <v>#DIV/0!</v>
      </c>
    </row>
    <row r="104">
      <c r="A104" s="146" t="s">
        <v>128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37"/>
      <c r="S104" s="147"/>
      <c r="T104" s="147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76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</row>
    <row r="105">
      <c r="A105" s="106" t="s">
        <v>129</v>
      </c>
      <c r="B105" s="108">
        <f>B94*6</f>
        <v>18000</v>
      </c>
      <c r="C105" s="65">
        <f t="shared" ref="C105:C109" si="293">B105*$C$4</f>
        <v>16200</v>
      </c>
      <c r="D105" s="66">
        <f t="shared" ref="D105:D111" si="294">C105/$D$4</f>
        <v>14594.59459</v>
      </c>
      <c r="E105" s="124">
        <v>1.0</v>
      </c>
      <c r="F105" s="66">
        <f t="shared" ref="F105:F111" si="295">P105*$F$3</f>
        <v>2500</v>
      </c>
      <c r="G105" s="66">
        <f t="shared" ref="G105:G111" si="296">P105*$G$3</f>
        <v>1500</v>
      </c>
      <c r="H105" s="66">
        <f t="shared" ref="H105:H111" si="297">P105*$H$3</f>
        <v>1125</v>
      </c>
      <c r="I105" s="66">
        <f t="shared" ref="I105:I111" si="298">P105*$I$3</f>
        <v>0</v>
      </c>
      <c r="J105" s="68">
        <v>1250.0</v>
      </c>
      <c r="K105" s="66">
        <f t="shared" ref="K105:K111" si="299">D105*$K$3</f>
        <v>729.7297297</v>
      </c>
      <c r="L105" s="69">
        <f t="shared" ref="L105:L111" si="300">(D105*E105)+F105+G105+H105+I105+J105+K105</f>
        <v>21699.32432</v>
      </c>
      <c r="M105" s="70">
        <f t="shared" ref="M105:M111" si="301">N105/O105</f>
        <v>0.03655</v>
      </c>
      <c r="N105" s="71">
        <f t="shared" ref="N105:N111" si="302">O105-L105</f>
        <v>823.1981982</v>
      </c>
      <c r="O105" s="66">
        <f t="shared" ref="O105:O111" si="303">P105/$O$4</f>
        <v>22522.52252</v>
      </c>
      <c r="P105" s="78">
        <v>25000.0</v>
      </c>
      <c r="Q105" s="73">
        <f t="shared" ref="Q105:Q111" si="304">P105/E105</f>
        <v>25000</v>
      </c>
      <c r="R105" s="74"/>
      <c r="S105" s="75"/>
      <c r="T105" s="66">
        <f t="shared" ref="T105:T111" si="305">AD105*$T$3</f>
        <v>0</v>
      </c>
      <c r="U105" s="66">
        <f t="shared" ref="U105:U111" si="306">AD105*$U$3</f>
        <v>0</v>
      </c>
      <c r="V105" s="66">
        <f t="shared" ref="V105:V111" si="307">AD105*$V$3</f>
        <v>0</v>
      </c>
      <c r="W105" s="66">
        <f t="shared" ref="W105:W111" si="308">AD105*$W$3</f>
        <v>0</v>
      </c>
      <c r="X105" s="68">
        <v>1250.0</v>
      </c>
      <c r="Y105" s="66">
        <f t="shared" ref="Y105:Y111" si="309">R105*$Y$3</f>
        <v>0</v>
      </c>
      <c r="Z105" s="69">
        <f t="shared" ref="Z105:Z111" si="310">(D105*S105)+T105+U105+V105+W105+X105+Y105</f>
        <v>1250</v>
      </c>
      <c r="AA105" s="70" t="str">
        <f t="shared" ref="AA105:AA111" si="311">AB105/AC105</f>
        <v>#DIV/0!</v>
      </c>
      <c r="AB105" s="71">
        <f t="shared" ref="AB105:AB111" si="312">AC105-Z105</f>
        <v>-1250</v>
      </c>
      <c r="AC105" s="66">
        <f t="shared" ref="AC105:AC111" si="313">AD105/$O$4</f>
        <v>0</v>
      </c>
      <c r="AD105" s="78"/>
      <c r="AE105" s="73" t="str">
        <f t="shared" ref="AE105:AE111" si="314">AD105/S105</f>
        <v>#DIV/0!</v>
      </c>
      <c r="AF105" s="76"/>
      <c r="AG105" s="75"/>
      <c r="AH105" s="66">
        <f t="shared" ref="AH105:AH111" si="315">AR105*$AH$3</f>
        <v>0</v>
      </c>
      <c r="AI105" s="66">
        <f t="shared" ref="AI105:AI111" si="316">AR105*$AI$3</f>
        <v>0</v>
      </c>
      <c r="AJ105" s="66">
        <f t="shared" ref="AJ105:AJ111" si="317">AR105*$AJ$3</f>
        <v>0</v>
      </c>
      <c r="AK105" s="66">
        <f t="shared" ref="AK105:AK111" si="318">AR105*$AK$3</f>
        <v>0</v>
      </c>
      <c r="AL105" s="68">
        <v>1250.0</v>
      </c>
      <c r="AM105" s="66">
        <f t="shared" ref="AM105:AM111" si="319">AF105*$AM$3</f>
        <v>0</v>
      </c>
      <c r="AN105" s="69">
        <f t="shared" ref="AN105:AN111" si="320">(R105*AG105)+AH105+AI105+AJ105+AK105+AL105+AM105</f>
        <v>1250</v>
      </c>
      <c r="AO105" s="70" t="str">
        <f t="shared" ref="AO105:AO111" si="321">AP105/AQ105</f>
        <v>#DIV/0!</v>
      </c>
      <c r="AP105" s="71">
        <f t="shared" ref="AP105:AP111" si="322">AQ105-AN105</f>
        <v>-1250</v>
      </c>
      <c r="AQ105" s="66">
        <f t="shared" ref="AQ105:AQ111" si="323">AR105/$O$4</f>
        <v>0</v>
      </c>
      <c r="AR105" s="78"/>
      <c r="AS105" s="73" t="str">
        <f t="shared" ref="AS105:AS111" si="324">AR105/AG105</f>
        <v>#DIV/0!</v>
      </c>
    </row>
    <row r="106">
      <c r="A106" s="106" t="s">
        <v>130</v>
      </c>
      <c r="B106" s="108">
        <f t="shared" ref="B106:B108" si="325">B96*6</f>
        <v>18600</v>
      </c>
      <c r="C106" s="65">
        <f t="shared" si="293"/>
        <v>16740</v>
      </c>
      <c r="D106" s="66">
        <f t="shared" si="294"/>
        <v>15081.08108</v>
      </c>
      <c r="E106" s="124">
        <v>1.0</v>
      </c>
      <c r="F106" s="66">
        <f t="shared" si="295"/>
        <v>2660</v>
      </c>
      <c r="G106" s="66">
        <f t="shared" si="296"/>
        <v>1596</v>
      </c>
      <c r="H106" s="66">
        <f t="shared" si="297"/>
        <v>1197</v>
      </c>
      <c r="I106" s="66">
        <f t="shared" si="298"/>
        <v>0</v>
      </c>
      <c r="J106" s="68">
        <v>1250.0</v>
      </c>
      <c r="K106" s="66">
        <f t="shared" si="299"/>
        <v>754.0540541</v>
      </c>
      <c r="L106" s="69">
        <f t="shared" si="300"/>
        <v>22538.13514</v>
      </c>
      <c r="M106" s="70">
        <f t="shared" si="301"/>
        <v>0.05949887218</v>
      </c>
      <c r="N106" s="71">
        <f t="shared" si="302"/>
        <v>1425.828829</v>
      </c>
      <c r="O106" s="66">
        <f t="shared" si="303"/>
        <v>23963.96396</v>
      </c>
      <c r="P106" s="78">
        <v>26600.0</v>
      </c>
      <c r="Q106" s="73">
        <f t="shared" si="304"/>
        <v>26600</v>
      </c>
      <c r="R106" s="74"/>
      <c r="S106" s="75"/>
      <c r="T106" s="66">
        <f t="shared" si="305"/>
        <v>0</v>
      </c>
      <c r="U106" s="66">
        <f t="shared" si="306"/>
        <v>0</v>
      </c>
      <c r="V106" s="66">
        <f t="shared" si="307"/>
        <v>0</v>
      </c>
      <c r="W106" s="66">
        <f t="shared" si="308"/>
        <v>0</v>
      </c>
      <c r="X106" s="68">
        <v>1250.0</v>
      </c>
      <c r="Y106" s="66">
        <f t="shared" si="309"/>
        <v>0</v>
      </c>
      <c r="Z106" s="69">
        <f t="shared" si="310"/>
        <v>1250</v>
      </c>
      <c r="AA106" s="70" t="str">
        <f t="shared" si="311"/>
        <v>#DIV/0!</v>
      </c>
      <c r="AB106" s="71">
        <f t="shared" si="312"/>
        <v>-1250</v>
      </c>
      <c r="AC106" s="66">
        <f t="shared" si="313"/>
        <v>0</v>
      </c>
      <c r="AD106" s="78"/>
      <c r="AE106" s="73" t="str">
        <f t="shared" si="314"/>
        <v>#DIV/0!</v>
      </c>
      <c r="AF106" s="76"/>
      <c r="AG106" s="75"/>
      <c r="AH106" s="66">
        <f t="shared" si="315"/>
        <v>0</v>
      </c>
      <c r="AI106" s="66">
        <f t="shared" si="316"/>
        <v>0</v>
      </c>
      <c r="AJ106" s="66">
        <f t="shared" si="317"/>
        <v>0</v>
      </c>
      <c r="AK106" s="66">
        <f t="shared" si="318"/>
        <v>0</v>
      </c>
      <c r="AL106" s="68">
        <v>1250.0</v>
      </c>
      <c r="AM106" s="66">
        <f t="shared" si="319"/>
        <v>0</v>
      </c>
      <c r="AN106" s="69">
        <f t="shared" si="320"/>
        <v>1250</v>
      </c>
      <c r="AO106" s="70" t="str">
        <f t="shared" si="321"/>
        <v>#DIV/0!</v>
      </c>
      <c r="AP106" s="71">
        <f t="shared" si="322"/>
        <v>-1250</v>
      </c>
      <c r="AQ106" s="66">
        <f t="shared" si="323"/>
        <v>0</v>
      </c>
      <c r="AR106" s="78"/>
      <c r="AS106" s="73" t="str">
        <f t="shared" si="324"/>
        <v>#DIV/0!</v>
      </c>
    </row>
    <row r="107">
      <c r="A107" s="106" t="s">
        <v>131</v>
      </c>
      <c r="B107" s="108">
        <f t="shared" si="325"/>
        <v>22800</v>
      </c>
      <c r="C107" s="65">
        <f t="shared" si="293"/>
        <v>20520</v>
      </c>
      <c r="D107" s="66">
        <f t="shared" si="294"/>
        <v>18486.48649</v>
      </c>
      <c r="E107" s="124">
        <v>1.0</v>
      </c>
      <c r="F107" s="66">
        <f t="shared" si="295"/>
        <v>3850</v>
      </c>
      <c r="G107" s="66">
        <f t="shared" si="296"/>
        <v>2310</v>
      </c>
      <c r="H107" s="66">
        <f t="shared" si="297"/>
        <v>1732.5</v>
      </c>
      <c r="I107" s="66">
        <f t="shared" si="298"/>
        <v>0</v>
      </c>
      <c r="J107" s="68">
        <v>1250.0</v>
      </c>
      <c r="K107" s="66">
        <f t="shared" si="299"/>
        <v>924.3243243</v>
      </c>
      <c r="L107" s="69">
        <f t="shared" si="300"/>
        <v>28553.31081</v>
      </c>
      <c r="M107" s="70">
        <f t="shared" si="301"/>
        <v>0.1767746753</v>
      </c>
      <c r="N107" s="71">
        <f t="shared" si="302"/>
        <v>6131.373874</v>
      </c>
      <c r="O107" s="66">
        <f t="shared" si="303"/>
        <v>34684.68468</v>
      </c>
      <c r="P107" s="78">
        <v>38500.0</v>
      </c>
      <c r="Q107" s="73">
        <f t="shared" si="304"/>
        <v>38500</v>
      </c>
      <c r="R107" s="74"/>
      <c r="S107" s="75"/>
      <c r="T107" s="66">
        <f t="shared" si="305"/>
        <v>0</v>
      </c>
      <c r="U107" s="66">
        <f t="shared" si="306"/>
        <v>0</v>
      </c>
      <c r="V107" s="66">
        <f t="shared" si="307"/>
        <v>0</v>
      </c>
      <c r="W107" s="66">
        <f t="shared" si="308"/>
        <v>0</v>
      </c>
      <c r="X107" s="68">
        <v>1250.0</v>
      </c>
      <c r="Y107" s="66">
        <f t="shared" si="309"/>
        <v>0</v>
      </c>
      <c r="Z107" s="69">
        <f t="shared" si="310"/>
        <v>1250</v>
      </c>
      <c r="AA107" s="70" t="str">
        <f t="shared" si="311"/>
        <v>#DIV/0!</v>
      </c>
      <c r="AB107" s="71">
        <f t="shared" si="312"/>
        <v>-1250</v>
      </c>
      <c r="AC107" s="66">
        <f t="shared" si="313"/>
        <v>0</v>
      </c>
      <c r="AD107" s="78"/>
      <c r="AE107" s="73" t="str">
        <f t="shared" si="314"/>
        <v>#DIV/0!</v>
      </c>
      <c r="AF107" s="76"/>
      <c r="AG107" s="75"/>
      <c r="AH107" s="66">
        <f t="shared" si="315"/>
        <v>0</v>
      </c>
      <c r="AI107" s="66">
        <f t="shared" si="316"/>
        <v>0</v>
      </c>
      <c r="AJ107" s="66">
        <f t="shared" si="317"/>
        <v>0</v>
      </c>
      <c r="AK107" s="66">
        <f t="shared" si="318"/>
        <v>0</v>
      </c>
      <c r="AL107" s="68">
        <v>1250.0</v>
      </c>
      <c r="AM107" s="66">
        <f t="shared" si="319"/>
        <v>0</v>
      </c>
      <c r="AN107" s="69">
        <f t="shared" si="320"/>
        <v>1250</v>
      </c>
      <c r="AO107" s="70" t="str">
        <f t="shared" si="321"/>
        <v>#DIV/0!</v>
      </c>
      <c r="AP107" s="71">
        <f t="shared" si="322"/>
        <v>-1250</v>
      </c>
      <c r="AQ107" s="66">
        <f t="shared" si="323"/>
        <v>0</v>
      </c>
      <c r="AR107" s="78"/>
      <c r="AS107" s="73" t="str">
        <f t="shared" si="324"/>
        <v>#DIV/0!</v>
      </c>
    </row>
    <row r="108">
      <c r="A108" s="106" t="s">
        <v>132</v>
      </c>
      <c r="B108" s="108">
        <f t="shared" si="325"/>
        <v>30000</v>
      </c>
      <c r="C108" s="65">
        <f t="shared" si="293"/>
        <v>27000</v>
      </c>
      <c r="D108" s="66">
        <f t="shared" si="294"/>
        <v>24324.32432</v>
      </c>
      <c r="E108" s="124">
        <v>1.0</v>
      </c>
      <c r="F108" s="66">
        <f t="shared" si="295"/>
        <v>4100</v>
      </c>
      <c r="G108" s="66">
        <f t="shared" si="296"/>
        <v>2460</v>
      </c>
      <c r="H108" s="66">
        <f t="shared" si="297"/>
        <v>1845</v>
      </c>
      <c r="I108" s="66">
        <f t="shared" si="298"/>
        <v>0</v>
      </c>
      <c r="J108" s="68">
        <v>1250.0</v>
      </c>
      <c r="K108" s="66">
        <f t="shared" si="299"/>
        <v>1216.216216</v>
      </c>
      <c r="L108" s="69">
        <f t="shared" si="300"/>
        <v>35195.54054</v>
      </c>
      <c r="M108" s="70">
        <f t="shared" si="301"/>
        <v>0.04714512195</v>
      </c>
      <c r="N108" s="71">
        <f t="shared" si="302"/>
        <v>1741.396396</v>
      </c>
      <c r="O108" s="66">
        <f t="shared" si="303"/>
        <v>36936.93694</v>
      </c>
      <c r="P108" s="78">
        <v>41000.0</v>
      </c>
      <c r="Q108" s="73">
        <f t="shared" si="304"/>
        <v>41000</v>
      </c>
      <c r="R108" s="74"/>
      <c r="S108" s="75"/>
      <c r="T108" s="66">
        <f t="shared" si="305"/>
        <v>0</v>
      </c>
      <c r="U108" s="66">
        <f t="shared" si="306"/>
        <v>0</v>
      </c>
      <c r="V108" s="66">
        <f t="shared" si="307"/>
        <v>0</v>
      </c>
      <c r="W108" s="66">
        <f t="shared" si="308"/>
        <v>0</v>
      </c>
      <c r="X108" s="68">
        <v>1250.0</v>
      </c>
      <c r="Y108" s="66">
        <f t="shared" si="309"/>
        <v>0</v>
      </c>
      <c r="Z108" s="69">
        <f t="shared" si="310"/>
        <v>1250</v>
      </c>
      <c r="AA108" s="70" t="str">
        <f t="shared" si="311"/>
        <v>#DIV/0!</v>
      </c>
      <c r="AB108" s="71">
        <f t="shared" si="312"/>
        <v>-1250</v>
      </c>
      <c r="AC108" s="66">
        <f t="shared" si="313"/>
        <v>0</v>
      </c>
      <c r="AD108" s="78"/>
      <c r="AE108" s="73" t="str">
        <f t="shared" si="314"/>
        <v>#DIV/0!</v>
      </c>
      <c r="AF108" s="76"/>
      <c r="AG108" s="75"/>
      <c r="AH108" s="66">
        <f t="shared" si="315"/>
        <v>0</v>
      </c>
      <c r="AI108" s="66">
        <f t="shared" si="316"/>
        <v>0</v>
      </c>
      <c r="AJ108" s="66">
        <f t="shared" si="317"/>
        <v>0</v>
      </c>
      <c r="AK108" s="66">
        <f t="shared" si="318"/>
        <v>0</v>
      </c>
      <c r="AL108" s="68">
        <v>1250.0</v>
      </c>
      <c r="AM108" s="66">
        <f t="shared" si="319"/>
        <v>0</v>
      </c>
      <c r="AN108" s="69">
        <f t="shared" si="320"/>
        <v>1250</v>
      </c>
      <c r="AO108" s="70" t="str">
        <f t="shared" si="321"/>
        <v>#DIV/0!</v>
      </c>
      <c r="AP108" s="71">
        <f t="shared" si="322"/>
        <v>-1250</v>
      </c>
      <c r="AQ108" s="66">
        <f t="shared" si="323"/>
        <v>0</v>
      </c>
      <c r="AR108" s="78"/>
      <c r="AS108" s="73" t="str">
        <f t="shared" si="324"/>
        <v>#DIV/0!</v>
      </c>
    </row>
    <row r="109">
      <c r="A109" s="149" t="s">
        <v>133</v>
      </c>
      <c r="B109" s="108">
        <f>B101*4</f>
        <v>40000</v>
      </c>
      <c r="C109" s="65">
        <f t="shared" si="293"/>
        <v>36000</v>
      </c>
      <c r="D109" s="66">
        <f t="shared" si="294"/>
        <v>32432.43243</v>
      </c>
      <c r="E109" s="124">
        <v>1.0</v>
      </c>
      <c r="F109" s="66">
        <f t="shared" si="295"/>
        <v>5300</v>
      </c>
      <c r="G109" s="66">
        <f t="shared" si="296"/>
        <v>3180</v>
      </c>
      <c r="H109" s="66">
        <f t="shared" si="297"/>
        <v>2385</v>
      </c>
      <c r="I109" s="66">
        <f t="shared" si="298"/>
        <v>0</v>
      </c>
      <c r="J109" s="68">
        <v>1250.0</v>
      </c>
      <c r="K109" s="66">
        <f t="shared" si="299"/>
        <v>1621.621622</v>
      </c>
      <c r="L109" s="69">
        <f t="shared" si="300"/>
        <v>46169.05405</v>
      </c>
      <c r="M109" s="70">
        <f t="shared" si="301"/>
        <v>0.03306320755</v>
      </c>
      <c r="N109" s="71">
        <f t="shared" si="302"/>
        <v>1578.693694</v>
      </c>
      <c r="O109" s="66">
        <f t="shared" si="303"/>
        <v>47747.74775</v>
      </c>
      <c r="P109" s="78">
        <v>53000.0</v>
      </c>
      <c r="Q109" s="73">
        <f t="shared" si="304"/>
        <v>53000</v>
      </c>
      <c r="R109" s="74"/>
      <c r="S109" s="75"/>
      <c r="T109" s="66">
        <f t="shared" si="305"/>
        <v>0</v>
      </c>
      <c r="U109" s="66">
        <f t="shared" si="306"/>
        <v>0</v>
      </c>
      <c r="V109" s="66">
        <f t="shared" si="307"/>
        <v>0</v>
      </c>
      <c r="W109" s="66">
        <f t="shared" si="308"/>
        <v>0</v>
      </c>
      <c r="X109" s="68">
        <v>1250.0</v>
      </c>
      <c r="Y109" s="66">
        <f t="shared" si="309"/>
        <v>0</v>
      </c>
      <c r="Z109" s="69">
        <f t="shared" si="310"/>
        <v>1250</v>
      </c>
      <c r="AA109" s="70" t="str">
        <f t="shared" si="311"/>
        <v>#DIV/0!</v>
      </c>
      <c r="AB109" s="71">
        <f t="shared" si="312"/>
        <v>-1250</v>
      </c>
      <c r="AC109" s="66">
        <f t="shared" si="313"/>
        <v>0</v>
      </c>
      <c r="AD109" s="78"/>
      <c r="AE109" s="73" t="str">
        <f t="shared" si="314"/>
        <v>#DIV/0!</v>
      </c>
      <c r="AF109" s="76"/>
      <c r="AG109" s="75"/>
      <c r="AH109" s="66">
        <f t="shared" si="315"/>
        <v>0</v>
      </c>
      <c r="AI109" s="66">
        <f t="shared" si="316"/>
        <v>0</v>
      </c>
      <c r="AJ109" s="66">
        <f t="shared" si="317"/>
        <v>0</v>
      </c>
      <c r="AK109" s="66">
        <f t="shared" si="318"/>
        <v>0</v>
      </c>
      <c r="AL109" s="68">
        <v>1250.0</v>
      </c>
      <c r="AM109" s="66">
        <f t="shared" si="319"/>
        <v>0</v>
      </c>
      <c r="AN109" s="69">
        <f t="shared" si="320"/>
        <v>1250</v>
      </c>
      <c r="AO109" s="70" t="str">
        <f t="shared" si="321"/>
        <v>#DIV/0!</v>
      </c>
      <c r="AP109" s="71">
        <f t="shared" si="322"/>
        <v>-1250</v>
      </c>
      <c r="AQ109" s="66">
        <f t="shared" si="323"/>
        <v>0</v>
      </c>
      <c r="AR109" s="78"/>
      <c r="AS109" s="73" t="str">
        <f t="shared" si="324"/>
        <v>#DIV/0!</v>
      </c>
    </row>
    <row r="110">
      <c r="A110" s="106" t="s">
        <v>134</v>
      </c>
      <c r="B110" s="111">
        <v>28300.0</v>
      </c>
      <c r="C110" s="65">
        <f t="shared" ref="C110:C111" si="326">B110</f>
        <v>28300</v>
      </c>
      <c r="D110" s="66">
        <f t="shared" si="294"/>
        <v>25495.4955</v>
      </c>
      <c r="E110" s="124">
        <v>1.0</v>
      </c>
      <c r="F110" s="66">
        <f t="shared" si="295"/>
        <v>4270</v>
      </c>
      <c r="G110" s="66">
        <f t="shared" si="296"/>
        <v>2562</v>
      </c>
      <c r="H110" s="66">
        <f t="shared" si="297"/>
        <v>1921.5</v>
      </c>
      <c r="I110" s="66">
        <f t="shared" si="298"/>
        <v>0</v>
      </c>
      <c r="J110" s="68">
        <v>1250.0</v>
      </c>
      <c r="K110" s="66">
        <f t="shared" si="299"/>
        <v>1274.774775</v>
      </c>
      <c r="L110" s="69">
        <f t="shared" si="300"/>
        <v>36773.77027</v>
      </c>
      <c r="M110" s="70">
        <f t="shared" si="301"/>
        <v>0.04405421546</v>
      </c>
      <c r="N110" s="71">
        <f t="shared" si="302"/>
        <v>1694.698198</v>
      </c>
      <c r="O110" s="66">
        <f t="shared" si="303"/>
        <v>38468.46847</v>
      </c>
      <c r="P110" s="78">
        <v>42700.0</v>
      </c>
      <c r="Q110" s="73">
        <f t="shared" si="304"/>
        <v>42700</v>
      </c>
      <c r="R110" s="74"/>
      <c r="S110" s="75"/>
      <c r="T110" s="66">
        <f t="shared" si="305"/>
        <v>0</v>
      </c>
      <c r="U110" s="66">
        <f t="shared" si="306"/>
        <v>0</v>
      </c>
      <c r="V110" s="66">
        <f t="shared" si="307"/>
        <v>0</v>
      </c>
      <c r="W110" s="66">
        <f t="shared" si="308"/>
        <v>0</v>
      </c>
      <c r="X110" s="68">
        <v>1250.0</v>
      </c>
      <c r="Y110" s="66">
        <f t="shared" si="309"/>
        <v>0</v>
      </c>
      <c r="Z110" s="69">
        <f t="shared" si="310"/>
        <v>1250</v>
      </c>
      <c r="AA110" s="70" t="str">
        <f t="shared" si="311"/>
        <v>#DIV/0!</v>
      </c>
      <c r="AB110" s="71">
        <f t="shared" si="312"/>
        <v>-1250</v>
      </c>
      <c r="AC110" s="66">
        <f t="shared" si="313"/>
        <v>0</v>
      </c>
      <c r="AD110" s="78"/>
      <c r="AE110" s="73" t="str">
        <f t="shared" si="314"/>
        <v>#DIV/0!</v>
      </c>
      <c r="AF110" s="76"/>
      <c r="AG110" s="75"/>
      <c r="AH110" s="66">
        <f t="shared" si="315"/>
        <v>0</v>
      </c>
      <c r="AI110" s="66">
        <f t="shared" si="316"/>
        <v>0</v>
      </c>
      <c r="AJ110" s="66">
        <f t="shared" si="317"/>
        <v>0</v>
      </c>
      <c r="AK110" s="66">
        <f t="shared" si="318"/>
        <v>0</v>
      </c>
      <c r="AL110" s="68">
        <v>1250.0</v>
      </c>
      <c r="AM110" s="66">
        <f t="shared" si="319"/>
        <v>0</v>
      </c>
      <c r="AN110" s="69">
        <f t="shared" si="320"/>
        <v>1250</v>
      </c>
      <c r="AO110" s="70" t="str">
        <f t="shared" si="321"/>
        <v>#DIV/0!</v>
      </c>
      <c r="AP110" s="71">
        <f t="shared" si="322"/>
        <v>-1250</v>
      </c>
      <c r="AQ110" s="66">
        <f t="shared" si="323"/>
        <v>0</v>
      </c>
      <c r="AR110" s="78"/>
      <c r="AS110" s="73" t="str">
        <f t="shared" si="324"/>
        <v>#DIV/0!</v>
      </c>
    </row>
    <row r="111">
      <c r="A111" s="106" t="s">
        <v>135</v>
      </c>
      <c r="B111" s="111">
        <v>33700.0</v>
      </c>
      <c r="C111" s="65">
        <f t="shared" si="326"/>
        <v>33700</v>
      </c>
      <c r="D111" s="66">
        <f t="shared" si="294"/>
        <v>30360.36036</v>
      </c>
      <c r="E111" s="124">
        <v>1.0</v>
      </c>
      <c r="F111" s="66">
        <f t="shared" si="295"/>
        <v>4990</v>
      </c>
      <c r="G111" s="66">
        <f t="shared" si="296"/>
        <v>2994</v>
      </c>
      <c r="H111" s="66">
        <f t="shared" si="297"/>
        <v>2245.5</v>
      </c>
      <c r="I111" s="66">
        <f t="shared" si="298"/>
        <v>0</v>
      </c>
      <c r="J111" s="68">
        <v>1250.0</v>
      </c>
      <c r="K111" s="66">
        <f t="shared" si="299"/>
        <v>1518.018018</v>
      </c>
      <c r="L111" s="69">
        <f t="shared" si="300"/>
        <v>43357.87838</v>
      </c>
      <c r="M111" s="70">
        <f t="shared" si="301"/>
        <v>0.0355261523</v>
      </c>
      <c r="N111" s="71">
        <f t="shared" si="302"/>
        <v>1597.076577</v>
      </c>
      <c r="O111" s="66">
        <f t="shared" si="303"/>
        <v>44954.95495</v>
      </c>
      <c r="P111" s="78">
        <v>49900.0</v>
      </c>
      <c r="Q111" s="73">
        <f t="shared" si="304"/>
        <v>49900</v>
      </c>
      <c r="R111" s="74"/>
      <c r="S111" s="75"/>
      <c r="T111" s="66">
        <f t="shared" si="305"/>
        <v>0</v>
      </c>
      <c r="U111" s="66">
        <f t="shared" si="306"/>
        <v>0</v>
      </c>
      <c r="V111" s="66">
        <f t="shared" si="307"/>
        <v>0</v>
      </c>
      <c r="W111" s="66">
        <f t="shared" si="308"/>
        <v>0</v>
      </c>
      <c r="X111" s="68">
        <v>1250.0</v>
      </c>
      <c r="Y111" s="66">
        <f t="shared" si="309"/>
        <v>0</v>
      </c>
      <c r="Z111" s="69">
        <f t="shared" si="310"/>
        <v>1250</v>
      </c>
      <c r="AA111" s="70" t="str">
        <f t="shared" si="311"/>
        <v>#DIV/0!</v>
      </c>
      <c r="AB111" s="71">
        <f t="shared" si="312"/>
        <v>-1250</v>
      </c>
      <c r="AC111" s="66">
        <f t="shared" si="313"/>
        <v>0</v>
      </c>
      <c r="AD111" s="78"/>
      <c r="AE111" s="73" t="str">
        <f t="shared" si="314"/>
        <v>#DIV/0!</v>
      </c>
      <c r="AF111" s="76"/>
      <c r="AG111" s="75"/>
      <c r="AH111" s="66">
        <f t="shared" si="315"/>
        <v>0</v>
      </c>
      <c r="AI111" s="66">
        <f t="shared" si="316"/>
        <v>0</v>
      </c>
      <c r="AJ111" s="66">
        <f t="shared" si="317"/>
        <v>0</v>
      </c>
      <c r="AK111" s="66">
        <f t="shared" si="318"/>
        <v>0</v>
      </c>
      <c r="AL111" s="68">
        <v>1250.0</v>
      </c>
      <c r="AM111" s="66">
        <f t="shared" si="319"/>
        <v>0</v>
      </c>
      <c r="AN111" s="69">
        <f t="shared" si="320"/>
        <v>1250</v>
      </c>
      <c r="AO111" s="70" t="str">
        <f t="shared" si="321"/>
        <v>#DIV/0!</v>
      </c>
      <c r="AP111" s="71">
        <f t="shared" si="322"/>
        <v>-1250</v>
      </c>
      <c r="AQ111" s="66">
        <f t="shared" si="323"/>
        <v>0</v>
      </c>
      <c r="AR111" s="78"/>
      <c r="AS111" s="73" t="str">
        <f t="shared" si="324"/>
        <v>#DIV/0!</v>
      </c>
    </row>
    <row r="112">
      <c r="A112" s="150" t="s">
        <v>136</v>
      </c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140"/>
      <c r="S112" s="94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76"/>
      <c r="AG112" s="141"/>
      <c r="AH112" s="141"/>
      <c r="AI112" s="141"/>
      <c r="AJ112" s="141"/>
      <c r="AK112" s="141"/>
      <c r="AL112" s="141"/>
      <c r="AM112" s="141"/>
      <c r="AN112" s="141"/>
      <c r="AO112" s="141"/>
      <c r="AP112" s="141"/>
      <c r="AQ112" s="141"/>
      <c r="AR112" s="141"/>
      <c r="AS112" s="141"/>
      <c r="AT112" s="141"/>
      <c r="AU112" s="141"/>
      <c r="AV112" s="141"/>
      <c r="AW112" s="141"/>
      <c r="AX112" s="141"/>
      <c r="AY112" s="141"/>
      <c r="AZ112" s="141"/>
      <c r="BA112" s="141"/>
      <c r="BB112" s="141"/>
      <c r="BC112" s="141"/>
    </row>
    <row r="113">
      <c r="A113" s="106" t="s">
        <v>137</v>
      </c>
      <c r="B113" s="66">
        <f>B94*5+B13</f>
        <v>20700</v>
      </c>
      <c r="C113" s="65">
        <f t="shared" ref="C113:C116" si="327">B113*$C$4</f>
        <v>18630</v>
      </c>
      <c r="D113" s="66">
        <f t="shared" ref="D113:D116" si="328">C113/$D$4</f>
        <v>16783.78378</v>
      </c>
      <c r="E113" s="124">
        <v>1.0</v>
      </c>
      <c r="F113" s="66">
        <f t="shared" ref="F113:F117" si="329">P113*$F$3</f>
        <v>2990</v>
      </c>
      <c r="G113" s="66">
        <f t="shared" ref="G113:G117" si="330">P113*$G$3</f>
        <v>1794</v>
      </c>
      <c r="H113" s="66">
        <f t="shared" ref="H113:H117" si="331">P113*$H$3</f>
        <v>1345.5</v>
      </c>
      <c r="I113" s="66">
        <f t="shared" ref="I113:I117" si="332">P113*$I$3</f>
        <v>0</v>
      </c>
      <c r="J113" s="68">
        <v>1250.0</v>
      </c>
      <c r="K113" s="66">
        <f t="shared" ref="K113:K117" si="333">D113*$K$3</f>
        <v>839.1891892</v>
      </c>
      <c r="L113" s="69">
        <f t="shared" ref="L113:L117" si="334">(D113*E113)+F113+G113+H113+I113+J113+K113</f>
        <v>25002.47297</v>
      </c>
      <c r="M113" s="70">
        <f t="shared" ref="M113:M117" si="335">N113/O113</f>
        <v>0.07181454849</v>
      </c>
      <c r="N113" s="71">
        <f t="shared" ref="N113:N117" si="336">O113-L113</f>
        <v>1934.463964</v>
      </c>
      <c r="O113" s="66">
        <f t="shared" ref="O113:O117" si="337">P113/$O$4</f>
        <v>26936.93694</v>
      </c>
      <c r="P113" s="78">
        <v>29900.0</v>
      </c>
      <c r="Q113" s="73">
        <f t="shared" ref="Q113:Q117" si="338">P113/E113</f>
        <v>29900</v>
      </c>
      <c r="R113" s="74"/>
      <c r="S113" s="75"/>
      <c r="T113" s="66">
        <f t="shared" ref="T113:T115" si="339">AD113*$T$3</f>
        <v>0</v>
      </c>
      <c r="U113" s="66">
        <f t="shared" ref="U113:U115" si="340">AD113*$U$3</f>
        <v>0</v>
      </c>
      <c r="V113" s="66">
        <f t="shared" ref="V113:V115" si="341">AD113*$V$3</f>
        <v>0</v>
      </c>
      <c r="W113" s="66">
        <f t="shared" ref="W113:W115" si="342">AD113*$W$3</f>
        <v>0</v>
      </c>
      <c r="X113" s="68">
        <v>1250.0</v>
      </c>
      <c r="Y113" s="66">
        <f t="shared" ref="Y113:Y115" si="343">R113*$Y$3</f>
        <v>0</v>
      </c>
      <c r="Z113" s="69">
        <f t="shared" ref="Z113:Z115" si="344">(D113*S113)+T113+U113+V113+W113+X113+Y113</f>
        <v>1250</v>
      </c>
      <c r="AA113" s="70" t="str">
        <f t="shared" ref="AA113:AA115" si="345">AB113/AC113</f>
        <v>#DIV/0!</v>
      </c>
      <c r="AB113" s="71">
        <f t="shared" ref="AB113:AB115" si="346">AC113-Z113</f>
        <v>-1250</v>
      </c>
      <c r="AC113" s="66">
        <f t="shared" ref="AC113:AC115" si="347">AD113/$O$4</f>
        <v>0</v>
      </c>
      <c r="AD113" s="78"/>
      <c r="AE113" s="73" t="str">
        <f t="shared" ref="AE113:AE115" si="348">AD113/S113</f>
        <v>#DIV/0!</v>
      </c>
      <c r="AF113" s="76"/>
      <c r="AG113" s="75"/>
      <c r="AH113" s="66">
        <f t="shared" ref="AH113:AH115" si="349">AR113*$AH$3</f>
        <v>0</v>
      </c>
      <c r="AI113" s="66">
        <f t="shared" ref="AI113:AI115" si="350">AR113*$AI$3</f>
        <v>0</v>
      </c>
      <c r="AJ113" s="66">
        <f t="shared" ref="AJ113:AJ115" si="351">AR113*$AJ$3</f>
        <v>0</v>
      </c>
      <c r="AK113" s="66">
        <f t="shared" ref="AK113:AK115" si="352">AR113*$AK$3</f>
        <v>0</v>
      </c>
      <c r="AL113" s="68">
        <v>1250.0</v>
      </c>
      <c r="AM113" s="66">
        <f t="shared" ref="AM113:AM115" si="353">AF113*$AM$3</f>
        <v>0</v>
      </c>
      <c r="AN113" s="69">
        <f t="shared" ref="AN113:AN115" si="354">(R113*AG113)+AH113+AI113+AJ113+AK113+AL113+AM113</f>
        <v>1250</v>
      </c>
      <c r="AO113" s="70" t="str">
        <f t="shared" ref="AO113:AO115" si="355">AP113/AQ113</f>
        <v>#DIV/0!</v>
      </c>
      <c r="AP113" s="71">
        <f t="shared" ref="AP113:AP115" si="356">AQ113-AN113</f>
        <v>-1250</v>
      </c>
      <c r="AQ113" s="66">
        <f t="shared" ref="AQ113:AQ115" si="357">AR113/$O$4</f>
        <v>0</v>
      </c>
      <c r="AR113" s="78"/>
      <c r="AS113" s="73" t="str">
        <f t="shared" ref="AS113:AS115" si="358">AR113/AG113</f>
        <v>#DIV/0!</v>
      </c>
    </row>
    <row r="114">
      <c r="A114" s="104" t="s">
        <v>138</v>
      </c>
      <c r="B114" s="66">
        <f>B99*5+B13</f>
        <v>33200</v>
      </c>
      <c r="C114" s="65">
        <f t="shared" si="327"/>
        <v>29880</v>
      </c>
      <c r="D114" s="66">
        <f t="shared" si="328"/>
        <v>26918.91892</v>
      </c>
      <c r="E114" s="124">
        <v>1.0</v>
      </c>
      <c r="F114" s="66">
        <f t="shared" si="329"/>
        <v>4450</v>
      </c>
      <c r="G114" s="66">
        <f t="shared" si="330"/>
        <v>2670</v>
      </c>
      <c r="H114" s="66">
        <f t="shared" si="331"/>
        <v>2002.5</v>
      </c>
      <c r="I114" s="66">
        <f t="shared" si="332"/>
        <v>0</v>
      </c>
      <c r="J114" s="68">
        <v>1250.0</v>
      </c>
      <c r="K114" s="66">
        <f t="shared" si="333"/>
        <v>1345.945946</v>
      </c>
      <c r="L114" s="69">
        <f t="shared" si="334"/>
        <v>38637.36486</v>
      </c>
      <c r="M114" s="70">
        <f t="shared" si="335"/>
        <v>0.03623651685</v>
      </c>
      <c r="N114" s="71">
        <f t="shared" si="336"/>
        <v>1452.725225</v>
      </c>
      <c r="O114" s="66">
        <f t="shared" si="337"/>
        <v>40090.09009</v>
      </c>
      <c r="P114" s="78">
        <v>44500.0</v>
      </c>
      <c r="Q114" s="73">
        <f t="shared" si="338"/>
        <v>44500</v>
      </c>
      <c r="R114" s="74"/>
      <c r="S114" s="75"/>
      <c r="T114" s="66">
        <f t="shared" si="339"/>
        <v>0</v>
      </c>
      <c r="U114" s="66">
        <f t="shared" si="340"/>
        <v>0</v>
      </c>
      <c r="V114" s="66">
        <f t="shared" si="341"/>
        <v>0</v>
      </c>
      <c r="W114" s="66">
        <f t="shared" si="342"/>
        <v>0</v>
      </c>
      <c r="X114" s="68">
        <v>1250.0</v>
      </c>
      <c r="Y114" s="66">
        <f t="shared" si="343"/>
        <v>0</v>
      </c>
      <c r="Z114" s="69">
        <f t="shared" si="344"/>
        <v>1250</v>
      </c>
      <c r="AA114" s="70" t="str">
        <f t="shared" si="345"/>
        <v>#DIV/0!</v>
      </c>
      <c r="AB114" s="71">
        <f t="shared" si="346"/>
        <v>-1250</v>
      </c>
      <c r="AC114" s="66">
        <f t="shared" si="347"/>
        <v>0</v>
      </c>
      <c r="AD114" s="78"/>
      <c r="AE114" s="73" t="str">
        <f t="shared" si="348"/>
        <v>#DIV/0!</v>
      </c>
      <c r="AF114" s="76"/>
      <c r="AG114" s="75"/>
      <c r="AH114" s="66">
        <f t="shared" si="349"/>
        <v>0</v>
      </c>
      <c r="AI114" s="66">
        <f t="shared" si="350"/>
        <v>0</v>
      </c>
      <c r="AJ114" s="66">
        <f t="shared" si="351"/>
        <v>0</v>
      </c>
      <c r="AK114" s="66">
        <f t="shared" si="352"/>
        <v>0</v>
      </c>
      <c r="AL114" s="68">
        <v>1250.0</v>
      </c>
      <c r="AM114" s="66">
        <f t="shared" si="353"/>
        <v>0</v>
      </c>
      <c r="AN114" s="69">
        <f t="shared" si="354"/>
        <v>1250</v>
      </c>
      <c r="AO114" s="70" t="str">
        <f t="shared" si="355"/>
        <v>#DIV/0!</v>
      </c>
      <c r="AP114" s="71">
        <f t="shared" si="356"/>
        <v>-1250</v>
      </c>
      <c r="AQ114" s="66">
        <f t="shared" si="357"/>
        <v>0</v>
      </c>
      <c r="AR114" s="78"/>
      <c r="AS114" s="73" t="str">
        <f t="shared" si="358"/>
        <v>#DIV/0!</v>
      </c>
    </row>
    <row r="115">
      <c r="A115" s="104" t="s">
        <v>139</v>
      </c>
      <c r="B115" s="66">
        <f>B100*4+B13</f>
        <v>39700</v>
      </c>
      <c r="C115" s="65">
        <f t="shared" si="327"/>
        <v>35730</v>
      </c>
      <c r="D115" s="66">
        <f t="shared" si="328"/>
        <v>32189.18919</v>
      </c>
      <c r="E115" s="124">
        <v>1.0</v>
      </c>
      <c r="F115" s="66">
        <f t="shared" si="329"/>
        <v>5200</v>
      </c>
      <c r="G115" s="66">
        <f t="shared" si="330"/>
        <v>3120</v>
      </c>
      <c r="H115" s="66">
        <f t="shared" si="331"/>
        <v>2340</v>
      </c>
      <c r="I115" s="66">
        <f t="shared" si="332"/>
        <v>0</v>
      </c>
      <c r="J115" s="68">
        <v>1250.0</v>
      </c>
      <c r="K115" s="66">
        <f t="shared" si="333"/>
        <v>1609.459459</v>
      </c>
      <c r="L115" s="69">
        <f t="shared" si="334"/>
        <v>45708.64865</v>
      </c>
      <c r="M115" s="70">
        <f t="shared" si="335"/>
        <v>0.02429615385</v>
      </c>
      <c r="N115" s="71">
        <f t="shared" si="336"/>
        <v>1138.198198</v>
      </c>
      <c r="O115" s="66">
        <f t="shared" si="337"/>
        <v>46846.84685</v>
      </c>
      <c r="P115" s="78">
        <v>52000.0</v>
      </c>
      <c r="Q115" s="73">
        <f t="shared" si="338"/>
        <v>52000</v>
      </c>
      <c r="R115" s="74"/>
      <c r="S115" s="75"/>
      <c r="T115" s="66">
        <f t="shared" si="339"/>
        <v>0</v>
      </c>
      <c r="U115" s="66">
        <f t="shared" si="340"/>
        <v>0</v>
      </c>
      <c r="V115" s="66">
        <f t="shared" si="341"/>
        <v>0</v>
      </c>
      <c r="W115" s="66">
        <f t="shared" si="342"/>
        <v>0</v>
      </c>
      <c r="X115" s="68">
        <v>1250.0</v>
      </c>
      <c r="Y115" s="66">
        <f t="shared" si="343"/>
        <v>0</v>
      </c>
      <c r="Z115" s="69">
        <f t="shared" si="344"/>
        <v>1250</v>
      </c>
      <c r="AA115" s="70" t="str">
        <f t="shared" si="345"/>
        <v>#DIV/0!</v>
      </c>
      <c r="AB115" s="71">
        <f t="shared" si="346"/>
        <v>-1250</v>
      </c>
      <c r="AC115" s="66">
        <f t="shared" si="347"/>
        <v>0</v>
      </c>
      <c r="AD115" s="78"/>
      <c r="AE115" s="73" t="str">
        <f t="shared" si="348"/>
        <v>#DIV/0!</v>
      </c>
      <c r="AF115" s="76"/>
      <c r="AG115" s="75"/>
      <c r="AH115" s="66">
        <f t="shared" si="349"/>
        <v>0</v>
      </c>
      <c r="AI115" s="66">
        <f t="shared" si="350"/>
        <v>0</v>
      </c>
      <c r="AJ115" s="66">
        <f t="shared" si="351"/>
        <v>0</v>
      </c>
      <c r="AK115" s="66">
        <f t="shared" si="352"/>
        <v>0</v>
      </c>
      <c r="AL115" s="68">
        <v>1250.0</v>
      </c>
      <c r="AM115" s="66">
        <f t="shared" si="353"/>
        <v>0</v>
      </c>
      <c r="AN115" s="69">
        <f t="shared" si="354"/>
        <v>1250</v>
      </c>
      <c r="AO115" s="70" t="str">
        <f t="shared" si="355"/>
        <v>#DIV/0!</v>
      </c>
      <c r="AP115" s="71">
        <f t="shared" si="356"/>
        <v>-1250</v>
      </c>
      <c r="AQ115" s="66">
        <f t="shared" si="357"/>
        <v>0</v>
      </c>
      <c r="AR115" s="78"/>
      <c r="AS115" s="73" t="str">
        <f t="shared" si="358"/>
        <v>#DIV/0!</v>
      </c>
    </row>
    <row r="116">
      <c r="A116" s="105"/>
      <c r="C116" s="65">
        <f t="shared" si="327"/>
        <v>0</v>
      </c>
      <c r="D116" s="66">
        <f t="shared" si="328"/>
        <v>0</v>
      </c>
      <c r="E116" s="151"/>
      <c r="F116" s="66">
        <f t="shared" si="329"/>
        <v>0</v>
      </c>
      <c r="G116" s="66">
        <f t="shared" si="330"/>
        <v>0</v>
      </c>
      <c r="H116" s="66">
        <f t="shared" si="331"/>
        <v>0</v>
      </c>
      <c r="I116" s="66">
        <f t="shared" si="332"/>
        <v>0</v>
      </c>
      <c r="J116" s="68">
        <v>1250.0</v>
      </c>
      <c r="K116" s="66">
        <f t="shared" si="333"/>
        <v>0</v>
      </c>
      <c r="L116" s="69">
        <f t="shared" si="334"/>
        <v>1250</v>
      </c>
      <c r="M116" s="70" t="str">
        <f t="shared" si="335"/>
        <v>#DIV/0!</v>
      </c>
      <c r="N116" s="71">
        <f t="shared" si="336"/>
        <v>-1250</v>
      </c>
      <c r="O116" s="66">
        <f t="shared" si="337"/>
        <v>0</v>
      </c>
      <c r="P116" s="152"/>
      <c r="Q116" s="73" t="str">
        <f t="shared" si="338"/>
        <v>#DIV/0!</v>
      </c>
      <c r="R116" s="74"/>
      <c r="S116" s="112"/>
      <c r="AF116" s="76"/>
    </row>
    <row r="117">
      <c r="A117" s="153"/>
      <c r="C117" s="133"/>
      <c r="D117" s="123"/>
      <c r="E117" s="124"/>
      <c r="F117" s="66">
        <f t="shared" si="329"/>
        <v>0</v>
      </c>
      <c r="G117" s="66">
        <f t="shared" si="330"/>
        <v>0</v>
      </c>
      <c r="H117" s="66">
        <f t="shared" si="331"/>
        <v>0</v>
      </c>
      <c r="I117" s="66">
        <f t="shared" si="332"/>
        <v>0</v>
      </c>
      <c r="J117" s="68">
        <v>1250.0</v>
      </c>
      <c r="K117" s="66">
        <f t="shared" si="333"/>
        <v>0</v>
      </c>
      <c r="L117" s="69">
        <f t="shared" si="334"/>
        <v>1250</v>
      </c>
      <c r="M117" s="70" t="str">
        <f t="shared" si="335"/>
        <v>#DIV/0!</v>
      </c>
      <c r="N117" s="71">
        <f t="shared" si="336"/>
        <v>-1250</v>
      </c>
      <c r="O117" s="66">
        <f t="shared" si="337"/>
        <v>0</v>
      </c>
      <c r="P117" s="152"/>
      <c r="Q117" s="73" t="str">
        <f t="shared" si="338"/>
        <v>#DIV/0!</v>
      </c>
      <c r="R117" s="74"/>
      <c r="S117" s="112"/>
      <c r="AF117" s="76"/>
    </row>
    <row r="118">
      <c r="A118" s="154" t="s">
        <v>140</v>
      </c>
      <c r="B118" s="141"/>
      <c r="C118" s="155">
        <f t="shared" ref="C118:C124" si="359">B118*$C$4</f>
        <v>0</v>
      </c>
      <c r="D118" s="156"/>
      <c r="E118" s="157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74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76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A118" s="141"/>
      <c r="BB118" s="141"/>
      <c r="BC118" s="141"/>
    </row>
    <row r="119">
      <c r="A119" s="104" t="s">
        <v>141</v>
      </c>
      <c r="B119" s="65">
        <v>1900.0</v>
      </c>
      <c r="C119" s="65">
        <f t="shared" si="359"/>
        <v>1710</v>
      </c>
      <c r="D119" s="66">
        <f t="shared" ref="D119:D124" si="360">C119/$D$4</f>
        <v>1540.540541</v>
      </c>
      <c r="E119" s="124">
        <v>1.0</v>
      </c>
      <c r="F119" s="66">
        <f t="shared" ref="F119:F124" si="361">P119*$F$3</f>
        <v>900</v>
      </c>
      <c r="G119" s="66">
        <f t="shared" ref="G119:G124" si="362">P119*$G$3</f>
        <v>540</v>
      </c>
      <c r="H119" s="66">
        <f t="shared" ref="H119:H124" si="363">P119*$H$3</f>
        <v>405</v>
      </c>
      <c r="I119" s="66">
        <f t="shared" ref="I119:I124" si="364">P119*$I$3</f>
        <v>0</v>
      </c>
      <c r="J119" s="68">
        <v>1250.0</v>
      </c>
      <c r="K119" s="66">
        <f t="shared" ref="K119:K124" si="365">D119*$K$3</f>
        <v>77.02702703</v>
      </c>
      <c r="L119" s="69">
        <f t="shared" ref="L119:L124" si="366">(D119*E119)+F119+G119+H119+I119+J119+K119</f>
        <v>4712.567568</v>
      </c>
      <c r="M119" s="70">
        <f t="shared" ref="M119:M124" si="367">N119/O119</f>
        <v>0.4187833333</v>
      </c>
      <c r="N119" s="71">
        <f t="shared" ref="N119:N124" si="368">O119-L119</f>
        <v>3395.540541</v>
      </c>
      <c r="O119" s="66">
        <f t="shared" ref="O119:O124" si="369">P119/$O$4</f>
        <v>8108.108108</v>
      </c>
      <c r="P119" s="78">
        <v>9000.0</v>
      </c>
      <c r="Q119" s="73">
        <f t="shared" ref="Q119:Q124" si="370">P119/E119</f>
        <v>9000</v>
      </c>
      <c r="R119" s="74"/>
      <c r="S119" s="112"/>
      <c r="AF119" s="76"/>
    </row>
    <row r="120">
      <c r="A120" s="104" t="s">
        <v>142</v>
      </c>
      <c r="B120" s="65">
        <v>2800.0</v>
      </c>
      <c r="C120" s="65">
        <f t="shared" si="359"/>
        <v>2520</v>
      </c>
      <c r="D120" s="66">
        <f t="shared" si="360"/>
        <v>2270.27027</v>
      </c>
      <c r="E120" s="124">
        <v>1.0</v>
      </c>
      <c r="F120" s="66">
        <f t="shared" si="361"/>
        <v>1200</v>
      </c>
      <c r="G120" s="66">
        <f t="shared" si="362"/>
        <v>720</v>
      </c>
      <c r="H120" s="66">
        <f t="shared" si="363"/>
        <v>540</v>
      </c>
      <c r="I120" s="66">
        <f t="shared" si="364"/>
        <v>0</v>
      </c>
      <c r="J120" s="68">
        <v>1250.0</v>
      </c>
      <c r="K120" s="66">
        <f t="shared" si="365"/>
        <v>113.5135135</v>
      </c>
      <c r="L120" s="69">
        <f t="shared" si="366"/>
        <v>6093.783784</v>
      </c>
      <c r="M120" s="70">
        <f t="shared" si="367"/>
        <v>0.436325</v>
      </c>
      <c r="N120" s="71">
        <f t="shared" si="368"/>
        <v>4717.027027</v>
      </c>
      <c r="O120" s="66">
        <f t="shared" si="369"/>
        <v>10810.81081</v>
      </c>
      <c r="P120" s="78">
        <v>12000.0</v>
      </c>
      <c r="Q120" s="73">
        <f t="shared" si="370"/>
        <v>12000</v>
      </c>
      <c r="R120" s="74"/>
      <c r="S120" s="112"/>
      <c r="AF120" s="76"/>
    </row>
    <row r="121">
      <c r="A121" s="104" t="s">
        <v>143</v>
      </c>
      <c r="B121" s="65">
        <v>6840.0</v>
      </c>
      <c r="C121" s="65">
        <f t="shared" si="359"/>
        <v>6156</v>
      </c>
      <c r="D121" s="66">
        <f t="shared" si="360"/>
        <v>5545.945946</v>
      </c>
      <c r="E121" s="124">
        <v>1.0</v>
      </c>
      <c r="F121" s="66">
        <f t="shared" si="361"/>
        <v>2300</v>
      </c>
      <c r="G121" s="66">
        <f t="shared" si="362"/>
        <v>1380</v>
      </c>
      <c r="H121" s="66">
        <f t="shared" si="363"/>
        <v>1035</v>
      </c>
      <c r="I121" s="66">
        <f t="shared" si="364"/>
        <v>0</v>
      </c>
      <c r="J121" s="68">
        <v>1250.0</v>
      </c>
      <c r="K121" s="66">
        <f t="shared" si="365"/>
        <v>277.2972973</v>
      </c>
      <c r="L121" s="69">
        <f t="shared" si="366"/>
        <v>11788.24324</v>
      </c>
      <c r="M121" s="70">
        <f t="shared" si="367"/>
        <v>0.4310891304</v>
      </c>
      <c r="N121" s="71">
        <f t="shared" si="368"/>
        <v>8932.477477</v>
      </c>
      <c r="O121" s="66">
        <f t="shared" si="369"/>
        <v>20720.72072</v>
      </c>
      <c r="P121" s="78">
        <v>23000.0</v>
      </c>
      <c r="Q121" s="73">
        <f t="shared" si="370"/>
        <v>23000</v>
      </c>
      <c r="R121" s="74"/>
      <c r="S121" s="112"/>
      <c r="AF121" s="76"/>
    </row>
    <row r="122">
      <c r="A122" s="104" t="s">
        <v>144</v>
      </c>
      <c r="B122" s="65">
        <v>8400.0</v>
      </c>
      <c r="C122" s="65">
        <f t="shared" si="359"/>
        <v>7560</v>
      </c>
      <c r="D122" s="66">
        <f t="shared" si="360"/>
        <v>6810.810811</v>
      </c>
      <c r="E122" s="124">
        <v>1.0</v>
      </c>
      <c r="F122" s="66">
        <f t="shared" si="361"/>
        <v>3000</v>
      </c>
      <c r="G122" s="66">
        <f t="shared" si="362"/>
        <v>1800</v>
      </c>
      <c r="H122" s="66">
        <f t="shared" si="363"/>
        <v>1350</v>
      </c>
      <c r="I122" s="66">
        <f t="shared" si="364"/>
        <v>0</v>
      </c>
      <c r="J122" s="68">
        <v>1250.0</v>
      </c>
      <c r="K122" s="66">
        <f t="shared" si="365"/>
        <v>340.5405405</v>
      </c>
      <c r="L122" s="69">
        <f t="shared" si="366"/>
        <v>14551.35135</v>
      </c>
      <c r="M122" s="70">
        <f t="shared" si="367"/>
        <v>0.4616</v>
      </c>
      <c r="N122" s="71">
        <f t="shared" si="368"/>
        <v>12475.67568</v>
      </c>
      <c r="O122" s="66">
        <f t="shared" si="369"/>
        <v>27027.02703</v>
      </c>
      <c r="P122" s="78">
        <v>30000.0</v>
      </c>
      <c r="Q122" s="73">
        <f t="shared" si="370"/>
        <v>30000</v>
      </c>
      <c r="R122" s="74"/>
      <c r="S122" s="112"/>
      <c r="AF122" s="76"/>
    </row>
    <row r="123">
      <c r="A123" s="104" t="s">
        <v>145</v>
      </c>
      <c r="B123" s="65">
        <v>9940.0</v>
      </c>
      <c r="C123" s="65">
        <f t="shared" si="359"/>
        <v>8946</v>
      </c>
      <c r="D123" s="66">
        <f t="shared" si="360"/>
        <v>8059.459459</v>
      </c>
      <c r="E123" s="124">
        <v>1.0</v>
      </c>
      <c r="F123" s="66">
        <f t="shared" si="361"/>
        <v>1450</v>
      </c>
      <c r="G123" s="66">
        <f t="shared" si="362"/>
        <v>870</v>
      </c>
      <c r="H123" s="66">
        <f t="shared" si="363"/>
        <v>652.5</v>
      </c>
      <c r="I123" s="66">
        <f t="shared" si="364"/>
        <v>0</v>
      </c>
      <c r="J123" s="68">
        <v>1250.0</v>
      </c>
      <c r="K123" s="66">
        <f t="shared" si="365"/>
        <v>402.972973</v>
      </c>
      <c r="L123" s="69">
        <f t="shared" si="366"/>
        <v>12684.93243</v>
      </c>
      <c r="M123" s="70">
        <f t="shared" si="367"/>
        <v>0.02894655172</v>
      </c>
      <c r="N123" s="71">
        <f t="shared" si="368"/>
        <v>378.1306306</v>
      </c>
      <c r="O123" s="66">
        <f t="shared" si="369"/>
        <v>13063.06306</v>
      </c>
      <c r="P123" s="78">
        <v>14500.0</v>
      </c>
      <c r="Q123" s="73">
        <f t="shared" si="370"/>
        <v>14500</v>
      </c>
      <c r="R123" s="74"/>
      <c r="S123" s="112"/>
      <c r="AF123" s="76"/>
    </row>
    <row r="124">
      <c r="A124" s="104" t="s">
        <v>146</v>
      </c>
      <c r="B124" s="65">
        <v>27999.0</v>
      </c>
      <c r="C124" s="65">
        <f t="shared" si="359"/>
        <v>25199.1</v>
      </c>
      <c r="D124" s="66">
        <f t="shared" si="360"/>
        <v>22701.89189</v>
      </c>
      <c r="E124" s="124">
        <v>1.0</v>
      </c>
      <c r="F124" s="66">
        <f t="shared" si="361"/>
        <v>4300</v>
      </c>
      <c r="G124" s="66">
        <f t="shared" si="362"/>
        <v>2580</v>
      </c>
      <c r="H124" s="66">
        <f t="shared" si="363"/>
        <v>1935</v>
      </c>
      <c r="I124" s="66">
        <f t="shared" si="364"/>
        <v>0</v>
      </c>
      <c r="J124" s="68">
        <v>1250.0</v>
      </c>
      <c r="K124" s="66">
        <f t="shared" si="365"/>
        <v>1135.094595</v>
      </c>
      <c r="L124" s="69">
        <f t="shared" si="366"/>
        <v>33901.98649</v>
      </c>
      <c r="M124" s="70">
        <f t="shared" si="367"/>
        <v>0.1248556977</v>
      </c>
      <c r="N124" s="71">
        <f t="shared" si="368"/>
        <v>4836.752252</v>
      </c>
      <c r="O124" s="66">
        <f t="shared" si="369"/>
        <v>38738.73874</v>
      </c>
      <c r="P124" s="78">
        <v>43000.0</v>
      </c>
      <c r="Q124" s="73">
        <f t="shared" si="370"/>
        <v>43000</v>
      </c>
      <c r="R124" s="74"/>
      <c r="S124" s="112"/>
      <c r="AF124" s="76"/>
    </row>
    <row r="125">
      <c r="A125" s="153"/>
      <c r="C125" s="133"/>
      <c r="D125" s="123"/>
      <c r="E125" s="124"/>
      <c r="L125" s="125"/>
      <c r="N125" s="126"/>
      <c r="P125" s="127"/>
      <c r="Q125" s="128"/>
      <c r="R125" s="74"/>
      <c r="S125" s="112"/>
      <c r="AF125" s="76"/>
    </row>
    <row r="126" hidden="1">
      <c r="A126" s="153"/>
      <c r="C126" s="133"/>
      <c r="D126" s="123"/>
      <c r="E126" s="124"/>
      <c r="L126" s="125"/>
      <c r="N126" s="126"/>
      <c r="P126" s="127"/>
      <c r="Q126" s="128"/>
      <c r="R126" s="74"/>
      <c r="AF126" s="76"/>
    </row>
    <row r="127" hidden="1">
      <c r="A127" s="153"/>
      <c r="C127" s="133"/>
      <c r="D127" s="123"/>
      <c r="E127" s="124"/>
      <c r="L127" s="125"/>
      <c r="N127" s="126"/>
      <c r="P127" s="127"/>
      <c r="Q127" s="128"/>
      <c r="R127" s="74"/>
      <c r="AF127" s="76"/>
    </row>
    <row r="128" hidden="1">
      <c r="A128" s="153"/>
      <c r="C128" s="133"/>
      <c r="D128" s="123"/>
      <c r="E128" s="124"/>
      <c r="L128" s="125"/>
      <c r="N128" s="126"/>
      <c r="P128" s="127"/>
      <c r="Q128" s="128"/>
      <c r="R128" s="74"/>
      <c r="AF128" s="76"/>
    </row>
    <row r="129" hidden="1">
      <c r="A129" s="153"/>
      <c r="C129" s="133"/>
      <c r="D129" s="123"/>
      <c r="E129" s="124"/>
      <c r="L129" s="125"/>
      <c r="N129" s="126"/>
      <c r="P129" s="127"/>
      <c r="Q129" s="128"/>
      <c r="R129" s="74"/>
      <c r="AF129" s="76"/>
    </row>
    <row r="130" hidden="1">
      <c r="A130" s="153"/>
      <c r="C130" s="133"/>
      <c r="D130" s="123"/>
      <c r="E130" s="124"/>
      <c r="L130" s="125"/>
      <c r="N130" s="126"/>
      <c r="P130" s="127"/>
      <c r="Q130" s="128"/>
      <c r="R130" s="74"/>
      <c r="AF130" s="76"/>
    </row>
    <row r="131" hidden="1">
      <c r="A131" s="153"/>
      <c r="C131" s="133"/>
      <c r="D131" s="123"/>
      <c r="E131" s="124"/>
      <c r="L131" s="125"/>
      <c r="N131" s="126"/>
      <c r="P131" s="127"/>
      <c r="Q131" s="128"/>
      <c r="R131" s="74"/>
      <c r="AF131" s="76"/>
    </row>
    <row r="132">
      <c r="A132" s="187" t="s">
        <v>165</v>
      </c>
      <c r="B132" s="2" t="s">
        <v>1</v>
      </c>
      <c r="C132" s="158" t="s">
        <v>147</v>
      </c>
      <c r="D132" s="158" t="s">
        <v>147</v>
      </c>
      <c r="E132" s="3" t="s">
        <v>3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6"/>
      <c r="S132" s="7" t="s">
        <v>4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8"/>
      <c r="AG132" s="9" t="s">
        <v>5</v>
      </c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1"/>
      <c r="AU132" s="10"/>
      <c r="AV132" s="10"/>
      <c r="AW132" s="10"/>
      <c r="AX132" s="10"/>
      <c r="AY132" s="10"/>
      <c r="AZ132" s="10"/>
      <c r="BA132" s="10"/>
      <c r="BB132" s="10"/>
      <c r="BC132" s="12"/>
    </row>
    <row r="133">
      <c r="A133" s="13"/>
      <c r="B133" s="13"/>
      <c r="C133" s="14"/>
      <c r="D133" s="14"/>
      <c r="E133" s="15" t="s">
        <v>6</v>
      </c>
      <c r="F133" s="16" t="s">
        <v>7</v>
      </c>
      <c r="G133" s="4"/>
      <c r="H133" s="4"/>
      <c r="I133" s="5"/>
      <c r="J133" s="17" t="s">
        <v>8</v>
      </c>
      <c r="K133" s="17" t="s">
        <v>9</v>
      </c>
      <c r="L133" s="18" t="s">
        <v>10</v>
      </c>
      <c r="M133" s="19" t="s">
        <v>11</v>
      </c>
      <c r="N133" s="20" t="s">
        <v>12</v>
      </c>
      <c r="O133" s="3" t="s">
        <v>13</v>
      </c>
      <c r="P133" s="5"/>
      <c r="Q133" s="21" t="s">
        <v>14</v>
      </c>
      <c r="R133" s="22"/>
      <c r="S133" s="23" t="s">
        <v>15</v>
      </c>
      <c r="T133" s="24" t="s">
        <v>7</v>
      </c>
      <c r="U133" s="4"/>
      <c r="V133" s="4"/>
      <c r="W133" s="5"/>
      <c r="X133" s="25" t="s">
        <v>8</v>
      </c>
      <c r="Y133" s="25" t="s">
        <v>9</v>
      </c>
      <c r="Z133" s="26" t="s">
        <v>10</v>
      </c>
      <c r="AA133" s="37" t="s">
        <v>148</v>
      </c>
      <c r="AB133" s="28" t="s">
        <v>12</v>
      </c>
      <c r="AC133" s="29" t="s">
        <v>17</v>
      </c>
      <c r="AD133" s="5"/>
      <c r="AE133" s="159" t="s">
        <v>18</v>
      </c>
      <c r="AF133" s="31"/>
      <c r="AG133" s="32" t="s">
        <v>19</v>
      </c>
      <c r="AH133" s="24" t="s">
        <v>7</v>
      </c>
      <c r="AI133" s="4"/>
      <c r="AJ133" s="4"/>
      <c r="AK133" s="5"/>
      <c r="AL133" s="25" t="s">
        <v>8</v>
      </c>
      <c r="AM133" s="25" t="s">
        <v>9</v>
      </c>
      <c r="AN133" s="33" t="s">
        <v>10</v>
      </c>
      <c r="AO133" s="37" t="s">
        <v>148</v>
      </c>
      <c r="AP133" s="34" t="s">
        <v>12</v>
      </c>
      <c r="AQ133" s="35" t="s">
        <v>13</v>
      </c>
      <c r="AR133" s="5"/>
      <c r="AS133" s="160" t="s">
        <v>21</v>
      </c>
      <c r="AT133" s="32" t="s">
        <v>22</v>
      </c>
      <c r="AU133" s="25" t="s">
        <v>7</v>
      </c>
      <c r="AV133" s="25" t="s">
        <v>8</v>
      </c>
      <c r="AW133" s="25" t="s">
        <v>9</v>
      </c>
      <c r="AX133" s="33" t="s">
        <v>10</v>
      </c>
      <c r="AY133" s="37" t="s">
        <v>23</v>
      </c>
      <c r="AZ133" s="34" t="s">
        <v>12</v>
      </c>
      <c r="BA133" s="35" t="s">
        <v>13</v>
      </c>
      <c r="BB133" s="5"/>
      <c r="BC133" s="38" t="s">
        <v>24</v>
      </c>
    </row>
    <row r="134">
      <c r="A134" s="39"/>
      <c r="B134" s="40"/>
      <c r="C134" s="40" t="s">
        <v>25</v>
      </c>
      <c r="D134" s="40" t="s">
        <v>26</v>
      </c>
      <c r="E134" s="39"/>
      <c r="F134" s="41">
        <v>0.102</v>
      </c>
      <c r="G134" s="42">
        <v>0.06</v>
      </c>
      <c r="H134" s="41">
        <v>0.045</v>
      </c>
      <c r="I134" s="41"/>
      <c r="J134" s="43">
        <v>1250.0</v>
      </c>
      <c r="K134" s="42">
        <v>0.05</v>
      </c>
      <c r="L134" s="44" t="s">
        <v>26</v>
      </c>
      <c r="M134" s="41">
        <v>0.025</v>
      </c>
      <c r="N134" s="39"/>
      <c r="O134" s="44" t="s">
        <v>26</v>
      </c>
      <c r="P134" s="45" t="s">
        <v>27</v>
      </c>
      <c r="Q134" s="39"/>
      <c r="R134" s="46"/>
      <c r="S134" s="39"/>
      <c r="T134" s="41">
        <v>0.117</v>
      </c>
      <c r="U134" s="41">
        <v>0.06</v>
      </c>
      <c r="V134" s="41">
        <v>0.045</v>
      </c>
      <c r="W134" s="41">
        <v>0.018</v>
      </c>
      <c r="X134" s="47"/>
      <c r="Y134" s="42">
        <v>0.05</v>
      </c>
      <c r="Z134" s="48" t="s">
        <v>26</v>
      </c>
      <c r="AA134" s="39"/>
      <c r="AB134" s="39"/>
      <c r="AC134" s="49" t="s">
        <v>26</v>
      </c>
      <c r="AD134" s="50" t="s">
        <v>25</v>
      </c>
      <c r="AE134" s="51"/>
      <c r="AF134" s="31"/>
      <c r="AG134" s="39"/>
      <c r="AH134" s="41">
        <v>0.117</v>
      </c>
      <c r="AI134" s="41">
        <v>0.06</v>
      </c>
      <c r="AJ134" s="41">
        <v>0.045</v>
      </c>
      <c r="AK134" s="41">
        <v>0.018</v>
      </c>
      <c r="AL134" s="47"/>
      <c r="AM134" s="42">
        <v>0.05</v>
      </c>
      <c r="AN134" s="52" t="s">
        <v>26</v>
      </c>
      <c r="AO134" s="39"/>
      <c r="AP134" s="39"/>
      <c r="AQ134" s="53" t="s">
        <v>26</v>
      </c>
      <c r="AR134" s="54" t="s">
        <v>25</v>
      </c>
      <c r="AS134" s="51"/>
      <c r="AT134" s="39"/>
      <c r="AU134" s="55">
        <v>0.17</v>
      </c>
      <c r="AV134" s="47"/>
      <c r="AW134" s="55">
        <v>0.04</v>
      </c>
      <c r="AX134" s="52" t="s">
        <v>26</v>
      </c>
      <c r="AY134" s="39"/>
      <c r="AZ134" s="39"/>
      <c r="BA134" s="53" t="s">
        <v>26</v>
      </c>
      <c r="BB134" s="54" t="s">
        <v>25</v>
      </c>
      <c r="BC134" s="39"/>
    </row>
    <row r="135">
      <c r="A135" s="161" t="s">
        <v>149</v>
      </c>
      <c r="B135" s="162"/>
      <c r="C135" s="163"/>
      <c r="D135" s="164"/>
      <c r="E135" s="165"/>
      <c r="F135" s="164"/>
      <c r="G135" s="164"/>
      <c r="H135" s="164"/>
      <c r="I135" s="164"/>
      <c r="J135" s="166"/>
      <c r="K135" s="164"/>
      <c r="L135" s="164"/>
      <c r="M135" s="167"/>
      <c r="N135" s="164"/>
      <c r="O135" s="164"/>
      <c r="P135" s="166"/>
      <c r="Q135" s="164"/>
      <c r="R135" s="74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76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  <c r="AS135" s="162"/>
      <c r="AT135" s="162"/>
      <c r="AU135" s="162"/>
      <c r="AV135" s="162"/>
      <c r="AW135" s="162"/>
      <c r="AX135" s="162"/>
      <c r="AY135" s="162"/>
      <c r="AZ135" s="162"/>
      <c r="BA135" s="162"/>
      <c r="BB135" s="162"/>
      <c r="BC135" s="162"/>
    </row>
    <row r="136">
      <c r="A136" s="104" t="s">
        <v>150</v>
      </c>
      <c r="B136" s="68">
        <v>8000.0</v>
      </c>
      <c r="C136" s="65">
        <f t="shared" ref="C136:C139" si="371">B136*$C$4</f>
        <v>7200</v>
      </c>
      <c r="D136" s="66">
        <f t="shared" ref="D136:D139" si="372">C136/$D$4</f>
        <v>6486.486486</v>
      </c>
      <c r="E136" s="124">
        <v>1.0</v>
      </c>
      <c r="F136" s="66">
        <f t="shared" ref="F136:F139" si="373">P136*$F$134</f>
        <v>1377</v>
      </c>
      <c r="G136" s="66">
        <f t="shared" ref="G136:G139" si="374">P136*$G$134</f>
        <v>810</v>
      </c>
      <c r="H136" s="66">
        <f t="shared" ref="H136:H138" si="375">P136*$H$134</f>
        <v>607.5</v>
      </c>
      <c r="I136" s="66">
        <f t="shared" ref="I136:I139" si="376">P136*$I$134</f>
        <v>0</v>
      </c>
      <c r="J136" s="68">
        <v>1250.0</v>
      </c>
      <c r="K136" s="66">
        <f t="shared" ref="K136:K139" si="377">D136*$K$134</f>
        <v>324.3243243</v>
      </c>
      <c r="L136" s="69">
        <f t="shared" ref="L136:L139" si="378">(D136*E136)+F136+G136+H136+I136+J136+K136</f>
        <v>10855.31081</v>
      </c>
      <c r="M136" s="70">
        <f t="shared" ref="M136:M139" si="379">N136/O136</f>
        <v>0.1074522222</v>
      </c>
      <c r="N136" s="71">
        <f t="shared" ref="N136:N139" si="380">O136-L136</f>
        <v>1306.851351</v>
      </c>
      <c r="O136" s="66">
        <f t="shared" ref="O136:O139" si="381">P136/$O$4</f>
        <v>12162.16216</v>
      </c>
      <c r="P136" s="78">
        <v>13500.0</v>
      </c>
      <c r="Q136" s="73">
        <f t="shared" ref="Q136:Q139" si="382">P136/E136</f>
        <v>13500</v>
      </c>
      <c r="R136" s="74"/>
      <c r="S136" s="112"/>
      <c r="AF136" s="76"/>
    </row>
    <row r="137">
      <c r="A137" s="104" t="s">
        <v>151</v>
      </c>
      <c r="B137" s="68">
        <v>8000.0</v>
      </c>
      <c r="C137" s="65">
        <f t="shared" si="371"/>
        <v>7200</v>
      </c>
      <c r="D137" s="66">
        <f t="shared" si="372"/>
        <v>6486.486486</v>
      </c>
      <c r="E137" s="124">
        <v>1.0</v>
      </c>
      <c r="F137" s="66">
        <f t="shared" si="373"/>
        <v>1479</v>
      </c>
      <c r="G137" s="66">
        <f t="shared" si="374"/>
        <v>870</v>
      </c>
      <c r="H137" s="66">
        <f t="shared" si="375"/>
        <v>652.5</v>
      </c>
      <c r="I137" s="66">
        <f t="shared" si="376"/>
        <v>0</v>
      </c>
      <c r="J137" s="68">
        <v>1250.0</v>
      </c>
      <c r="K137" s="66">
        <f t="shared" si="377"/>
        <v>324.3243243</v>
      </c>
      <c r="L137" s="69">
        <f t="shared" si="378"/>
        <v>11062.31081</v>
      </c>
      <c r="M137" s="70">
        <f t="shared" si="379"/>
        <v>0.1531610345</v>
      </c>
      <c r="N137" s="71">
        <f t="shared" si="380"/>
        <v>2000.752252</v>
      </c>
      <c r="O137" s="66">
        <f t="shared" si="381"/>
        <v>13063.06306</v>
      </c>
      <c r="P137" s="78">
        <v>14500.0</v>
      </c>
      <c r="Q137" s="73">
        <f t="shared" si="382"/>
        <v>14500</v>
      </c>
      <c r="R137" s="74"/>
      <c r="S137" s="112"/>
      <c r="AF137" s="76"/>
    </row>
    <row r="138">
      <c r="A138" s="104" t="s">
        <v>152</v>
      </c>
      <c r="B138" s="66">
        <f>B137+B136</f>
        <v>16000</v>
      </c>
      <c r="C138" s="65">
        <f t="shared" si="371"/>
        <v>14400</v>
      </c>
      <c r="D138" s="66">
        <f t="shared" si="372"/>
        <v>12972.97297</v>
      </c>
      <c r="E138" s="134">
        <v>1.0</v>
      </c>
      <c r="F138" s="66">
        <f t="shared" si="373"/>
        <v>2631.6</v>
      </c>
      <c r="G138" s="66">
        <f t="shared" si="374"/>
        <v>1548</v>
      </c>
      <c r="H138" s="66">
        <f t="shared" si="375"/>
        <v>1161</v>
      </c>
      <c r="I138" s="66">
        <f t="shared" si="376"/>
        <v>0</v>
      </c>
      <c r="J138" s="68">
        <v>1250.0</v>
      </c>
      <c r="K138" s="66">
        <f t="shared" si="377"/>
        <v>648.6486486</v>
      </c>
      <c r="L138" s="69">
        <f t="shared" si="378"/>
        <v>20212.22162</v>
      </c>
      <c r="M138" s="70">
        <f t="shared" si="379"/>
        <v>0.1304044186</v>
      </c>
      <c r="N138" s="71">
        <f t="shared" si="380"/>
        <v>3031.021622</v>
      </c>
      <c r="O138" s="66">
        <f t="shared" si="381"/>
        <v>23243.24324</v>
      </c>
      <c r="P138" s="78">
        <v>25800.0</v>
      </c>
      <c r="Q138" s="73">
        <f t="shared" si="382"/>
        <v>25800</v>
      </c>
      <c r="R138" s="74"/>
      <c r="S138" s="112"/>
      <c r="AF138" s="76"/>
    </row>
    <row r="139">
      <c r="A139" s="105"/>
      <c r="C139" s="65">
        <f t="shared" si="371"/>
        <v>0</v>
      </c>
      <c r="D139" s="66">
        <f t="shared" si="372"/>
        <v>0</v>
      </c>
      <c r="E139" s="124">
        <v>1.0</v>
      </c>
      <c r="F139" s="66">
        <f t="shared" si="373"/>
        <v>0</v>
      </c>
      <c r="G139" s="66">
        <f t="shared" si="374"/>
        <v>0</v>
      </c>
      <c r="H139" s="66">
        <f>P139*$H$3</f>
        <v>0</v>
      </c>
      <c r="I139" s="66">
        <f t="shared" si="376"/>
        <v>0</v>
      </c>
      <c r="J139" s="68">
        <v>1250.0</v>
      </c>
      <c r="K139" s="66">
        <f t="shared" si="377"/>
        <v>0</v>
      </c>
      <c r="L139" s="69">
        <f t="shared" si="378"/>
        <v>1250</v>
      </c>
      <c r="M139" s="70" t="str">
        <f t="shared" si="379"/>
        <v>#DIV/0!</v>
      </c>
      <c r="N139" s="71">
        <f t="shared" si="380"/>
        <v>-1250</v>
      </c>
      <c r="O139" s="66">
        <f t="shared" si="381"/>
        <v>0</v>
      </c>
      <c r="P139" s="78"/>
      <c r="Q139" s="73">
        <f t="shared" si="382"/>
        <v>0</v>
      </c>
      <c r="R139" s="74"/>
      <c r="S139" s="112"/>
      <c r="AF139" s="76"/>
    </row>
    <row r="140">
      <c r="A140" s="187" t="s">
        <v>165</v>
      </c>
      <c r="B140" s="2" t="s">
        <v>1</v>
      </c>
      <c r="C140" s="158" t="s">
        <v>147</v>
      </c>
      <c r="D140" s="158" t="s">
        <v>147</v>
      </c>
      <c r="E140" s="3" t="s">
        <v>3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5"/>
      <c r="R140" s="6"/>
      <c r="S140" s="7" t="s">
        <v>4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8"/>
      <c r="AG140" s="9" t="s">
        <v>5</v>
      </c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1"/>
      <c r="AU140" s="10"/>
      <c r="AV140" s="10"/>
      <c r="AW140" s="10"/>
      <c r="AX140" s="10"/>
      <c r="AY140" s="10"/>
      <c r="AZ140" s="10"/>
      <c r="BA140" s="10"/>
      <c r="BB140" s="10"/>
      <c r="BC140" s="12"/>
    </row>
    <row r="141">
      <c r="A141" s="13"/>
      <c r="B141" s="13"/>
      <c r="C141" s="14"/>
      <c r="D141" s="14"/>
      <c r="E141" s="15" t="s">
        <v>6</v>
      </c>
      <c r="F141" s="16" t="s">
        <v>7</v>
      </c>
      <c r="G141" s="4"/>
      <c r="H141" s="4"/>
      <c r="I141" s="5"/>
      <c r="J141" s="17" t="s">
        <v>8</v>
      </c>
      <c r="K141" s="17" t="s">
        <v>9</v>
      </c>
      <c r="L141" s="18" t="s">
        <v>10</v>
      </c>
      <c r="M141" s="19" t="s">
        <v>11</v>
      </c>
      <c r="N141" s="20" t="s">
        <v>12</v>
      </c>
      <c r="O141" s="3" t="s">
        <v>13</v>
      </c>
      <c r="P141" s="5"/>
      <c r="Q141" s="21" t="s">
        <v>14</v>
      </c>
      <c r="R141" s="22"/>
      <c r="S141" s="23" t="s">
        <v>15</v>
      </c>
      <c r="T141" s="24" t="s">
        <v>7</v>
      </c>
      <c r="U141" s="4"/>
      <c r="V141" s="4"/>
      <c r="W141" s="5"/>
      <c r="X141" s="25" t="s">
        <v>8</v>
      </c>
      <c r="Y141" s="25" t="s">
        <v>9</v>
      </c>
      <c r="Z141" s="26" t="s">
        <v>10</v>
      </c>
      <c r="AA141" s="37" t="s">
        <v>148</v>
      </c>
      <c r="AB141" s="28" t="s">
        <v>12</v>
      </c>
      <c r="AC141" s="29" t="s">
        <v>17</v>
      </c>
      <c r="AD141" s="5"/>
      <c r="AE141" s="159" t="s">
        <v>18</v>
      </c>
      <c r="AF141" s="31"/>
      <c r="AG141" s="32" t="s">
        <v>19</v>
      </c>
      <c r="AH141" s="24" t="s">
        <v>7</v>
      </c>
      <c r="AI141" s="4"/>
      <c r="AJ141" s="4"/>
      <c r="AK141" s="5"/>
      <c r="AL141" s="25" t="s">
        <v>8</v>
      </c>
      <c r="AM141" s="25" t="s">
        <v>9</v>
      </c>
      <c r="AN141" s="33" t="s">
        <v>10</v>
      </c>
      <c r="AO141" s="37" t="s">
        <v>148</v>
      </c>
      <c r="AP141" s="34" t="s">
        <v>12</v>
      </c>
      <c r="AQ141" s="35" t="s">
        <v>13</v>
      </c>
      <c r="AR141" s="5"/>
      <c r="AS141" s="160" t="s">
        <v>21</v>
      </c>
      <c r="AT141" s="32" t="s">
        <v>22</v>
      </c>
      <c r="AU141" s="25" t="s">
        <v>7</v>
      </c>
      <c r="AV141" s="25" t="s">
        <v>8</v>
      </c>
      <c r="AW141" s="25" t="s">
        <v>9</v>
      </c>
      <c r="AX141" s="33" t="s">
        <v>10</v>
      </c>
      <c r="AY141" s="37" t="s">
        <v>23</v>
      </c>
      <c r="AZ141" s="34" t="s">
        <v>12</v>
      </c>
      <c r="BA141" s="35" t="s">
        <v>13</v>
      </c>
      <c r="BB141" s="5"/>
      <c r="BC141" s="38" t="s">
        <v>24</v>
      </c>
    </row>
    <row r="142">
      <c r="A142" s="39"/>
      <c r="B142" s="40"/>
      <c r="C142" s="40" t="s">
        <v>25</v>
      </c>
      <c r="D142" s="40" t="s">
        <v>26</v>
      </c>
      <c r="E142" s="39"/>
      <c r="F142" s="41">
        <v>0.077</v>
      </c>
      <c r="G142" s="42">
        <v>0.06</v>
      </c>
      <c r="H142" s="41">
        <v>0.045</v>
      </c>
      <c r="I142" s="41"/>
      <c r="J142" s="43">
        <v>1250.0</v>
      </c>
      <c r="K142" s="42">
        <v>0.05</v>
      </c>
      <c r="L142" s="44" t="s">
        <v>26</v>
      </c>
      <c r="M142" s="41">
        <v>0.025</v>
      </c>
      <c r="N142" s="39"/>
      <c r="O142" s="44" t="s">
        <v>26</v>
      </c>
      <c r="P142" s="45" t="s">
        <v>27</v>
      </c>
      <c r="Q142" s="39"/>
      <c r="R142" s="46"/>
      <c r="S142" s="39"/>
      <c r="T142" s="41">
        <v>0.117</v>
      </c>
      <c r="U142" s="41">
        <v>0.06</v>
      </c>
      <c r="V142" s="41">
        <v>0.045</v>
      </c>
      <c r="W142" s="41">
        <v>0.018</v>
      </c>
      <c r="X142" s="47"/>
      <c r="Y142" s="42">
        <v>0.05</v>
      </c>
      <c r="Z142" s="48" t="s">
        <v>26</v>
      </c>
      <c r="AA142" s="39"/>
      <c r="AB142" s="39"/>
      <c r="AC142" s="49" t="s">
        <v>26</v>
      </c>
      <c r="AD142" s="50" t="s">
        <v>25</v>
      </c>
      <c r="AE142" s="51"/>
      <c r="AF142" s="31"/>
      <c r="AG142" s="39"/>
      <c r="AH142" s="41">
        <v>0.117</v>
      </c>
      <c r="AI142" s="41">
        <v>0.06</v>
      </c>
      <c r="AJ142" s="41">
        <v>0.045</v>
      </c>
      <c r="AK142" s="41">
        <v>0.018</v>
      </c>
      <c r="AL142" s="47"/>
      <c r="AM142" s="42">
        <v>0.05</v>
      </c>
      <c r="AN142" s="52" t="s">
        <v>26</v>
      </c>
      <c r="AO142" s="39"/>
      <c r="AP142" s="39"/>
      <c r="AQ142" s="53" t="s">
        <v>26</v>
      </c>
      <c r="AR142" s="54" t="s">
        <v>25</v>
      </c>
      <c r="AS142" s="51"/>
      <c r="AT142" s="39"/>
      <c r="AU142" s="55">
        <v>0.17</v>
      </c>
      <c r="AV142" s="47"/>
      <c r="AW142" s="55">
        <v>0.04</v>
      </c>
      <c r="AX142" s="52" t="s">
        <v>26</v>
      </c>
      <c r="AY142" s="39"/>
      <c r="AZ142" s="39"/>
      <c r="BA142" s="53" t="s">
        <v>26</v>
      </c>
      <c r="BB142" s="54" t="s">
        <v>25</v>
      </c>
      <c r="BC142" s="39"/>
    </row>
    <row r="143">
      <c r="A143" s="168" t="s">
        <v>154</v>
      </c>
      <c r="B143" s="169"/>
      <c r="C143" s="170">
        <v>0.7</v>
      </c>
      <c r="D143" s="171"/>
      <c r="E143" s="172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74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76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69"/>
      <c r="AW143" s="169"/>
      <c r="AX143" s="169"/>
      <c r="AY143" s="169"/>
      <c r="AZ143" s="169"/>
      <c r="BA143" s="169"/>
      <c r="BB143" s="169"/>
      <c r="BC143" s="169"/>
    </row>
    <row r="144">
      <c r="A144" s="104" t="s">
        <v>155</v>
      </c>
      <c r="B144" s="68">
        <v>5770.0</v>
      </c>
      <c r="C144" s="65">
        <f t="shared" ref="C144:C147" si="383">B144*$C$143</f>
        <v>4039</v>
      </c>
      <c r="D144" s="66">
        <f t="shared" ref="D144:D147" si="384">C144/$D$4</f>
        <v>3638.738739</v>
      </c>
      <c r="E144" s="124">
        <v>1.0</v>
      </c>
      <c r="F144" s="66">
        <f t="shared" ref="F144:F147" si="385">P144*$F$142</f>
        <v>577.5</v>
      </c>
      <c r="G144" s="66">
        <f t="shared" ref="G144:G147" si="386">P144*$G$142</f>
        <v>450</v>
      </c>
      <c r="H144" s="66">
        <f t="shared" ref="H144:H147" si="387">P144*$H$142</f>
        <v>337.5</v>
      </c>
      <c r="I144" s="66">
        <f t="shared" ref="I144:I147" si="388">P144*$I$142</f>
        <v>0</v>
      </c>
      <c r="J144" s="68">
        <v>1250.0</v>
      </c>
      <c r="K144" s="66">
        <f t="shared" ref="K144:K147" si="389">D144*$K$142</f>
        <v>181.9369369</v>
      </c>
      <c r="L144" s="69">
        <f t="shared" ref="L144:L147" si="390">(D144*E144)+F144+G144+H144+I144+J144+K144</f>
        <v>6435.675676</v>
      </c>
      <c r="M144" s="70">
        <f t="shared" ref="M144:M147" si="391">N144/O144</f>
        <v>0.04752</v>
      </c>
      <c r="N144" s="71">
        <f t="shared" ref="N144:N147" si="392">O144-L144</f>
        <v>321.0810811</v>
      </c>
      <c r="O144" s="66">
        <f t="shared" ref="O144:O147" si="393">P144/$O$4</f>
        <v>6756.756757</v>
      </c>
      <c r="P144" s="78">
        <v>7500.0</v>
      </c>
      <c r="Q144" s="73">
        <f t="shared" ref="Q144:Q147" si="394">P144/E144</f>
        <v>7500</v>
      </c>
      <c r="R144" s="74"/>
      <c r="S144" s="112"/>
      <c r="AF144" s="76"/>
    </row>
    <row r="145">
      <c r="A145" s="104" t="s">
        <v>156</v>
      </c>
      <c r="B145" s="68">
        <v>4330.0</v>
      </c>
      <c r="C145" s="65">
        <f t="shared" si="383"/>
        <v>3031</v>
      </c>
      <c r="D145" s="66">
        <f t="shared" si="384"/>
        <v>2730.630631</v>
      </c>
      <c r="E145" s="124">
        <v>1.0</v>
      </c>
      <c r="F145" s="66">
        <f t="shared" si="385"/>
        <v>477.4</v>
      </c>
      <c r="G145" s="66">
        <f t="shared" si="386"/>
        <v>372</v>
      </c>
      <c r="H145" s="66">
        <f t="shared" si="387"/>
        <v>279</v>
      </c>
      <c r="I145" s="66">
        <f t="shared" si="388"/>
        <v>0</v>
      </c>
      <c r="J145" s="68">
        <v>1250.0</v>
      </c>
      <c r="K145" s="66">
        <f t="shared" si="389"/>
        <v>136.5315315</v>
      </c>
      <c r="L145" s="69">
        <f t="shared" si="390"/>
        <v>5245.562162</v>
      </c>
      <c r="M145" s="70">
        <f t="shared" si="391"/>
        <v>0.06087516129</v>
      </c>
      <c r="N145" s="71">
        <f t="shared" si="392"/>
        <v>340.0234234</v>
      </c>
      <c r="O145" s="66">
        <f t="shared" si="393"/>
        <v>5585.585586</v>
      </c>
      <c r="P145" s="78">
        <v>6200.0</v>
      </c>
      <c r="Q145" s="73">
        <f t="shared" si="394"/>
        <v>6200</v>
      </c>
      <c r="R145" s="74"/>
      <c r="S145" s="112"/>
      <c r="AF145" s="76"/>
    </row>
    <row r="146">
      <c r="A146" s="104" t="s">
        <v>157</v>
      </c>
      <c r="B146" s="66">
        <f t="shared" ref="B146:B147" si="395">B144</f>
        <v>5770</v>
      </c>
      <c r="C146" s="65">
        <f t="shared" si="383"/>
        <v>4039</v>
      </c>
      <c r="D146" s="66">
        <f t="shared" si="384"/>
        <v>3638.738739</v>
      </c>
      <c r="E146" s="134">
        <v>12.0</v>
      </c>
      <c r="F146" s="66">
        <f t="shared" si="385"/>
        <v>5775</v>
      </c>
      <c r="G146" s="66">
        <f t="shared" si="386"/>
        <v>4500</v>
      </c>
      <c r="H146" s="66">
        <f t="shared" si="387"/>
        <v>3375</v>
      </c>
      <c r="I146" s="66">
        <f t="shared" si="388"/>
        <v>0</v>
      </c>
      <c r="J146" s="68">
        <v>1250.0</v>
      </c>
      <c r="K146" s="66">
        <f t="shared" si="389"/>
        <v>181.9369369</v>
      </c>
      <c r="L146" s="69">
        <f t="shared" si="390"/>
        <v>58746.8018</v>
      </c>
      <c r="M146" s="70">
        <f t="shared" si="391"/>
        <v>0.1305473333</v>
      </c>
      <c r="N146" s="71">
        <f t="shared" si="392"/>
        <v>8820.765766</v>
      </c>
      <c r="O146" s="66">
        <f t="shared" si="393"/>
        <v>67567.56757</v>
      </c>
      <c r="P146" s="78">
        <v>75000.0</v>
      </c>
      <c r="Q146" s="73">
        <f t="shared" si="394"/>
        <v>6250</v>
      </c>
      <c r="R146" s="74"/>
      <c r="S146" s="112"/>
      <c r="AF146" s="76"/>
    </row>
    <row r="147">
      <c r="A147" s="104" t="s">
        <v>158</v>
      </c>
      <c r="B147" s="66">
        <f t="shared" si="395"/>
        <v>4330</v>
      </c>
      <c r="C147" s="65">
        <f t="shared" si="383"/>
        <v>3031</v>
      </c>
      <c r="D147" s="66">
        <f t="shared" si="384"/>
        <v>2730.630631</v>
      </c>
      <c r="E147" s="134">
        <v>12.0</v>
      </c>
      <c r="F147" s="66">
        <f t="shared" si="385"/>
        <v>4774</v>
      </c>
      <c r="G147" s="66">
        <f t="shared" si="386"/>
        <v>3720</v>
      </c>
      <c r="H147" s="66">
        <f t="shared" si="387"/>
        <v>2790</v>
      </c>
      <c r="I147" s="66">
        <f t="shared" si="388"/>
        <v>0</v>
      </c>
      <c r="J147" s="68">
        <v>1250.0</v>
      </c>
      <c r="K147" s="66">
        <f t="shared" si="389"/>
        <v>136.5315315</v>
      </c>
      <c r="L147" s="69">
        <f t="shared" si="390"/>
        <v>45438.0991</v>
      </c>
      <c r="M147" s="70">
        <f t="shared" si="391"/>
        <v>0.1865114516</v>
      </c>
      <c r="N147" s="71">
        <f t="shared" si="392"/>
        <v>10417.75676</v>
      </c>
      <c r="O147" s="66">
        <f t="shared" si="393"/>
        <v>55855.85586</v>
      </c>
      <c r="P147" s="78">
        <v>62000.0</v>
      </c>
      <c r="Q147" s="73">
        <f t="shared" si="394"/>
        <v>5166.666667</v>
      </c>
      <c r="R147" s="74"/>
      <c r="S147" s="112"/>
      <c r="AF147" s="76"/>
    </row>
    <row r="148">
      <c r="A148" s="104"/>
      <c r="B148" s="66"/>
      <c r="C148" s="65"/>
      <c r="D148" s="123"/>
      <c r="E148" s="124"/>
      <c r="L148" s="125"/>
      <c r="N148" s="126"/>
      <c r="P148" s="127"/>
      <c r="Q148" s="128"/>
      <c r="R148" s="74"/>
      <c r="S148" s="112"/>
      <c r="AF148" s="76"/>
    </row>
    <row r="149">
      <c r="A149" s="104"/>
      <c r="B149" s="66"/>
      <c r="C149" s="65"/>
      <c r="D149" s="123"/>
      <c r="E149" s="124"/>
      <c r="L149" s="125"/>
      <c r="N149" s="126"/>
      <c r="P149" s="127"/>
      <c r="Q149" s="128"/>
      <c r="R149" s="74"/>
      <c r="S149" s="112"/>
      <c r="AF149" s="76"/>
    </row>
    <row r="150">
      <c r="A150" s="104"/>
      <c r="C150" s="65"/>
      <c r="D150" s="123"/>
      <c r="E150" s="124"/>
      <c r="L150" s="125"/>
      <c r="N150" s="126"/>
      <c r="P150" s="127"/>
      <c r="Q150" s="128"/>
      <c r="R150" s="74"/>
      <c r="S150" s="112"/>
      <c r="AF150" s="76"/>
    </row>
    <row r="151">
      <c r="A151" s="173" t="s">
        <v>159</v>
      </c>
      <c r="B151" s="174"/>
      <c r="C151" s="175">
        <f t="shared" ref="C151:C153" si="396">B151*$C$4</f>
        <v>0</v>
      </c>
      <c r="D151" s="176"/>
      <c r="E151" s="177">
        <v>1.0</v>
      </c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76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74"/>
      <c r="AY151" s="174"/>
      <c r="AZ151" s="174"/>
      <c r="BA151" s="174"/>
      <c r="BB151" s="174"/>
      <c r="BC151" s="174"/>
    </row>
    <row r="152">
      <c r="A152" s="178"/>
      <c r="C152" s="65">
        <f t="shared" si="396"/>
        <v>0</v>
      </c>
      <c r="D152" s="123"/>
      <c r="E152" s="178"/>
      <c r="L152" s="125"/>
      <c r="N152" s="126"/>
      <c r="P152" s="127"/>
      <c r="Q152" s="128"/>
      <c r="R152" s="74"/>
      <c r="AF152" s="76"/>
    </row>
    <row r="153">
      <c r="A153" s="179" t="s">
        <v>160</v>
      </c>
      <c r="C153" s="65">
        <f t="shared" si="396"/>
        <v>0</v>
      </c>
      <c r="D153" s="123"/>
      <c r="E153" s="124">
        <v>1.0</v>
      </c>
      <c r="L153" s="125"/>
      <c r="N153" s="126"/>
      <c r="P153" s="127"/>
      <c r="Q153" s="128"/>
      <c r="R153" s="74"/>
      <c r="AF153" s="76"/>
    </row>
    <row r="154">
      <c r="A154" s="178"/>
      <c r="D154" s="123"/>
      <c r="E154" s="124">
        <v>1.0</v>
      </c>
      <c r="L154" s="125"/>
      <c r="N154" s="126"/>
      <c r="P154" s="127"/>
      <c r="Q154" s="128"/>
      <c r="R154" s="74"/>
      <c r="AF154" s="76"/>
    </row>
    <row r="155">
      <c r="D155" s="123"/>
      <c r="L155" s="125"/>
      <c r="N155" s="126"/>
      <c r="P155" s="127"/>
      <c r="Q155" s="128"/>
      <c r="R155" s="74"/>
      <c r="AF155" s="76"/>
    </row>
    <row r="156">
      <c r="D156" s="123"/>
      <c r="L156" s="125"/>
      <c r="N156" s="126"/>
      <c r="P156" s="127"/>
      <c r="Q156" s="128"/>
      <c r="R156" s="74"/>
      <c r="AF156" s="76"/>
    </row>
    <row r="157">
      <c r="D157" s="123"/>
      <c r="L157" s="125"/>
      <c r="N157" s="126"/>
      <c r="P157" s="127"/>
      <c r="Q157" s="128"/>
      <c r="R157" s="74"/>
      <c r="AF157" s="76"/>
    </row>
    <row r="158">
      <c r="D158" s="123"/>
      <c r="L158" s="125"/>
      <c r="N158" s="126"/>
      <c r="P158" s="127"/>
      <c r="Q158" s="128"/>
      <c r="R158" s="74"/>
      <c r="AF158" s="76"/>
    </row>
    <row r="159">
      <c r="D159" s="123"/>
      <c r="L159" s="125"/>
      <c r="N159" s="126"/>
      <c r="P159" s="127"/>
      <c r="Q159" s="128"/>
      <c r="R159" s="74"/>
      <c r="AF159" s="76"/>
    </row>
    <row r="160">
      <c r="D160" s="123"/>
      <c r="L160" s="125"/>
      <c r="N160" s="126"/>
      <c r="P160" s="127"/>
      <c r="Q160" s="128"/>
      <c r="R160" s="74"/>
      <c r="AF160" s="76"/>
    </row>
    <row r="161">
      <c r="D161" s="123"/>
      <c r="L161" s="125"/>
      <c r="N161" s="126"/>
      <c r="P161" s="127"/>
      <c r="Q161" s="128"/>
      <c r="R161" s="74"/>
      <c r="AF161" s="76"/>
    </row>
    <row r="162">
      <c r="D162" s="123"/>
      <c r="L162" s="125"/>
      <c r="N162" s="126"/>
      <c r="P162" s="127"/>
      <c r="Q162" s="128"/>
      <c r="R162" s="74"/>
      <c r="AF162" s="76"/>
    </row>
    <row r="163">
      <c r="D163" s="123"/>
      <c r="L163" s="125"/>
      <c r="N163" s="126"/>
      <c r="P163" s="127"/>
      <c r="Q163" s="128"/>
      <c r="R163" s="74"/>
      <c r="AF163" s="76"/>
    </row>
    <row r="164">
      <c r="D164" s="123"/>
      <c r="L164" s="125"/>
      <c r="N164" s="126"/>
      <c r="P164" s="127"/>
      <c r="Q164" s="128"/>
      <c r="R164" s="74"/>
      <c r="AF164" s="76"/>
    </row>
    <row r="165">
      <c r="D165" s="123"/>
      <c r="L165" s="125"/>
      <c r="N165" s="126"/>
      <c r="P165" s="127"/>
      <c r="Q165" s="128"/>
      <c r="R165" s="74"/>
      <c r="AF165" s="76"/>
    </row>
    <row r="166">
      <c r="D166" s="123"/>
      <c r="L166" s="125"/>
      <c r="N166" s="126"/>
      <c r="P166" s="127"/>
      <c r="Q166" s="128"/>
      <c r="R166" s="74"/>
      <c r="AF166" s="76"/>
    </row>
    <row r="167">
      <c r="D167" s="123"/>
      <c r="L167" s="125"/>
      <c r="N167" s="126"/>
      <c r="P167" s="127"/>
      <c r="Q167" s="128"/>
      <c r="R167" s="74"/>
      <c r="AF167" s="76"/>
    </row>
    <row r="168">
      <c r="D168" s="123"/>
      <c r="L168" s="125"/>
      <c r="N168" s="126"/>
      <c r="P168" s="127"/>
      <c r="Q168" s="128"/>
      <c r="R168" s="74"/>
      <c r="AF168" s="76"/>
    </row>
    <row r="169">
      <c r="D169" s="123"/>
      <c r="L169" s="125"/>
      <c r="N169" s="126"/>
      <c r="P169" s="127"/>
      <c r="Q169" s="128"/>
      <c r="R169" s="74"/>
      <c r="AF169" s="76"/>
    </row>
    <row r="170">
      <c r="D170" s="123"/>
      <c r="L170" s="125"/>
      <c r="N170" s="126"/>
      <c r="P170" s="127"/>
      <c r="Q170" s="128"/>
      <c r="R170" s="74"/>
      <c r="AF170" s="76"/>
    </row>
    <row r="171">
      <c r="D171" s="123"/>
      <c r="L171" s="125"/>
      <c r="N171" s="126"/>
      <c r="P171" s="127"/>
      <c r="Q171" s="128"/>
      <c r="R171" s="74"/>
      <c r="AF171" s="76"/>
    </row>
    <row r="172">
      <c r="D172" s="123"/>
      <c r="L172" s="125"/>
      <c r="N172" s="126"/>
      <c r="P172" s="127"/>
      <c r="Q172" s="128"/>
      <c r="R172" s="74"/>
      <c r="AF172" s="76"/>
    </row>
    <row r="173">
      <c r="D173" s="123"/>
      <c r="L173" s="125"/>
      <c r="N173" s="126"/>
      <c r="P173" s="127"/>
      <c r="Q173" s="128"/>
      <c r="R173" s="74"/>
      <c r="AF173" s="76"/>
    </row>
    <row r="174">
      <c r="D174" s="123"/>
      <c r="L174" s="125"/>
      <c r="N174" s="126"/>
      <c r="P174" s="127"/>
      <c r="Q174" s="128"/>
      <c r="R174" s="74"/>
      <c r="AF174" s="76"/>
    </row>
    <row r="175">
      <c r="D175" s="123"/>
      <c r="L175" s="125"/>
      <c r="N175" s="126"/>
      <c r="P175" s="127"/>
      <c r="Q175" s="128"/>
      <c r="R175" s="74"/>
      <c r="AF175" s="76"/>
    </row>
    <row r="176">
      <c r="D176" s="123"/>
      <c r="L176" s="125"/>
      <c r="N176" s="126"/>
      <c r="P176" s="127"/>
      <c r="Q176" s="128"/>
      <c r="R176" s="74"/>
      <c r="AF176" s="76"/>
    </row>
    <row r="177">
      <c r="D177" s="123"/>
      <c r="L177" s="125"/>
      <c r="N177" s="126"/>
      <c r="P177" s="127"/>
      <c r="Q177" s="128"/>
      <c r="R177" s="74"/>
      <c r="AF177" s="76"/>
    </row>
    <row r="178">
      <c r="D178" s="123"/>
      <c r="L178" s="125"/>
      <c r="N178" s="126"/>
      <c r="P178" s="127"/>
      <c r="Q178" s="128"/>
      <c r="R178" s="74"/>
      <c r="AF178" s="76"/>
    </row>
    <row r="179">
      <c r="D179" s="123"/>
      <c r="L179" s="125"/>
      <c r="N179" s="126"/>
      <c r="P179" s="127"/>
      <c r="Q179" s="128"/>
      <c r="R179" s="74"/>
      <c r="AF179" s="76"/>
    </row>
    <row r="180">
      <c r="D180" s="123"/>
      <c r="L180" s="125"/>
      <c r="N180" s="126"/>
      <c r="P180" s="127"/>
      <c r="Q180" s="128"/>
      <c r="R180" s="74"/>
      <c r="AF180" s="76"/>
    </row>
    <row r="181">
      <c r="D181" s="123"/>
      <c r="L181" s="125"/>
      <c r="N181" s="126"/>
      <c r="P181" s="127"/>
      <c r="Q181" s="128"/>
      <c r="R181" s="74"/>
      <c r="AF181" s="76"/>
    </row>
    <row r="182">
      <c r="D182" s="123"/>
      <c r="L182" s="125"/>
      <c r="N182" s="126"/>
      <c r="P182" s="127"/>
      <c r="Q182" s="128"/>
      <c r="R182" s="74"/>
      <c r="AF182" s="76"/>
    </row>
    <row r="183">
      <c r="D183" s="123"/>
      <c r="L183" s="125"/>
      <c r="N183" s="126"/>
      <c r="P183" s="127"/>
      <c r="Q183" s="128"/>
      <c r="R183" s="74"/>
      <c r="AF183" s="76"/>
    </row>
    <row r="184">
      <c r="D184" s="123"/>
      <c r="L184" s="125"/>
      <c r="N184" s="126"/>
      <c r="P184" s="127"/>
      <c r="Q184" s="128"/>
      <c r="R184" s="74"/>
      <c r="AF184" s="76"/>
    </row>
    <row r="185">
      <c r="D185" s="123"/>
      <c r="L185" s="125"/>
      <c r="N185" s="126"/>
      <c r="P185" s="127"/>
      <c r="Q185" s="128"/>
      <c r="R185" s="74"/>
      <c r="AF185" s="76"/>
    </row>
    <row r="186">
      <c r="D186" s="123"/>
      <c r="L186" s="125"/>
      <c r="N186" s="126"/>
      <c r="P186" s="127"/>
      <c r="Q186" s="128"/>
      <c r="R186" s="74"/>
      <c r="AF186" s="76"/>
    </row>
    <row r="187">
      <c r="D187" s="123"/>
      <c r="L187" s="125"/>
      <c r="N187" s="126"/>
      <c r="P187" s="127"/>
      <c r="Q187" s="128"/>
      <c r="R187" s="74"/>
      <c r="AF187" s="76"/>
    </row>
    <row r="188">
      <c r="D188" s="123"/>
      <c r="L188" s="125"/>
      <c r="N188" s="126"/>
      <c r="P188" s="127"/>
      <c r="Q188" s="128"/>
      <c r="R188" s="74"/>
      <c r="AF188" s="76"/>
    </row>
    <row r="189">
      <c r="D189" s="123"/>
      <c r="L189" s="125"/>
      <c r="N189" s="126"/>
      <c r="P189" s="127"/>
      <c r="Q189" s="128"/>
      <c r="R189" s="74"/>
      <c r="AF189" s="76"/>
    </row>
    <row r="190">
      <c r="D190" s="123"/>
      <c r="L190" s="125"/>
      <c r="N190" s="126"/>
      <c r="P190" s="127"/>
      <c r="Q190" s="128"/>
      <c r="R190" s="74"/>
      <c r="AF190" s="76"/>
    </row>
    <row r="191">
      <c r="D191" s="123"/>
      <c r="L191" s="125"/>
      <c r="N191" s="126"/>
      <c r="P191" s="127"/>
      <c r="Q191" s="128"/>
      <c r="R191" s="74"/>
      <c r="AF191" s="76"/>
    </row>
    <row r="192">
      <c r="D192" s="123"/>
      <c r="L192" s="125"/>
      <c r="N192" s="126"/>
      <c r="P192" s="127"/>
      <c r="Q192" s="128"/>
      <c r="R192" s="74"/>
      <c r="AF192" s="76"/>
    </row>
    <row r="193">
      <c r="D193" s="123"/>
      <c r="L193" s="125"/>
      <c r="N193" s="126"/>
      <c r="P193" s="127"/>
      <c r="Q193" s="128"/>
      <c r="R193" s="74"/>
      <c r="AF193" s="76"/>
    </row>
    <row r="194">
      <c r="D194" s="123"/>
      <c r="L194" s="125"/>
      <c r="N194" s="126"/>
      <c r="P194" s="127"/>
      <c r="Q194" s="128"/>
      <c r="R194" s="74"/>
      <c r="AF194" s="76"/>
    </row>
    <row r="195">
      <c r="D195" s="123"/>
      <c r="L195" s="125"/>
      <c r="N195" s="126"/>
      <c r="P195" s="127"/>
      <c r="Q195" s="128"/>
      <c r="R195" s="74"/>
      <c r="AF195" s="76"/>
    </row>
    <row r="196">
      <c r="D196" s="123"/>
      <c r="L196" s="125"/>
      <c r="N196" s="126"/>
      <c r="P196" s="127"/>
      <c r="Q196" s="128"/>
      <c r="R196" s="74"/>
      <c r="AF196" s="76"/>
    </row>
    <row r="197">
      <c r="D197" s="123"/>
      <c r="L197" s="125"/>
      <c r="N197" s="126"/>
      <c r="P197" s="127"/>
      <c r="Q197" s="128"/>
      <c r="R197" s="74"/>
      <c r="AF197" s="76"/>
    </row>
    <row r="198">
      <c r="D198" s="123"/>
      <c r="L198" s="125"/>
      <c r="N198" s="126"/>
      <c r="P198" s="127"/>
      <c r="Q198" s="128"/>
      <c r="R198" s="74"/>
      <c r="AF198" s="76"/>
    </row>
    <row r="199">
      <c r="D199" s="123"/>
      <c r="L199" s="125"/>
      <c r="N199" s="126"/>
      <c r="P199" s="127"/>
      <c r="Q199" s="128"/>
      <c r="R199" s="74"/>
      <c r="AF199" s="76"/>
    </row>
    <row r="200">
      <c r="D200" s="123"/>
      <c r="L200" s="125"/>
      <c r="N200" s="126"/>
      <c r="P200" s="127"/>
      <c r="Q200" s="128"/>
      <c r="R200" s="74"/>
      <c r="AF200" s="76"/>
    </row>
    <row r="201">
      <c r="D201" s="123"/>
      <c r="L201" s="125"/>
      <c r="N201" s="126"/>
      <c r="P201" s="127"/>
      <c r="Q201" s="128"/>
      <c r="R201" s="74"/>
      <c r="AF201" s="76"/>
    </row>
    <row r="202">
      <c r="D202" s="123"/>
      <c r="L202" s="125"/>
      <c r="N202" s="126"/>
      <c r="P202" s="127"/>
      <c r="Q202" s="128"/>
      <c r="R202" s="74"/>
      <c r="AF202" s="76"/>
    </row>
    <row r="203">
      <c r="D203" s="123"/>
      <c r="L203" s="125"/>
      <c r="N203" s="126"/>
      <c r="P203" s="127"/>
      <c r="Q203" s="128"/>
      <c r="R203" s="74"/>
      <c r="AF203" s="76"/>
    </row>
    <row r="204">
      <c r="D204" s="123"/>
      <c r="L204" s="125"/>
      <c r="N204" s="126"/>
      <c r="P204" s="127"/>
      <c r="Q204" s="128"/>
      <c r="R204" s="74"/>
      <c r="AF204" s="76"/>
    </row>
    <row r="205">
      <c r="D205" s="123"/>
      <c r="L205" s="125"/>
      <c r="N205" s="126"/>
      <c r="P205" s="127"/>
      <c r="Q205" s="128"/>
      <c r="R205" s="74"/>
      <c r="AF205" s="76"/>
    </row>
    <row r="206">
      <c r="D206" s="123"/>
      <c r="L206" s="125"/>
      <c r="N206" s="126"/>
      <c r="P206" s="127"/>
      <c r="Q206" s="128"/>
      <c r="R206" s="74"/>
      <c r="AF206" s="76"/>
    </row>
    <row r="207">
      <c r="D207" s="123"/>
      <c r="L207" s="125"/>
      <c r="N207" s="126"/>
      <c r="P207" s="127"/>
      <c r="Q207" s="128"/>
      <c r="R207" s="74"/>
      <c r="AF207" s="76"/>
    </row>
    <row r="208">
      <c r="D208" s="123"/>
      <c r="L208" s="125"/>
      <c r="N208" s="126"/>
      <c r="P208" s="127"/>
      <c r="Q208" s="128"/>
      <c r="R208" s="74"/>
      <c r="AF208" s="76"/>
    </row>
    <row r="209">
      <c r="D209" s="123"/>
      <c r="L209" s="125"/>
      <c r="N209" s="126"/>
      <c r="P209" s="127"/>
      <c r="Q209" s="128"/>
      <c r="R209" s="74"/>
      <c r="AF209" s="76"/>
    </row>
    <row r="210">
      <c r="D210" s="123"/>
      <c r="L210" s="125"/>
      <c r="N210" s="126"/>
      <c r="P210" s="127"/>
      <c r="Q210" s="128"/>
      <c r="R210" s="74"/>
      <c r="AF210" s="76"/>
    </row>
    <row r="211">
      <c r="D211" s="123"/>
      <c r="L211" s="125"/>
      <c r="N211" s="126"/>
      <c r="P211" s="127"/>
      <c r="Q211" s="128"/>
      <c r="R211" s="74"/>
      <c r="AF211" s="76"/>
    </row>
    <row r="212">
      <c r="D212" s="123"/>
      <c r="L212" s="125"/>
      <c r="N212" s="126"/>
      <c r="P212" s="127"/>
      <c r="Q212" s="128"/>
      <c r="R212" s="74"/>
      <c r="AF212" s="76"/>
    </row>
    <row r="213">
      <c r="D213" s="123"/>
      <c r="L213" s="125"/>
      <c r="N213" s="126"/>
      <c r="P213" s="127"/>
      <c r="Q213" s="128"/>
      <c r="R213" s="74"/>
      <c r="AF213" s="76"/>
    </row>
    <row r="214">
      <c r="D214" s="123"/>
      <c r="L214" s="125"/>
      <c r="N214" s="126"/>
      <c r="P214" s="127"/>
      <c r="Q214" s="128"/>
      <c r="R214" s="74"/>
      <c r="AF214" s="76"/>
    </row>
    <row r="215">
      <c r="D215" s="123"/>
      <c r="L215" s="125"/>
      <c r="N215" s="126"/>
      <c r="P215" s="127"/>
      <c r="Q215" s="128"/>
      <c r="R215" s="74"/>
      <c r="AF215" s="76"/>
    </row>
    <row r="216">
      <c r="D216" s="123"/>
      <c r="L216" s="125"/>
      <c r="N216" s="126"/>
      <c r="P216" s="127"/>
      <c r="Q216" s="128"/>
      <c r="R216" s="74"/>
      <c r="AF216" s="76"/>
    </row>
    <row r="217">
      <c r="D217" s="123"/>
      <c r="L217" s="125"/>
      <c r="N217" s="126"/>
      <c r="P217" s="127"/>
      <c r="Q217" s="128"/>
      <c r="R217" s="74"/>
      <c r="AF217" s="76"/>
    </row>
    <row r="218">
      <c r="D218" s="123"/>
      <c r="L218" s="125"/>
      <c r="N218" s="126"/>
      <c r="P218" s="127"/>
      <c r="Q218" s="128"/>
      <c r="R218" s="74"/>
      <c r="AF218" s="76"/>
    </row>
    <row r="219">
      <c r="D219" s="123"/>
      <c r="L219" s="125"/>
      <c r="N219" s="126"/>
      <c r="P219" s="127"/>
      <c r="Q219" s="128"/>
      <c r="R219" s="74"/>
      <c r="AF219" s="76"/>
    </row>
    <row r="220">
      <c r="D220" s="123"/>
      <c r="L220" s="125"/>
      <c r="N220" s="126"/>
      <c r="P220" s="127"/>
      <c r="Q220" s="128"/>
      <c r="R220" s="74"/>
      <c r="AF220" s="76"/>
    </row>
    <row r="221">
      <c r="D221" s="123"/>
      <c r="L221" s="125"/>
      <c r="N221" s="126"/>
      <c r="P221" s="127"/>
      <c r="Q221" s="128"/>
      <c r="R221" s="74"/>
      <c r="AF221" s="76"/>
    </row>
    <row r="222">
      <c r="D222" s="123"/>
      <c r="L222" s="125"/>
      <c r="N222" s="126"/>
      <c r="P222" s="127"/>
      <c r="Q222" s="128"/>
      <c r="R222" s="74"/>
      <c r="AF222" s="76"/>
    </row>
    <row r="223">
      <c r="D223" s="123"/>
      <c r="L223" s="125"/>
      <c r="N223" s="126"/>
      <c r="P223" s="127"/>
      <c r="Q223" s="128"/>
      <c r="R223" s="74"/>
      <c r="AF223" s="76"/>
    </row>
    <row r="224">
      <c r="D224" s="123"/>
      <c r="L224" s="125"/>
      <c r="N224" s="126"/>
      <c r="P224" s="127"/>
      <c r="Q224" s="128"/>
      <c r="R224" s="74"/>
      <c r="AF224" s="76"/>
    </row>
    <row r="225">
      <c r="D225" s="123"/>
      <c r="L225" s="125"/>
      <c r="N225" s="126"/>
      <c r="P225" s="127"/>
      <c r="Q225" s="128"/>
      <c r="R225" s="74"/>
      <c r="AF225" s="76"/>
    </row>
    <row r="226">
      <c r="D226" s="123"/>
      <c r="L226" s="125"/>
      <c r="N226" s="126"/>
      <c r="P226" s="127"/>
      <c r="Q226" s="128"/>
      <c r="R226" s="74"/>
      <c r="AF226" s="76"/>
    </row>
    <row r="227">
      <c r="D227" s="123"/>
      <c r="L227" s="125"/>
      <c r="N227" s="126"/>
      <c r="P227" s="127"/>
      <c r="Q227" s="128"/>
      <c r="R227" s="74"/>
      <c r="AF227" s="76"/>
    </row>
    <row r="228">
      <c r="D228" s="123"/>
      <c r="L228" s="125"/>
      <c r="N228" s="126"/>
      <c r="P228" s="127"/>
      <c r="Q228" s="128"/>
      <c r="R228" s="74"/>
      <c r="AF228" s="76"/>
    </row>
    <row r="229">
      <c r="D229" s="123"/>
      <c r="L229" s="125"/>
      <c r="N229" s="126"/>
      <c r="P229" s="127"/>
      <c r="Q229" s="128"/>
      <c r="R229" s="74"/>
      <c r="AF229" s="76"/>
    </row>
    <row r="230">
      <c r="D230" s="123"/>
      <c r="L230" s="125"/>
      <c r="N230" s="126"/>
      <c r="P230" s="127"/>
      <c r="Q230" s="128"/>
      <c r="R230" s="74"/>
      <c r="AF230" s="76"/>
    </row>
    <row r="231">
      <c r="D231" s="123"/>
      <c r="L231" s="125"/>
      <c r="N231" s="126"/>
      <c r="P231" s="127"/>
      <c r="Q231" s="128"/>
      <c r="R231" s="74"/>
      <c r="AF231" s="76"/>
    </row>
    <row r="232">
      <c r="D232" s="123"/>
      <c r="L232" s="125"/>
      <c r="N232" s="126"/>
      <c r="P232" s="127"/>
      <c r="Q232" s="128"/>
      <c r="R232" s="74"/>
      <c r="AF232" s="76"/>
    </row>
    <row r="233">
      <c r="D233" s="123"/>
      <c r="L233" s="125"/>
      <c r="N233" s="126"/>
      <c r="P233" s="127"/>
      <c r="Q233" s="128"/>
      <c r="R233" s="74"/>
      <c r="AF233" s="76"/>
    </row>
    <row r="234">
      <c r="D234" s="123"/>
      <c r="L234" s="125"/>
      <c r="N234" s="126"/>
      <c r="P234" s="127"/>
      <c r="Q234" s="128"/>
      <c r="R234" s="74"/>
      <c r="AF234" s="76"/>
    </row>
    <row r="235">
      <c r="D235" s="123"/>
      <c r="L235" s="125"/>
      <c r="N235" s="126"/>
      <c r="P235" s="127"/>
      <c r="Q235" s="128"/>
      <c r="R235" s="74"/>
      <c r="AF235" s="76"/>
    </row>
    <row r="236">
      <c r="D236" s="123"/>
      <c r="L236" s="125"/>
      <c r="N236" s="126"/>
      <c r="P236" s="127"/>
      <c r="Q236" s="128"/>
      <c r="R236" s="74"/>
      <c r="AF236" s="76"/>
    </row>
    <row r="237">
      <c r="D237" s="123"/>
      <c r="L237" s="125"/>
      <c r="N237" s="126"/>
      <c r="P237" s="127"/>
      <c r="Q237" s="128"/>
      <c r="R237" s="74"/>
      <c r="AF237" s="76"/>
    </row>
    <row r="238">
      <c r="D238" s="123"/>
      <c r="L238" s="125"/>
      <c r="N238" s="126"/>
      <c r="P238" s="127"/>
      <c r="Q238" s="128"/>
      <c r="R238" s="74"/>
      <c r="AF238" s="76"/>
    </row>
    <row r="239">
      <c r="D239" s="123"/>
      <c r="L239" s="125"/>
      <c r="N239" s="126"/>
      <c r="P239" s="127"/>
      <c r="Q239" s="128"/>
      <c r="R239" s="74"/>
      <c r="AF239" s="76"/>
    </row>
    <row r="240">
      <c r="D240" s="123"/>
      <c r="L240" s="125"/>
      <c r="N240" s="126"/>
      <c r="P240" s="127"/>
      <c r="Q240" s="128"/>
      <c r="R240" s="74"/>
      <c r="AF240" s="76"/>
    </row>
    <row r="241">
      <c r="D241" s="123"/>
      <c r="L241" s="125"/>
      <c r="N241" s="126"/>
      <c r="P241" s="127"/>
      <c r="Q241" s="128"/>
      <c r="R241" s="74"/>
      <c r="AF241" s="76"/>
    </row>
    <row r="242">
      <c r="D242" s="123"/>
      <c r="L242" s="125"/>
      <c r="N242" s="126"/>
      <c r="P242" s="127"/>
      <c r="Q242" s="128"/>
      <c r="R242" s="74"/>
      <c r="AF242" s="76"/>
    </row>
    <row r="243">
      <c r="D243" s="123"/>
      <c r="L243" s="125"/>
      <c r="N243" s="126"/>
      <c r="P243" s="127"/>
      <c r="Q243" s="128"/>
      <c r="R243" s="74"/>
      <c r="AF243" s="76"/>
    </row>
    <row r="244">
      <c r="D244" s="123"/>
      <c r="L244" s="125"/>
      <c r="N244" s="126"/>
      <c r="P244" s="127"/>
      <c r="Q244" s="128"/>
      <c r="R244" s="74"/>
      <c r="AF244" s="76"/>
    </row>
    <row r="245">
      <c r="D245" s="123"/>
      <c r="L245" s="125"/>
      <c r="N245" s="126"/>
      <c r="P245" s="127"/>
      <c r="Q245" s="128"/>
      <c r="R245" s="74"/>
      <c r="AF245" s="76"/>
    </row>
    <row r="246">
      <c r="D246" s="123"/>
      <c r="L246" s="125"/>
      <c r="N246" s="126"/>
      <c r="P246" s="127"/>
      <c r="Q246" s="128"/>
      <c r="R246" s="74"/>
      <c r="AF246" s="76"/>
    </row>
    <row r="247">
      <c r="D247" s="123"/>
      <c r="L247" s="125"/>
      <c r="N247" s="126"/>
      <c r="P247" s="127"/>
      <c r="Q247" s="128"/>
      <c r="R247" s="74"/>
      <c r="AF247" s="76"/>
    </row>
    <row r="248">
      <c r="D248" s="123"/>
      <c r="L248" s="125"/>
      <c r="N248" s="126"/>
      <c r="P248" s="127"/>
      <c r="Q248" s="128"/>
      <c r="R248" s="74"/>
      <c r="AF248" s="76"/>
    </row>
    <row r="249">
      <c r="D249" s="123"/>
      <c r="L249" s="125"/>
      <c r="N249" s="126"/>
      <c r="P249" s="127"/>
      <c r="Q249" s="128"/>
      <c r="R249" s="74"/>
      <c r="AF249" s="76"/>
    </row>
    <row r="250">
      <c r="D250" s="123"/>
      <c r="L250" s="125"/>
      <c r="N250" s="126"/>
      <c r="P250" s="127"/>
      <c r="Q250" s="128"/>
      <c r="R250" s="74"/>
      <c r="AF250" s="76"/>
    </row>
    <row r="251">
      <c r="D251" s="123"/>
      <c r="L251" s="125"/>
      <c r="N251" s="126"/>
      <c r="P251" s="127"/>
      <c r="Q251" s="128"/>
      <c r="R251" s="74"/>
      <c r="AF251" s="76"/>
    </row>
    <row r="252">
      <c r="D252" s="123"/>
      <c r="L252" s="125"/>
      <c r="N252" s="126"/>
      <c r="P252" s="127"/>
      <c r="Q252" s="128"/>
      <c r="R252" s="74"/>
      <c r="AF252" s="76"/>
    </row>
    <row r="253">
      <c r="D253" s="123"/>
      <c r="L253" s="125"/>
      <c r="N253" s="126"/>
      <c r="P253" s="127"/>
      <c r="Q253" s="128"/>
      <c r="R253" s="74"/>
      <c r="AF253" s="76"/>
    </row>
    <row r="254">
      <c r="D254" s="123"/>
      <c r="L254" s="125"/>
      <c r="N254" s="126"/>
      <c r="P254" s="127"/>
      <c r="Q254" s="128"/>
      <c r="R254" s="74"/>
      <c r="AF254" s="76"/>
    </row>
    <row r="255">
      <c r="D255" s="123"/>
      <c r="L255" s="125"/>
      <c r="N255" s="126"/>
      <c r="P255" s="127"/>
      <c r="Q255" s="128"/>
      <c r="R255" s="74"/>
      <c r="AF255" s="76"/>
    </row>
    <row r="256">
      <c r="D256" s="123"/>
      <c r="L256" s="125"/>
      <c r="N256" s="126"/>
      <c r="P256" s="127"/>
      <c r="Q256" s="128"/>
      <c r="R256" s="74"/>
      <c r="AF256" s="76"/>
    </row>
    <row r="257">
      <c r="D257" s="123"/>
      <c r="L257" s="125"/>
      <c r="N257" s="126"/>
      <c r="P257" s="127"/>
      <c r="Q257" s="128"/>
      <c r="R257" s="74"/>
      <c r="AF257" s="76"/>
    </row>
    <row r="258">
      <c r="D258" s="123"/>
      <c r="L258" s="125"/>
      <c r="N258" s="126"/>
      <c r="P258" s="127"/>
      <c r="Q258" s="128"/>
      <c r="R258" s="74"/>
      <c r="AF258" s="76"/>
    </row>
    <row r="259">
      <c r="D259" s="123"/>
      <c r="L259" s="125"/>
      <c r="N259" s="126"/>
      <c r="P259" s="127"/>
      <c r="Q259" s="128"/>
      <c r="R259" s="74"/>
      <c r="AF259" s="76"/>
    </row>
    <row r="260">
      <c r="D260" s="123"/>
      <c r="L260" s="125"/>
      <c r="N260" s="126"/>
      <c r="P260" s="127"/>
      <c r="Q260" s="128"/>
      <c r="R260" s="74"/>
      <c r="AF260" s="76"/>
    </row>
    <row r="261">
      <c r="D261" s="123"/>
      <c r="L261" s="125"/>
      <c r="N261" s="126"/>
      <c r="P261" s="127"/>
      <c r="Q261" s="128"/>
      <c r="R261" s="74"/>
      <c r="AF261" s="76"/>
    </row>
    <row r="262">
      <c r="D262" s="123"/>
      <c r="L262" s="125"/>
      <c r="N262" s="126"/>
      <c r="P262" s="127"/>
      <c r="Q262" s="128"/>
      <c r="R262" s="74"/>
      <c r="AF262" s="76"/>
    </row>
    <row r="263">
      <c r="D263" s="123"/>
      <c r="L263" s="125"/>
      <c r="N263" s="126"/>
      <c r="P263" s="127"/>
      <c r="Q263" s="128"/>
      <c r="R263" s="74"/>
      <c r="AF263" s="76"/>
    </row>
    <row r="264">
      <c r="D264" s="123"/>
      <c r="L264" s="125"/>
      <c r="N264" s="126"/>
      <c r="P264" s="127"/>
      <c r="Q264" s="128"/>
      <c r="R264" s="74"/>
      <c r="AF264" s="76"/>
    </row>
    <row r="265">
      <c r="D265" s="123"/>
      <c r="L265" s="125"/>
      <c r="N265" s="126"/>
      <c r="P265" s="127"/>
      <c r="Q265" s="128"/>
      <c r="R265" s="74"/>
      <c r="AF265" s="76"/>
    </row>
    <row r="266">
      <c r="D266" s="123"/>
      <c r="L266" s="125"/>
      <c r="N266" s="126"/>
      <c r="P266" s="127"/>
      <c r="Q266" s="128"/>
      <c r="R266" s="74"/>
      <c r="AF266" s="76"/>
    </row>
    <row r="267">
      <c r="D267" s="123"/>
      <c r="L267" s="125"/>
      <c r="N267" s="126"/>
      <c r="P267" s="127"/>
      <c r="Q267" s="128"/>
      <c r="R267" s="74"/>
      <c r="AF267" s="76"/>
    </row>
    <row r="268">
      <c r="D268" s="123"/>
      <c r="L268" s="125"/>
      <c r="N268" s="126"/>
      <c r="P268" s="127"/>
      <c r="Q268" s="128"/>
      <c r="R268" s="74"/>
      <c r="AF268" s="76"/>
    </row>
    <row r="269">
      <c r="D269" s="123"/>
      <c r="L269" s="125"/>
      <c r="N269" s="126"/>
      <c r="P269" s="127"/>
      <c r="Q269" s="128"/>
      <c r="R269" s="74"/>
      <c r="AF269" s="76"/>
    </row>
    <row r="270">
      <c r="D270" s="123"/>
      <c r="L270" s="125"/>
      <c r="N270" s="126"/>
      <c r="P270" s="127"/>
      <c r="Q270" s="128"/>
      <c r="R270" s="74"/>
      <c r="AF270" s="76"/>
    </row>
    <row r="271">
      <c r="D271" s="123"/>
      <c r="L271" s="125"/>
      <c r="N271" s="126"/>
      <c r="P271" s="127"/>
      <c r="Q271" s="128"/>
      <c r="R271" s="74"/>
      <c r="AF271" s="76"/>
    </row>
    <row r="272">
      <c r="D272" s="123"/>
      <c r="L272" s="125"/>
      <c r="N272" s="126"/>
      <c r="P272" s="127"/>
      <c r="Q272" s="128"/>
      <c r="R272" s="74"/>
      <c r="AF272" s="76"/>
    </row>
    <row r="273">
      <c r="D273" s="123"/>
      <c r="L273" s="125"/>
      <c r="N273" s="126"/>
      <c r="P273" s="127"/>
      <c r="Q273" s="128"/>
      <c r="R273" s="74"/>
      <c r="AF273" s="76"/>
    </row>
    <row r="274">
      <c r="D274" s="123"/>
      <c r="L274" s="125"/>
      <c r="N274" s="126"/>
      <c r="P274" s="127"/>
      <c r="Q274" s="128"/>
      <c r="R274" s="74"/>
      <c r="AF274" s="76"/>
    </row>
    <row r="275">
      <c r="D275" s="123"/>
      <c r="L275" s="125"/>
      <c r="N275" s="126"/>
      <c r="P275" s="127"/>
      <c r="Q275" s="128"/>
      <c r="R275" s="74"/>
      <c r="AF275" s="76"/>
    </row>
    <row r="276">
      <c r="D276" s="123"/>
      <c r="L276" s="125"/>
      <c r="N276" s="126"/>
      <c r="P276" s="127"/>
      <c r="Q276" s="128"/>
      <c r="R276" s="74"/>
      <c r="AF276" s="76"/>
    </row>
    <row r="277">
      <c r="D277" s="123"/>
      <c r="L277" s="125"/>
      <c r="N277" s="126"/>
      <c r="P277" s="127"/>
      <c r="Q277" s="128"/>
      <c r="R277" s="74"/>
      <c r="AF277" s="76"/>
    </row>
    <row r="278">
      <c r="D278" s="123"/>
      <c r="L278" s="125"/>
      <c r="N278" s="126"/>
      <c r="P278" s="127"/>
      <c r="Q278" s="128"/>
      <c r="R278" s="74"/>
      <c r="AF278" s="76"/>
    </row>
    <row r="279">
      <c r="D279" s="123"/>
      <c r="L279" s="125"/>
      <c r="N279" s="126"/>
      <c r="P279" s="127"/>
      <c r="Q279" s="128"/>
      <c r="R279" s="74"/>
      <c r="AF279" s="76"/>
    </row>
    <row r="280">
      <c r="D280" s="123"/>
      <c r="L280" s="125"/>
      <c r="N280" s="126"/>
      <c r="P280" s="127"/>
      <c r="Q280" s="128"/>
      <c r="R280" s="74"/>
      <c r="AF280" s="76"/>
    </row>
    <row r="281">
      <c r="D281" s="123"/>
      <c r="L281" s="125"/>
      <c r="N281" s="126"/>
      <c r="P281" s="127"/>
      <c r="Q281" s="128"/>
      <c r="R281" s="74"/>
      <c r="AF281" s="76"/>
    </row>
    <row r="282">
      <c r="D282" s="123"/>
      <c r="L282" s="125"/>
      <c r="N282" s="126"/>
      <c r="P282" s="127"/>
      <c r="Q282" s="128"/>
      <c r="R282" s="74"/>
      <c r="AF282" s="76"/>
    </row>
    <row r="283">
      <c r="D283" s="123"/>
      <c r="L283" s="125"/>
      <c r="N283" s="126"/>
      <c r="P283" s="127"/>
      <c r="Q283" s="128"/>
      <c r="R283" s="74"/>
      <c r="AF283" s="76"/>
    </row>
    <row r="284">
      <c r="D284" s="123"/>
      <c r="L284" s="125"/>
      <c r="N284" s="126"/>
      <c r="P284" s="127"/>
      <c r="Q284" s="128"/>
      <c r="R284" s="74"/>
      <c r="AF284" s="76"/>
    </row>
    <row r="285">
      <c r="D285" s="123"/>
      <c r="L285" s="125"/>
      <c r="N285" s="126"/>
      <c r="P285" s="127"/>
      <c r="Q285" s="128"/>
      <c r="R285" s="74"/>
      <c r="AF285" s="76"/>
    </row>
    <row r="286">
      <c r="D286" s="123"/>
      <c r="L286" s="125"/>
      <c r="N286" s="126"/>
      <c r="P286" s="127"/>
      <c r="Q286" s="128"/>
      <c r="R286" s="74"/>
      <c r="AF286" s="76"/>
    </row>
    <row r="287">
      <c r="D287" s="123"/>
      <c r="L287" s="125"/>
      <c r="N287" s="126"/>
      <c r="P287" s="127"/>
      <c r="Q287" s="128"/>
      <c r="R287" s="74"/>
      <c r="AF287" s="76"/>
    </row>
    <row r="288">
      <c r="D288" s="123"/>
      <c r="L288" s="125"/>
      <c r="N288" s="126"/>
      <c r="P288" s="127"/>
      <c r="Q288" s="128"/>
      <c r="R288" s="74"/>
      <c r="AF288" s="76"/>
    </row>
    <row r="289">
      <c r="D289" s="123"/>
      <c r="L289" s="125"/>
      <c r="N289" s="126"/>
      <c r="P289" s="127"/>
      <c r="Q289" s="128"/>
      <c r="R289" s="74"/>
      <c r="AF289" s="76"/>
    </row>
    <row r="290">
      <c r="D290" s="123"/>
      <c r="L290" s="125"/>
      <c r="N290" s="126"/>
      <c r="P290" s="127"/>
      <c r="Q290" s="128"/>
      <c r="R290" s="74"/>
      <c r="AF290" s="76"/>
    </row>
    <row r="291">
      <c r="D291" s="123"/>
      <c r="L291" s="125"/>
      <c r="N291" s="126"/>
      <c r="P291" s="127"/>
      <c r="Q291" s="128"/>
      <c r="R291" s="74"/>
      <c r="AF291" s="76"/>
    </row>
    <row r="292">
      <c r="D292" s="123"/>
      <c r="L292" s="125"/>
      <c r="N292" s="126"/>
      <c r="P292" s="127"/>
      <c r="Q292" s="128"/>
      <c r="R292" s="74"/>
      <c r="AF292" s="76"/>
    </row>
    <row r="293">
      <c r="D293" s="123"/>
      <c r="L293" s="125"/>
      <c r="N293" s="126"/>
      <c r="P293" s="127"/>
      <c r="Q293" s="128"/>
      <c r="R293" s="74"/>
      <c r="AF293" s="76"/>
    </row>
    <row r="294">
      <c r="D294" s="123"/>
      <c r="L294" s="125"/>
      <c r="N294" s="126"/>
      <c r="P294" s="127"/>
      <c r="Q294" s="128"/>
      <c r="R294" s="74"/>
      <c r="AF294" s="76"/>
    </row>
    <row r="295">
      <c r="D295" s="123"/>
      <c r="L295" s="125"/>
      <c r="N295" s="126"/>
      <c r="P295" s="127"/>
      <c r="Q295" s="128"/>
      <c r="R295" s="74"/>
      <c r="AF295" s="76"/>
    </row>
    <row r="296">
      <c r="D296" s="123"/>
      <c r="L296" s="125"/>
      <c r="N296" s="126"/>
      <c r="P296" s="127"/>
      <c r="Q296" s="128"/>
      <c r="R296" s="74"/>
      <c r="AF296" s="76"/>
    </row>
    <row r="297">
      <c r="D297" s="123"/>
      <c r="L297" s="125"/>
      <c r="N297" s="126"/>
      <c r="P297" s="127"/>
      <c r="Q297" s="128"/>
      <c r="R297" s="74"/>
      <c r="AF297" s="76"/>
    </row>
    <row r="298">
      <c r="D298" s="123"/>
      <c r="L298" s="125"/>
      <c r="N298" s="126"/>
      <c r="P298" s="127"/>
      <c r="Q298" s="128"/>
      <c r="R298" s="74"/>
      <c r="AF298" s="76"/>
    </row>
    <row r="299">
      <c r="D299" s="123"/>
      <c r="L299" s="125"/>
      <c r="N299" s="126"/>
      <c r="P299" s="127"/>
      <c r="Q299" s="128"/>
      <c r="R299" s="74"/>
      <c r="AF299" s="76"/>
    </row>
    <row r="300">
      <c r="D300" s="123"/>
      <c r="L300" s="125"/>
      <c r="N300" s="126"/>
      <c r="P300" s="127"/>
      <c r="Q300" s="128"/>
      <c r="R300" s="74"/>
      <c r="AF300" s="76"/>
    </row>
    <row r="301">
      <c r="D301" s="123"/>
      <c r="L301" s="125"/>
      <c r="N301" s="126"/>
      <c r="P301" s="127"/>
      <c r="Q301" s="128"/>
      <c r="R301" s="74"/>
      <c r="AF301" s="76"/>
    </row>
    <row r="302">
      <c r="D302" s="123"/>
      <c r="L302" s="125"/>
      <c r="N302" s="126"/>
      <c r="P302" s="127"/>
      <c r="Q302" s="128"/>
      <c r="R302" s="74"/>
      <c r="AF302" s="76"/>
    </row>
    <row r="303">
      <c r="D303" s="123"/>
      <c r="L303" s="125"/>
      <c r="N303" s="126"/>
      <c r="P303" s="127"/>
      <c r="Q303" s="128"/>
      <c r="R303" s="74"/>
      <c r="AF303" s="76"/>
    </row>
    <row r="304">
      <c r="D304" s="123"/>
      <c r="L304" s="125"/>
      <c r="N304" s="126"/>
      <c r="P304" s="127"/>
      <c r="Q304" s="128"/>
      <c r="R304" s="74"/>
      <c r="AF304" s="76"/>
    </row>
    <row r="305">
      <c r="D305" s="123"/>
      <c r="L305" s="125"/>
      <c r="N305" s="126"/>
      <c r="P305" s="127"/>
      <c r="Q305" s="128"/>
      <c r="R305" s="74"/>
      <c r="AF305" s="76"/>
    </row>
    <row r="306">
      <c r="D306" s="123"/>
      <c r="L306" s="125"/>
      <c r="N306" s="126"/>
      <c r="P306" s="127"/>
      <c r="Q306" s="128"/>
      <c r="R306" s="74"/>
      <c r="AF306" s="76"/>
    </row>
    <row r="307">
      <c r="D307" s="123"/>
      <c r="L307" s="125"/>
      <c r="N307" s="126"/>
      <c r="P307" s="127"/>
      <c r="Q307" s="128"/>
      <c r="R307" s="74"/>
      <c r="AF307" s="76"/>
    </row>
    <row r="308">
      <c r="D308" s="123"/>
      <c r="L308" s="125"/>
      <c r="N308" s="126"/>
      <c r="P308" s="127"/>
      <c r="Q308" s="128"/>
      <c r="R308" s="74"/>
      <c r="AF308" s="76"/>
    </row>
    <row r="309">
      <c r="D309" s="123"/>
      <c r="L309" s="125"/>
      <c r="N309" s="126"/>
      <c r="P309" s="127"/>
      <c r="Q309" s="128"/>
      <c r="R309" s="74"/>
      <c r="AF309" s="76"/>
    </row>
    <row r="310">
      <c r="D310" s="123"/>
      <c r="L310" s="125"/>
      <c r="N310" s="126"/>
      <c r="P310" s="127"/>
      <c r="Q310" s="128"/>
      <c r="R310" s="74"/>
      <c r="AF310" s="76"/>
    </row>
    <row r="311">
      <c r="D311" s="123"/>
      <c r="L311" s="125"/>
      <c r="N311" s="126"/>
      <c r="P311" s="127"/>
      <c r="Q311" s="128"/>
      <c r="R311" s="74"/>
      <c r="AF311" s="76"/>
    </row>
    <row r="312">
      <c r="D312" s="123"/>
      <c r="L312" s="125"/>
      <c r="N312" s="126"/>
      <c r="P312" s="127"/>
      <c r="Q312" s="128"/>
      <c r="R312" s="74"/>
      <c r="AF312" s="76"/>
    </row>
    <row r="313">
      <c r="D313" s="123"/>
      <c r="L313" s="125"/>
      <c r="N313" s="126"/>
      <c r="P313" s="127"/>
      <c r="Q313" s="128"/>
      <c r="R313" s="74"/>
      <c r="AF313" s="76"/>
    </row>
    <row r="314">
      <c r="D314" s="123"/>
      <c r="L314" s="125"/>
      <c r="N314" s="126"/>
      <c r="P314" s="127"/>
      <c r="Q314" s="128"/>
      <c r="R314" s="74"/>
      <c r="AF314" s="76"/>
    </row>
    <row r="315">
      <c r="D315" s="123"/>
      <c r="L315" s="125"/>
      <c r="N315" s="126"/>
      <c r="P315" s="127"/>
      <c r="Q315" s="128"/>
      <c r="R315" s="74"/>
      <c r="AF315" s="76"/>
    </row>
    <row r="316">
      <c r="D316" s="123"/>
      <c r="L316" s="125"/>
      <c r="N316" s="126"/>
      <c r="P316" s="127"/>
      <c r="Q316" s="128"/>
      <c r="R316" s="74"/>
      <c r="AF316" s="76"/>
    </row>
    <row r="317">
      <c r="D317" s="123"/>
      <c r="L317" s="125"/>
      <c r="N317" s="126"/>
      <c r="P317" s="127"/>
      <c r="Q317" s="128"/>
      <c r="R317" s="74"/>
      <c r="AF317" s="76"/>
    </row>
    <row r="318">
      <c r="D318" s="123"/>
      <c r="L318" s="125"/>
      <c r="N318" s="126"/>
      <c r="P318" s="127"/>
      <c r="Q318" s="128"/>
      <c r="R318" s="74"/>
      <c r="AF318" s="76"/>
    </row>
    <row r="319">
      <c r="D319" s="123"/>
      <c r="L319" s="125"/>
      <c r="N319" s="126"/>
      <c r="P319" s="127"/>
      <c r="Q319" s="128"/>
      <c r="R319" s="74"/>
      <c r="AF319" s="76"/>
    </row>
    <row r="320">
      <c r="D320" s="123"/>
      <c r="L320" s="125"/>
      <c r="N320" s="126"/>
      <c r="P320" s="127"/>
      <c r="Q320" s="128"/>
      <c r="R320" s="74"/>
      <c r="AF320" s="76"/>
    </row>
    <row r="321">
      <c r="D321" s="123"/>
      <c r="L321" s="125"/>
      <c r="N321" s="126"/>
      <c r="P321" s="127"/>
      <c r="Q321" s="128"/>
      <c r="R321" s="74"/>
      <c r="AF321" s="76"/>
    </row>
    <row r="322">
      <c r="D322" s="123"/>
      <c r="L322" s="125"/>
      <c r="N322" s="126"/>
      <c r="P322" s="127"/>
      <c r="Q322" s="128"/>
      <c r="R322" s="74"/>
      <c r="AF322" s="76"/>
    </row>
    <row r="323">
      <c r="D323" s="123"/>
      <c r="L323" s="125"/>
      <c r="N323" s="126"/>
      <c r="P323" s="127"/>
      <c r="Q323" s="128"/>
      <c r="R323" s="74"/>
      <c r="AF323" s="76"/>
    </row>
    <row r="324">
      <c r="D324" s="123"/>
      <c r="L324" s="125"/>
      <c r="N324" s="126"/>
      <c r="P324" s="127"/>
      <c r="Q324" s="128"/>
      <c r="R324" s="74"/>
      <c r="AF324" s="76"/>
    </row>
    <row r="325">
      <c r="D325" s="123"/>
      <c r="L325" s="125"/>
      <c r="N325" s="126"/>
      <c r="P325" s="127"/>
      <c r="Q325" s="128"/>
      <c r="R325" s="74"/>
      <c r="AF325" s="76"/>
    </row>
    <row r="326">
      <c r="D326" s="123"/>
      <c r="L326" s="125"/>
      <c r="N326" s="126"/>
      <c r="P326" s="127"/>
      <c r="Q326" s="128"/>
      <c r="R326" s="74"/>
      <c r="AF326" s="76"/>
    </row>
    <row r="327">
      <c r="D327" s="123"/>
      <c r="L327" s="125"/>
      <c r="N327" s="126"/>
      <c r="P327" s="127"/>
      <c r="Q327" s="128"/>
      <c r="R327" s="74"/>
      <c r="AF327" s="76"/>
    </row>
    <row r="328">
      <c r="D328" s="123"/>
      <c r="L328" s="125"/>
      <c r="N328" s="126"/>
      <c r="P328" s="127"/>
      <c r="Q328" s="128"/>
      <c r="R328" s="74"/>
      <c r="AF328" s="76"/>
    </row>
    <row r="329">
      <c r="D329" s="123"/>
      <c r="L329" s="125"/>
      <c r="N329" s="126"/>
      <c r="P329" s="127"/>
      <c r="Q329" s="128"/>
      <c r="R329" s="74"/>
      <c r="AF329" s="76"/>
    </row>
    <row r="330">
      <c r="D330" s="123"/>
      <c r="L330" s="125"/>
      <c r="N330" s="126"/>
      <c r="P330" s="127"/>
      <c r="Q330" s="128"/>
      <c r="R330" s="74"/>
      <c r="AF330" s="76"/>
    </row>
    <row r="331">
      <c r="D331" s="123"/>
      <c r="L331" s="125"/>
      <c r="N331" s="126"/>
      <c r="P331" s="127"/>
      <c r="Q331" s="128"/>
      <c r="R331" s="74"/>
      <c r="AF331" s="76"/>
    </row>
    <row r="332">
      <c r="D332" s="123"/>
      <c r="L332" s="125"/>
      <c r="N332" s="126"/>
      <c r="P332" s="127"/>
      <c r="Q332" s="128"/>
      <c r="R332" s="74"/>
      <c r="AF332" s="76"/>
    </row>
    <row r="333">
      <c r="D333" s="123"/>
      <c r="L333" s="125"/>
      <c r="N333" s="126"/>
      <c r="P333" s="127"/>
      <c r="Q333" s="128"/>
      <c r="R333" s="74"/>
      <c r="AF333" s="76"/>
    </row>
    <row r="334">
      <c r="D334" s="123"/>
      <c r="L334" s="125"/>
      <c r="N334" s="126"/>
      <c r="P334" s="127"/>
      <c r="Q334" s="128"/>
      <c r="R334" s="74"/>
      <c r="AF334" s="76"/>
    </row>
    <row r="335">
      <c r="D335" s="123"/>
      <c r="L335" s="125"/>
      <c r="N335" s="126"/>
      <c r="P335" s="127"/>
      <c r="Q335" s="128"/>
      <c r="R335" s="74"/>
      <c r="AF335" s="76"/>
    </row>
    <row r="336">
      <c r="D336" s="123"/>
      <c r="L336" s="125"/>
      <c r="N336" s="126"/>
      <c r="P336" s="127"/>
      <c r="Q336" s="128"/>
      <c r="R336" s="74"/>
      <c r="AF336" s="76"/>
    </row>
    <row r="337">
      <c r="D337" s="123"/>
      <c r="L337" s="125"/>
      <c r="N337" s="126"/>
      <c r="P337" s="127"/>
      <c r="Q337" s="128"/>
      <c r="R337" s="74"/>
      <c r="AF337" s="76"/>
    </row>
    <row r="338">
      <c r="D338" s="123"/>
      <c r="L338" s="125"/>
      <c r="N338" s="126"/>
      <c r="P338" s="127"/>
      <c r="Q338" s="128"/>
      <c r="R338" s="74"/>
      <c r="AF338" s="76"/>
    </row>
    <row r="339">
      <c r="D339" s="123"/>
      <c r="L339" s="125"/>
      <c r="N339" s="126"/>
      <c r="P339" s="127"/>
      <c r="Q339" s="128"/>
      <c r="R339" s="74"/>
      <c r="AF339" s="76"/>
    </row>
    <row r="340">
      <c r="D340" s="123"/>
      <c r="L340" s="125"/>
      <c r="N340" s="126"/>
      <c r="P340" s="127"/>
      <c r="Q340" s="128"/>
      <c r="R340" s="74"/>
      <c r="AF340" s="76"/>
    </row>
    <row r="341">
      <c r="D341" s="123"/>
      <c r="L341" s="125"/>
      <c r="N341" s="126"/>
      <c r="P341" s="127"/>
      <c r="Q341" s="128"/>
      <c r="R341" s="74"/>
      <c r="AF341" s="76"/>
    </row>
    <row r="342">
      <c r="D342" s="123"/>
      <c r="L342" s="125"/>
      <c r="N342" s="126"/>
      <c r="P342" s="127"/>
      <c r="Q342" s="128"/>
      <c r="R342" s="74"/>
      <c r="AF342" s="76"/>
    </row>
    <row r="343">
      <c r="D343" s="123"/>
      <c r="L343" s="125"/>
      <c r="N343" s="126"/>
      <c r="P343" s="127"/>
      <c r="Q343" s="128"/>
      <c r="R343" s="74"/>
      <c r="AF343" s="76"/>
    </row>
    <row r="344">
      <c r="D344" s="123"/>
      <c r="L344" s="125"/>
      <c r="N344" s="126"/>
      <c r="P344" s="127"/>
      <c r="Q344" s="128"/>
      <c r="R344" s="74"/>
      <c r="AF344" s="76"/>
    </row>
    <row r="345">
      <c r="D345" s="123"/>
      <c r="L345" s="125"/>
      <c r="N345" s="126"/>
      <c r="P345" s="127"/>
      <c r="Q345" s="128"/>
      <c r="R345" s="74"/>
      <c r="AF345" s="76"/>
    </row>
    <row r="346">
      <c r="D346" s="123"/>
      <c r="L346" s="125"/>
      <c r="N346" s="126"/>
      <c r="P346" s="127"/>
      <c r="Q346" s="128"/>
      <c r="R346" s="74"/>
      <c r="AF346" s="76"/>
    </row>
    <row r="347">
      <c r="D347" s="123"/>
      <c r="L347" s="125"/>
      <c r="N347" s="126"/>
      <c r="P347" s="127"/>
      <c r="Q347" s="128"/>
      <c r="R347" s="74"/>
      <c r="AF347" s="76"/>
    </row>
    <row r="348">
      <c r="D348" s="123"/>
      <c r="L348" s="125"/>
      <c r="N348" s="126"/>
      <c r="P348" s="127"/>
      <c r="Q348" s="128"/>
      <c r="R348" s="74"/>
      <c r="AF348" s="76"/>
    </row>
    <row r="349">
      <c r="D349" s="123"/>
      <c r="L349" s="125"/>
      <c r="N349" s="126"/>
      <c r="P349" s="127"/>
      <c r="Q349" s="128"/>
      <c r="R349" s="74"/>
      <c r="AF349" s="76"/>
    </row>
    <row r="350">
      <c r="D350" s="123"/>
      <c r="L350" s="125"/>
      <c r="N350" s="126"/>
      <c r="P350" s="127"/>
      <c r="Q350" s="128"/>
      <c r="R350" s="74"/>
      <c r="AF350" s="76"/>
    </row>
    <row r="351">
      <c r="D351" s="123"/>
      <c r="L351" s="125"/>
      <c r="N351" s="126"/>
      <c r="P351" s="127"/>
      <c r="Q351" s="128"/>
      <c r="R351" s="74"/>
      <c r="AF351" s="76"/>
    </row>
    <row r="352">
      <c r="D352" s="123"/>
      <c r="L352" s="125"/>
      <c r="N352" s="126"/>
      <c r="P352" s="127"/>
      <c r="Q352" s="128"/>
      <c r="R352" s="74"/>
      <c r="AF352" s="76"/>
    </row>
    <row r="353">
      <c r="D353" s="123"/>
      <c r="L353" s="125"/>
      <c r="N353" s="126"/>
      <c r="P353" s="127"/>
      <c r="Q353" s="128"/>
      <c r="R353" s="74"/>
      <c r="AF353" s="76"/>
    </row>
    <row r="354">
      <c r="D354" s="123"/>
      <c r="L354" s="125"/>
      <c r="N354" s="126"/>
      <c r="P354" s="127"/>
      <c r="Q354" s="128"/>
      <c r="R354" s="74"/>
      <c r="AF354" s="76"/>
    </row>
    <row r="355">
      <c r="D355" s="123"/>
      <c r="L355" s="125"/>
      <c r="N355" s="126"/>
      <c r="P355" s="127"/>
      <c r="Q355" s="128"/>
      <c r="R355" s="74"/>
      <c r="AF355" s="76"/>
    </row>
    <row r="356">
      <c r="D356" s="123"/>
      <c r="L356" s="125"/>
      <c r="N356" s="126"/>
      <c r="P356" s="127"/>
      <c r="Q356" s="128"/>
      <c r="R356" s="74"/>
      <c r="AF356" s="76"/>
    </row>
    <row r="357">
      <c r="D357" s="123"/>
      <c r="L357" s="125"/>
      <c r="N357" s="126"/>
      <c r="P357" s="127"/>
      <c r="Q357" s="128"/>
      <c r="R357" s="74"/>
      <c r="AF357" s="76"/>
    </row>
    <row r="358">
      <c r="D358" s="123"/>
      <c r="L358" s="125"/>
      <c r="N358" s="126"/>
      <c r="P358" s="127"/>
      <c r="Q358" s="128"/>
      <c r="R358" s="74"/>
      <c r="AF358" s="76"/>
    </row>
    <row r="359">
      <c r="D359" s="123"/>
      <c r="L359" s="125"/>
      <c r="N359" s="126"/>
      <c r="P359" s="127"/>
      <c r="Q359" s="128"/>
      <c r="R359" s="74"/>
      <c r="AF359" s="76"/>
    </row>
    <row r="360">
      <c r="D360" s="123"/>
      <c r="L360" s="125"/>
      <c r="N360" s="126"/>
      <c r="P360" s="127"/>
      <c r="Q360" s="128"/>
      <c r="R360" s="74"/>
      <c r="AF360" s="76"/>
    </row>
    <row r="361">
      <c r="D361" s="123"/>
      <c r="L361" s="125"/>
      <c r="N361" s="126"/>
      <c r="P361" s="127"/>
      <c r="Q361" s="128"/>
      <c r="R361" s="74"/>
      <c r="AF361" s="76"/>
    </row>
    <row r="362">
      <c r="D362" s="123"/>
      <c r="L362" s="125"/>
      <c r="N362" s="126"/>
      <c r="P362" s="127"/>
      <c r="Q362" s="128"/>
      <c r="R362" s="74"/>
      <c r="AF362" s="76"/>
    </row>
    <row r="363">
      <c r="D363" s="123"/>
      <c r="L363" s="125"/>
      <c r="N363" s="126"/>
      <c r="P363" s="127"/>
      <c r="Q363" s="128"/>
      <c r="R363" s="74"/>
      <c r="AF363" s="76"/>
    </row>
    <row r="364">
      <c r="D364" s="123"/>
      <c r="L364" s="125"/>
      <c r="N364" s="126"/>
      <c r="P364" s="127"/>
      <c r="Q364" s="128"/>
      <c r="R364" s="74"/>
      <c r="AF364" s="76"/>
    </row>
    <row r="365">
      <c r="D365" s="123"/>
      <c r="L365" s="125"/>
      <c r="N365" s="126"/>
      <c r="P365" s="127"/>
      <c r="Q365" s="128"/>
      <c r="R365" s="74"/>
      <c r="AF365" s="76"/>
    </row>
    <row r="366">
      <c r="D366" s="123"/>
      <c r="L366" s="125"/>
      <c r="N366" s="126"/>
      <c r="P366" s="127"/>
      <c r="Q366" s="128"/>
      <c r="R366" s="74"/>
      <c r="AF366" s="76"/>
    </row>
    <row r="367">
      <c r="D367" s="123"/>
      <c r="L367" s="125"/>
      <c r="N367" s="126"/>
      <c r="P367" s="127"/>
      <c r="Q367" s="128"/>
      <c r="R367" s="74"/>
      <c r="AF367" s="76"/>
    </row>
    <row r="368">
      <c r="D368" s="123"/>
      <c r="L368" s="125"/>
      <c r="N368" s="126"/>
      <c r="P368" s="127"/>
      <c r="Q368" s="128"/>
      <c r="R368" s="74"/>
      <c r="AF368" s="76"/>
    </row>
    <row r="369">
      <c r="D369" s="123"/>
      <c r="L369" s="125"/>
      <c r="N369" s="126"/>
      <c r="P369" s="127"/>
      <c r="Q369" s="128"/>
      <c r="R369" s="74"/>
      <c r="AF369" s="76"/>
    </row>
    <row r="370">
      <c r="D370" s="123"/>
      <c r="L370" s="125"/>
      <c r="N370" s="126"/>
      <c r="P370" s="127"/>
      <c r="Q370" s="128"/>
      <c r="R370" s="74"/>
      <c r="AF370" s="76"/>
    </row>
    <row r="371">
      <c r="D371" s="123"/>
      <c r="L371" s="125"/>
      <c r="N371" s="126"/>
      <c r="P371" s="127"/>
      <c r="Q371" s="128"/>
      <c r="R371" s="74"/>
      <c r="AF371" s="76"/>
    </row>
    <row r="372">
      <c r="D372" s="123"/>
      <c r="L372" s="125"/>
      <c r="N372" s="126"/>
      <c r="P372" s="127"/>
      <c r="Q372" s="128"/>
      <c r="R372" s="74"/>
      <c r="AF372" s="76"/>
    </row>
    <row r="373">
      <c r="D373" s="123"/>
      <c r="L373" s="125"/>
      <c r="N373" s="126"/>
      <c r="P373" s="127"/>
      <c r="Q373" s="128"/>
      <c r="R373" s="74"/>
      <c r="AF373" s="76"/>
    </row>
    <row r="374">
      <c r="D374" s="123"/>
      <c r="L374" s="125"/>
      <c r="N374" s="126"/>
      <c r="P374" s="127"/>
      <c r="Q374" s="128"/>
      <c r="R374" s="74"/>
      <c r="AF374" s="76"/>
    </row>
    <row r="375">
      <c r="D375" s="123"/>
      <c r="L375" s="125"/>
      <c r="N375" s="126"/>
      <c r="P375" s="127"/>
      <c r="Q375" s="128"/>
      <c r="R375" s="74"/>
      <c r="AF375" s="76"/>
    </row>
    <row r="376">
      <c r="D376" s="123"/>
      <c r="L376" s="125"/>
      <c r="N376" s="126"/>
      <c r="P376" s="127"/>
      <c r="Q376" s="128"/>
      <c r="R376" s="74"/>
      <c r="AF376" s="76"/>
    </row>
    <row r="377">
      <c r="D377" s="123"/>
      <c r="L377" s="125"/>
      <c r="N377" s="126"/>
      <c r="P377" s="127"/>
      <c r="Q377" s="128"/>
      <c r="R377" s="74"/>
      <c r="AF377" s="76"/>
    </row>
    <row r="378">
      <c r="D378" s="123"/>
      <c r="L378" s="125"/>
      <c r="N378" s="126"/>
      <c r="P378" s="127"/>
      <c r="Q378" s="128"/>
      <c r="R378" s="74"/>
      <c r="AF378" s="76"/>
    </row>
    <row r="379">
      <c r="D379" s="123"/>
      <c r="L379" s="125"/>
      <c r="N379" s="126"/>
      <c r="P379" s="127"/>
      <c r="Q379" s="128"/>
      <c r="R379" s="74"/>
      <c r="AF379" s="76"/>
    </row>
    <row r="380">
      <c r="D380" s="123"/>
      <c r="L380" s="125"/>
      <c r="N380" s="126"/>
      <c r="P380" s="127"/>
      <c r="Q380" s="128"/>
      <c r="R380" s="74"/>
      <c r="AF380" s="76"/>
    </row>
    <row r="381">
      <c r="D381" s="123"/>
      <c r="L381" s="125"/>
      <c r="N381" s="126"/>
      <c r="P381" s="127"/>
      <c r="Q381" s="128"/>
      <c r="R381" s="74"/>
      <c r="AF381" s="76"/>
    </row>
    <row r="382">
      <c r="D382" s="123"/>
      <c r="L382" s="125"/>
      <c r="N382" s="126"/>
      <c r="P382" s="127"/>
      <c r="Q382" s="128"/>
      <c r="R382" s="74"/>
      <c r="AF382" s="76"/>
    </row>
    <row r="383">
      <c r="D383" s="123"/>
      <c r="L383" s="125"/>
      <c r="N383" s="126"/>
      <c r="P383" s="127"/>
      <c r="Q383" s="128"/>
      <c r="R383" s="74"/>
      <c r="AF383" s="76"/>
    </row>
    <row r="384">
      <c r="D384" s="123"/>
      <c r="L384" s="125"/>
      <c r="N384" s="126"/>
      <c r="P384" s="127"/>
      <c r="Q384" s="128"/>
      <c r="R384" s="74"/>
      <c r="AF384" s="76"/>
    </row>
    <row r="385">
      <c r="D385" s="123"/>
      <c r="L385" s="125"/>
      <c r="N385" s="126"/>
      <c r="P385" s="127"/>
      <c r="Q385" s="128"/>
      <c r="R385" s="74"/>
      <c r="AF385" s="76"/>
    </row>
    <row r="386">
      <c r="D386" s="123"/>
      <c r="L386" s="125"/>
      <c r="N386" s="126"/>
      <c r="P386" s="127"/>
      <c r="Q386" s="128"/>
      <c r="R386" s="74"/>
      <c r="AF386" s="76"/>
    </row>
    <row r="387">
      <c r="D387" s="123"/>
      <c r="L387" s="125"/>
      <c r="N387" s="126"/>
      <c r="P387" s="127"/>
      <c r="Q387" s="128"/>
      <c r="R387" s="74"/>
      <c r="AF387" s="76"/>
    </row>
    <row r="388">
      <c r="D388" s="123"/>
      <c r="L388" s="125"/>
      <c r="N388" s="126"/>
      <c r="P388" s="127"/>
      <c r="Q388" s="128"/>
      <c r="R388" s="74"/>
      <c r="AF388" s="76"/>
    </row>
    <row r="389">
      <c r="D389" s="123"/>
      <c r="L389" s="125"/>
      <c r="N389" s="126"/>
      <c r="P389" s="127"/>
      <c r="Q389" s="128"/>
      <c r="R389" s="74"/>
      <c r="AF389" s="76"/>
    </row>
    <row r="390">
      <c r="D390" s="123"/>
      <c r="L390" s="125"/>
      <c r="N390" s="126"/>
      <c r="P390" s="127"/>
      <c r="Q390" s="128"/>
      <c r="R390" s="74"/>
      <c r="AF390" s="76"/>
    </row>
    <row r="391">
      <c r="D391" s="123"/>
      <c r="L391" s="125"/>
      <c r="N391" s="126"/>
      <c r="P391" s="127"/>
      <c r="Q391" s="128"/>
      <c r="R391" s="74"/>
      <c r="AF391" s="76"/>
    </row>
    <row r="392">
      <c r="D392" s="123"/>
      <c r="L392" s="125"/>
      <c r="N392" s="126"/>
      <c r="P392" s="127"/>
      <c r="Q392" s="128"/>
      <c r="R392" s="74"/>
      <c r="AF392" s="76"/>
    </row>
    <row r="393">
      <c r="D393" s="123"/>
      <c r="L393" s="125"/>
      <c r="N393" s="126"/>
      <c r="P393" s="127"/>
      <c r="Q393" s="128"/>
      <c r="R393" s="74"/>
      <c r="AF393" s="76"/>
    </row>
    <row r="394">
      <c r="D394" s="123"/>
      <c r="L394" s="125"/>
      <c r="N394" s="126"/>
      <c r="P394" s="127"/>
      <c r="Q394" s="128"/>
      <c r="R394" s="74"/>
      <c r="AF394" s="76"/>
    </row>
    <row r="395">
      <c r="D395" s="123"/>
      <c r="L395" s="125"/>
      <c r="N395" s="126"/>
      <c r="P395" s="127"/>
      <c r="Q395" s="128"/>
      <c r="R395" s="74"/>
      <c r="AF395" s="76"/>
    </row>
    <row r="396">
      <c r="D396" s="123"/>
      <c r="L396" s="125"/>
      <c r="N396" s="126"/>
      <c r="P396" s="127"/>
      <c r="Q396" s="128"/>
      <c r="R396" s="74"/>
      <c r="AF396" s="76"/>
    </row>
    <row r="397">
      <c r="D397" s="123"/>
      <c r="L397" s="125"/>
      <c r="N397" s="126"/>
      <c r="P397" s="127"/>
      <c r="Q397" s="128"/>
      <c r="R397" s="74"/>
      <c r="AF397" s="76"/>
    </row>
    <row r="398">
      <c r="D398" s="123"/>
      <c r="L398" s="125"/>
      <c r="N398" s="126"/>
      <c r="P398" s="127"/>
      <c r="Q398" s="128"/>
      <c r="R398" s="74"/>
      <c r="AF398" s="76"/>
    </row>
    <row r="399">
      <c r="D399" s="123"/>
      <c r="L399" s="125"/>
      <c r="N399" s="126"/>
      <c r="P399" s="127"/>
      <c r="Q399" s="128"/>
      <c r="R399" s="74"/>
      <c r="AF399" s="76"/>
    </row>
    <row r="400">
      <c r="D400" s="123"/>
      <c r="L400" s="125"/>
      <c r="N400" s="126"/>
      <c r="P400" s="127"/>
      <c r="Q400" s="128"/>
      <c r="R400" s="74"/>
      <c r="AF400" s="76"/>
    </row>
    <row r="401">
      <c r="D401" s="123"/>
      <c r="L401" s="125"/>
      <c r="N401" s="126"/>
      <c r="P401" s="127"/>
      <c r="Q401" s="128"/>
      <c r="R401" s="74"/>
      <c r="AF401" s="76"/>
    </row>
    <row r="402">
      <c r="D402" s="123"/>
      <c r="L402" s="125"/>
      <c r="N402" s="126"/>
      <c r="P402" s="127"/>
      <c r="Q402" s="128"/>
      <c r="R402" s="74"/>
      <c r="AF402" s="76"/>
    </row>
    <row r="403">
      <c r="D403" s="123"/>
      <c r="L403" s="125"/>
      <c r="N403" s="126"/>
      <c r="P403" s="127"/>
      <c r="Q403" s="128"/>
      <c r="R403" s="74"/>
      <c r="AF403" s="76"/>
    </row>
    <row r="404">
      <c r="D404" s="123"/>
      <c r="L404" s="125"/>
      <c r="N404" s="126"/>
      <c r="P404" s="127"/>
      <c r="Q404" s="128"/>
      <c r="R404" s="74"/>
      <c r="AF404" s="76"/>
    </row>
    <row r="405">
      <c r="D405" s="123"/>
      <c r="L405" s="125"/>
      <c r="N405" s="126"/>
      <c r="P405" s="127"/>
      <c r="Q405" s="128"/>
      <c r="R405" s="74"/>
      <c r="AF405" s="76"/>
    </row>
    <row r="406">
      <c r="D406" s="123"/>
      <c r="L406" s="125"/>
      <c r="N406" s="126"/>
      <c r="P406" s="127"/>
      <c r="Q406" s="128"/>
      <c r="R406" s="74"/>
      <c r="AF406" s="76"/>
    </row>
    <row r="407">
      <c r="D407" s="123"/>
      <c r="L407" s="125"/>
      <c r="N407" s="126"/>
      <c r="P407" s="127"/>
      <c r="Q407" s="128"/>
      <c r="R407" s="74"/>
      <c r="AF407" s="76"/>
    </row>
    <row r="408">
      <c r="D408" s="123"/>
      <c r="L408" s="125"/>
      <c r="N408" s="126"/>
      <c r="P408" s="127"/>
      <c r="Q408" s="128"/>
      <c r="R408" s="74"/>
      <c r="AF408" s="76"/>
    </row>
    <row r="409">
      <c r="D409" s="123"/>
      <c r="L409" s="125"/>
      <c r="N409" s="126"/>
      <c r="P409" s="127"/>
      <c r="Q409" s="128"/>
      <c r="R409" s="74"/>
      <c r="AF409" s="76"/>
    </row>
    <row r="410">
      <c r="D410" s="123"/>
      <c r="L410" s="125"/>
      <c r="N410" s="126"/>
      <c r="P410" s="127"/>
      <c r="Q410" s="128"/>
      <c r="R410" s="74"/>
      <c r="AF410" s="76"/>
    </row>
    <row r="411">
      <c r="D411" s="123"/>
      <c r="L411" s="125"/>
      <c r="N411" s="126"/>
      <c r="P411" s="127"/>
      <c r="Q411" s="128"/>
      <c r="R411" s="74"/>
      <c r="AF411" s="76"/>
    </row>
    <row r="412">
      <c r="D412" s="123"/>
      <c r="L412" s="125"/>
      <c r="N412" s="126"/>
      <c r="P412" s="127"/>
      <c r="Q412" s="128"/>
      <c r="R412" s="74"/>
      <c r="AF412" s="76"/>
    </row>
    <row r="413">
      <c r="D413" s="123"/>
      <c r="L413" s="125"/>
      <c r="N413" s="126"/>
      <c r="P413" s="127"/>
      <c r="Q413" s="128"/>
      <c r="R413" s="74"/>
      <c r="AF413" s="76"/>
    </row>
    <row r="414">
      <c r="D414" s="123"/>
      <c r="L414" s="125"/>
      <c r="N414" s="126"/>
      <c r="P414" s="127"/>
      <c r="Q414" s="128"/>
      <c r="R414" s="74"/>
      <c r="AF414" s="76"/>
    </row>
    <row r="415">
      <c r="D415" s="123"/>
      <c r="L415" s="125"/>
      <c r="N415" s="126"/>
      <c r="P415" s="127"/>
      <c r="Q415" s="128"/>
      <c r="R415" s="74"/>
      <c r="AF415" s="76"/>
    </row>
    <row r="416">
      <c r="D416" s="123"/>
      <c r="L416" s="125"/>
      <c r="N416" s="126"/>
      <c r="P416" s="127"/>
      <c r="Q416" s="128"/>
      <c r="R416" s="74"/>
      <c r="AF416" s="76"/>
    </row>
    <row r="417">
      <c r="D417" s="123"/>
      <c r="L417" s="125"/>
      <c r="N417" s="126"/>
      <c r="P417" s="127"/>
      <c r="Q417" s="128"/>
      <c r="R417" s="74"/>
      <c r="AF417" s="76"/>
    </row>
    <row r="418">
      <c r="D418" s="123"/>
      <c r="L418" s="125"/>
      <c r="N418" s="126"/>
      <c r="P418" s="127"/>
      <c r="Q418" s="128"/>
      <c r="R418" s="74"/>
      <c r="AF418" s="76"/>
    </row>
    <row r="419">
      <c r="D419" s="123"/>
      <c r="L419" s="125"/>
      <c r="N419" s="126"/>
      <c r="P419" s="127"/>
      <c r="Q419" s="128"/>
      <c r="R419" s="74"/>
      <c r="AF419" s="76"/>
    </row>
    <row r="420">
      <c r="D420" s="123"/>
      <c r="L420" s="125"/>
      <c r="N420" s="126"/>
      <c r="P420" s="127"/>
      <c r="Q420" s="128"/>
      <c r="R420" s="74"/>
      <c r="AF420" s="76"/>
    </row>
    <row r="421">
      <c r="D421" s="123"/>
      <c r="L421" s="125"/>
      <c r="N421" s="126"/>
      <c r="P421" s="127"/>
      <c r="Q421" s="128"/>
      <c r="R421" s="74"/>
      <c r="AF421" s="76"/>
    </row>
    <row r="422">
      <c r="D422" s="123"/>
      <c r="L422" s="125"/>
      <c r="N422" s="126"/>
      <c r="P422" s="127"/>
      <c r="Q422" s="128"/>
      <c r="R422" s="74"/>
      <c r="AF422" s="76"/>
    </row>
    <row r="423">
      <c r="D423" s="123"/>
      <c r="L423" s="125"/>
      <c r="N423" s="126"/>
      <c r="P423" s="127"/>
      <c r="Q423" s="128"/>
      <c r="R423" s="74"/>
      <c r="AF423" s="76"/>
    </row>
    <row r="424">
      <c r="D424" s="123"/>
      <c r="L424" s="125"/>
      <c r="N424" s="126"/>
      <c r="P424" s="127"/>
      <c r="Q424" s="128"/>
      <c r="R424" s="74"/>
      <c r="AF424" s="76"/>
    </row>
    <row r="425">
      <c r="D425" s="123"/>
      <c r="L425" s="125"/>
      <c r="N425" s="126"/>
      <c r="P425" s="127"/>
      <c r="Q425" s="128"/>
      <c r="R425" s="74"/>
      <c r="AF425" s="76"/>
    </row>
    <row r="426">
      <c r="D426" s="123"/>
      <c r="L426" s="125"/>
      <c r="N426" s="126"/>
      <c r="P426" s="127"/>
      <c r="Q426" s="128"/>
      <c r="R426" s="74"/>
      <c r="AF426" s="76"/>
    </row>
    <row r="427">
      <c r="D427" s="123"/>
      <c r="L427" s="125"/>
      <c r="N427" s="126"/>
      <c r="P427" s="127"/>
      <c r="Q427" s="128"/>
      <c r="R427" s="74"/>
      <c r="AF427" s="76"/>
    </row>
    <row r="428">
      <c r="D428" s="123"/>
      <c r="L428" s="125"/>
      <c r="N428" s="126"/>
      <c r="P428" s="127"/>
      <c r="Q428" s="128"/>
      <c r="R428" s="74"/>
      <c r="AF428" s="76"/>
    </row>
    <row r="429">
      <c r="D429" s="123"/>
      <c r="L429" s="125"/>
      <c r="N429" s="126"/>
      <c r="P429" s="127"/>
      <c r="Q429" s="128"/>
      <c r="R429" s="74"/>
      <c r="AF429" s="76"/>
    </row>
    <row r="430">
      <c r="D430" s="123"/>
      <c r="L430" s="125"/>
      <c r="N430" s="126"/>
      <c r="P430" s="127"/>
      <c r="Q430" s="128"/>
      <c r="R430" s="74"/>
      <c r="AF430" s="76"/>
    </row>
    <row r="431">
      <c r="D431" s="123"/>
      <c r="L431" s="125"/>
      <c r="N431" s="126"/>
      <c r="P431" s="127"/>
      <c r="Q431" s="128"/>
      <c r="R431" s="74"/>
      <c r="AF431" s="76"/>
    </row>
    <row r="432">
      <c r="D432" s="123"/>
      <c r="L432" s="125"/>
      <c r="N432" s="126"/>
      <c r="P432" s="127"/>
      <c r="Q432" s="128"/>
      <c r="R432" s="74"/>
      <c r="AF432" s="76"/>
    </row>
    <row r="433">
      <c r="D433" s="123"/>
      <c r="L433" s="125"/>
      <c r="N433" s="126"/>
      <c r="P433" s="127"/>
      <c r="Q433" s="128"/>
      <c r="R433" s="74"/>
      <c r="AF433" s="76"/>
    </row>
    <row r="434">
      <c r="D434" s="123"/>
      <c r="L434" s="125"/>
      <c r="N434" s="126"/>
      <c r="P434" s="127"/>
      <c r="Q434" s="128"/>
      <c r="R434" s="74"/>
      <c r="AF434" s="76"/>
    </row>
    <row r="435">
      <c r="D435" s="123"/>
      <c r="L435" s="125"/>
      <c r="N435" s="126"/>
      <c r="P435" s="127"/>
      <c r="Q435" s="128"/>
      <c r="R435" s="74"/>
      <c r="AF435" s="76"/>
    </row>
    <row r="436">
      <c r="D436" s="123"/>
      <c r="L436" s="125"/>
      <c r="N436" s="126"/>
      <c r="P436" s="127"/>
      <c r="Q436" s="128"/>
      <c r="R436" s="74"/>
      <c r="AF436" s="76"/>
    </row>
    <row r="437">
      <c r="D437" s="123"/>
      <c r="L437" s="125"/>
      <c r="N437" s="126"/>
      <c r="P437" s="127"/>
      <c r="Q437" s="128"/>
      <c r="R437" s="74"/>
      <c r="AF437" s="76"/>
    </row>
    <row r="438">
      <c r="D438" s="123"/>
      <c r="L438" s="125"/>
      <c r="N438" s="126"/>
      <c r="P438" s="127"/>
      <c r="Q438" s="128"/>
      <c r="R438" s="74"/>
      <c r="AF438" s="76"/>
    </row>
    <row r="439">
      <c r="D439" s="123"/>
      <c r="L439" s="125"/>
      <c r="N439" s="126"/>
      <c r="P439" s="127"/>
      <c r="Q439" s="128"/>
      <c r="R439" s="74"/>
      <c r="AF439" s="76"/>
    </row>
    <row r="440">
      <c r="D440" s="123"/>
      <c r="L440" s="125"/>
      <c r="N440" s="126"/>
      <c r="P440" s="127"/>
      <c r="Q440" s="128"/>
      <c r="R440" s="74"/>
      <c r="AF440" s="76"/>
    </row>
    <row r="441">
      <c r="D441" s="123"/>
      <c r="L441" s="125"/>
      <c r="N441" s="126"/>
      <c r="P441" s="127"/>
      <c r="Q441" s="128"/>
      <c r="R441" s="74"/>
      <c r="AF441" s="76"/>
    </row>
    <row r="442">
      <c r="D442" s="123"/>
      <c r="L442" s="125"/>
      <c r="N442" s="126"/>
      <c r="P442" s="127"/>
      <c r="Q442" s="128"/>
      <c r="R442" s="74"/>
      <c r="AF442" s="76"/>
    </row>
    <row r="443">
      <c r="D443" s="123"/>
      <c r="L443" s="125"/>
      <c r="N443" s="126"/>
      <c r="P443" s="127"/>
      <c r="Q443" s="128"/>
      <c r="R443" s="74"/>
      <c r="AF443" s="76"/>
    </row>
    <row r="444">
      <c r="D444" s="123"/>
      <c r="L444" s="125"/>
      <c r="N444" s="126"/>
      <c r="P444" s="127"/>
      <c r="Q444" s="128"/>
      <c r="R444" s="74"/>
      <c r="AF444" s="76"/>
    </row>
    <row r="445">
      <c r="D445" s="123"/>
      <c r="L445" s="125"/>
      <c r="N445" s="126"/>
      <c r="P445" s="127"/>
      <c r="Q445" s="128"/>
      <c r="R445" s="74"/>
      <c r="AF445" s="76"/>
    </row>
    <row r="446">
      <c r="D446" s="123"/>
      <c r="L446" s="125"/>
      <c r="N446" s="126"/>
      <c r="P446" s="127"/>
      <c r="Q446" s="128"/>
      <c r="R446" s="74"/>
      <c r="AF446" s="76"/>
    </row>
    <row r="447">
      <c r="D447" s="123"/>
      <c r="L447" s="125"/>
      <c r="N447" s="126"/>
      <c r="P447" s="127"/>
      <c r="Q447" s="128"/>
      <c r="R447" s="74"/>
      <c r="AF447" s="76"/>
    </row>
    <row r="448">
      <c r="D448" s="123"/>
      <c r="L448" s="125"/>
      <c r="N448" s="126"/>
      <c r="P448" s="127"/>
      <c r="Q448" s="128"/>
      <c r="R448" s="74"/>
      <c r="AF448" s="76"/>
    </row>
    <row r="449">
      <c r="D449" s="123"/>
      <c r="L449" s="125"/>
      <c r="N449" s="126"/>
      <c r="P449" s="127"/>
      <c r="Q449" s="128"/>
      <c r="R449" s="74"/>
      <c r="AF449" s="76"/>
    </row>
    <row r="450">
      <c r="D450" s="123"/>
      <c r="L450" s="125"/>
      <c r="N450" s="126"/>
      <c r="P450" s="127"/>
      <c r="Q450" s="128"/>
      <c r="R450" s="74"/>
      <c r="AF450" s="76"/>
    </row>
    <row r="451">
      <c r="D451" s="123"/>
      <c r="L451" s="125"/>
      <c r="N451" s="126"/>
      <c r="P451" s="127"/>
      <c r="Q451" s="128"/>
      <c r="R451" s="74"/>
      <c r="AF451" s="76"/>
    </row>
    <row r="452">
      <c r="D452" s="123"/>
      <c r="L452" s="125"/>
      <c r="N452" s="126"/>
      <c r="P452" s="127"/>
      <c r="Q452" s="128"/>
      <c r="R452" s="74"/>
      <c r="AF452" s="76"/>
    </row>
    <row r="453">
      <c r="D453" s="123"/>
      <c r="L453" s="125"/>
      <c r="N453" s="126"/>
      <c r="P453" s="127"/>
      <c r="Q453" s="128"/>
      <c r="R453" s="74"/>
      <c r="AF453" s="76"/>
    </row>
    <row r="454">
      <c r="D454" s="123"/>
      <c r="L454" s="125"/>
      <c r="N454" s="126"/>
      <c r="P454" s="127"/>
      <c r="Q454" s="128"/>
      <c r="R454" s="74"/>
      <c r="AF454" s="76"/>
    </row>
    <row r="455">
      <c r="D455" s="123"/>
      <c r="L455" s="125"/>
      <c r="N455" s="126"/>
      <c r="P455" s="127"/>
      <c r="Q455" s="128"/>
      <c r="R455" s="74"/>
      <c r="AF455" s="76"/>
    </row>
    <row r="456">
      <c r="D456" s="123"/>
      <c r="L456" s="125"/>
      <c r="N456" s="126"/>
      <c r="P456" s="127"/>
      <c r="Q456" s="128"/>
      <c r="R456" s="74"/>
      <c r="AF456" s="76"/>
    </row>
    <row r="457">
      <c r="D457" s="123"/>
      <c r="L457" s="125"/>
      <c r="N457" s="126"/>
      <c r="P457" s="127"/>
      <c r="Q457" s="128"/>
      <c r="R457" s="74"/>
      <c r="AF457" s="76"/>
    </row>
    <row r="458">
      <c r="D458" s="123"/>
      <c r="L458" s="125"/>
      <c r="N458" s="126"/>
      <c r="P458" s="127"/>
      <c r="Q458" s="128"/>
      <c r="R458" s="74"/>
      <c r="AF458" s="76"/>
    </row>
    <row r="459">
      <c r="D459" s="123"/>
      <c r="L459" s="125"/>
      <c r="N459" s="126"/>
      <c r="P459" s="127"/>
      <c r="Q459" s="128"/>
      <c r="R459" s="74"/>
      <c r="AF459" s="76"/>
    </row>
    <row r="460">
      <c r="D460" s="123"/>
      <c r="L460" s="125"/>
      <c r="N460" s="126"/>
      <c r="P460" s="127"/>
      <c r="Q460" s="128"/>
      <c r="R460" s="74"/>
      <c r="AF460" s="76"/>
    </row>
    <row r="461">
      <c r="D461" s="123"/>
      <c r="L461" s="125"/>
      <c r="N461" s="126"/>
      <c r="P461" s="127"/>
      <c r="Q461" s="128"/>
      <c r="R461" s="74"/>
      <c r="AF461" s="76"/>
    </row>
    <row r="462">
      <c r="D462" s="123"/>
      <c r="L462" s="125"/>
      <c r="N462" s="126"/>
      <c r="P462" s="127"/>
      <c r="Q462" s="128"/>
      <c r="R462" s="74"/>
      <c r="AF462" s="76"/>
    </row>
    <row r="463">
      <c r="D463" s="123"/>
      <c r="L463" s="125"/>
      <c r="N463" s="126"/>
      <c r="P463" s="127"/>
      <c r="Q463" s="128"/>
      <c r="R463" s="74"/>
      <c r="AF463" s="76"/>
    </row>
    <row r="464">
      <c r="D464" s="123"/>
      <c r="L464" s="125"/>
      <c r="N464" s="126"/>
      <c r="P464" s="127"/>
      <c r="Q464" s="128"/>
      <c r="R464" s="74"/>
      <c r="AF464" s="76"/>
    </row>
    <row r="465">
      <c r="D465" s="123"/>
      <c r="L465" s="125"/>
      <c r="N465" s="126"/>
      <c r="P465" s="127"/>
      <c r="Q465" s="128"/>
      <c r="R465" s="74"/>
      <c r="AF465" s="76"/>
    </row>
    <row r="466">
      <c r="D466" s="123"/>
      <c r="L466" s="125"/>
      <c r="N466" s="126"/>
      <c r="P466" s="127"/>
      <c r="Q466" s="128"/>
      <c r="R466" s="74"/>
      <c r="AF466" s="76"/>
    </row>
    <row r="467">
      <c r="D467" s="123"/>
      <c r="L467" s="125"/>
      <c r="N467" s="126"/>
      <c r="P467" s="127"/>
      <c r="Q467" s="128"/>
      <c r="R467" s="74"/>
      <c r="AF467" s="76"/>
    </row>
    <row r="468">
      <c r="D468" s="123"/>
      <c r="L468" s="125"/>
      <c r="N468" s="126"/>
      <c r="P468" s="127"/>
      <c r="Q468" s="128"/>
      <c r="R468" s="74"/>
      <c r="AF468" s="76"/>
    </row>
    <row r="469">
      <c r="D469" s="123"/>
      <c r="L469" s="125"/>
      <c r="N469" s="126"/>
      <c r="P469" s="127"/>
      <c r="Q469" s="128"/>
      <c r="R469" s="74"/>
      <c r="AF469" s="76"/>
    </row>
    <row r="470">
      <c r="D470" s="123"/>
      <c r="L470" s="125"/>
      <c r="N470" s="126"/>
      <c r="P470" s="127"/>
      <c r="Q470" s="128"/>
      <c r="R470" s="74"/>
      <c r="AF470" s="76"/>
    </row>
    <row r="471">
      <c r="D471" s="123"/>
      <c r="L471" s="125"/>
      <c r="N471" s="126"/>
      <c r="P471" s="127"/>
      <c r="Q471" s="128"/>
      <c r="R471" s="74"/>
      <c r="AF471" s="76"/>
    </row>
    <row r="472">
      <c r="D472" s="123"/>
      <c r="L472" s="125"/>
      <c r="N472" s="126"/>
      <c r="P472" s="127"/>
      <c r="Q472" s="128"/>
      <c r="R472" s="74"/>
      <c r="AF472" s="76"/>
    </row>
    <row r="473">
      <c r="D473" s="123"/>
      <c r="L473" s="125"/>
      <c r="N473" s="126"/>
      <c r="P473" s="127"/>
      <c r="Q473" s="128"/>
      <c r="R473" s="74"/>
      <c r="AF473" s="76"/>
    </row>
    <row r="474">
      <c r="D474" s="123"/>
      <c r="L474" s="125"/>
      <c r="N474" s="126"/>
      <c r="P474" s="127"/>
      <c r="Q474" s="128"/>
      <c r="R474" s="74"/>
      <c r="AF474" s="76"/>
    </row>
    <row r="475">
      <c r="D475" s="123"/>
      <c r="L475" s="125"/>
      <c r="N475" s="126"/>
      <c r="P475" s="127"/>
      <c r="Q475" s="128"/>
      <c r="R475" s="74"/>
      <c r="AF475" s="76"/>
    </row>
    <row r="476">
      <c r="D476" s="123"/>
      <c r="L476" s="125"/>
      <c r="N476" s="126"/>
      <c r="P476" s="127"/>
      <c r="Q476" s="128"/>
      <c r="R476" s="74"/>
      <c r="AF476" s="76"/>
    </row>
    <row r="477">
      <c r="D477" s="123"/>
      <c r="L477" s="125"/>
      <c r="N477" s="126"/>
      <c r="P477" s="127"/>
      <c r="Q477" s="128"/>
      <c r="R477" s="74"/>
      <c r="AF477" s="76"/>
    </row>
    <row r="478">
      <c r="D478" s="123"/>
      <c r="L478" s="125"/>
      <c r="N478" s="126"/>
      <c r="P478" s="127"/>
      <c r="Q478" s="128"/>
      <c r="R478" s="74"/>
      <c r="AF478" s="76"/>
    </row>
    <row r="479">
      <c r="D479" s="123"/>
      <c r="L479" s="125"/>
      <c r="N479" s="126"/>
      <c r="P479" s="127"/>
      <c r="Q479" s="128"/>
      <c r="R479" s="74"/>
      <c r="AF479" s="76"/>
    </row>
    <row r="480">
      <c r="D480" s="123"/>
      <c r="L480" s="125"/>
      <c r="N480" s="126"/>
      <c r="P480" s="127"/>
      <c r="Q480" s="128"/>
      <c r="R480" s="74"/>
      <c r="AF480" s="76"/>
    </row>
    <row r="481">
      <c r="D481" s="123"/>
      <c r="L481" s="125"/>
      <c r="N481" s="126"/>
      <c r="P481" s="127"/>
      <c r="Q481" s="128"/>
      <c r="R481" s="74"/>
      <c r="AF481" s="76"/>
    </row>
    <row r="482">
      <c r="D482" s="123"/>
      <c r="L482" s="125"/>
      <c r="N482" s="126"/>
      <c r="P482" s="127"/>
      <c r="Q482" s="128"/>
      <c r="R482" s="74"/>
      <c r="AF482" s="76"/>
    </row>
    <row r="483">
      <c r="D483" s="123"/>
      <c r="L483" s="125"/>
      <c r="N483" s="126"/>
      <c r="P483" s="127"/>
      <c r="Q483" s="128"/>
      <c r="R483" s="74"/>
      <c r="AF483" s="76"/>
    </row>
    <row r="484">
      <c r="D484" s="123"/>
      <c r="L484" s="125"/>
      <c r="N484" s="126"/>
      <c r="P484" s="127"/>
      <c r="Q484" s="128"/>
      <c r="R484" s="74"/>
      <c r="AF484" s="76"/>
    </row>
    <row r="485">
      <c r="D485" s="123"/>
      <c r="L485" s="125"/>
      <c r="N485" s="126"/>
      <c r="P485" s="127"/>
      <c r="Q485" s="128"/>
      <c r="R485" s="74"/>
      <c r="AF485" s="76"/>
    </row>
    <row r="486">
      <c r="D486" s="123"/>
      <c r="L486" s="125"/>
      <c r="N486" s="126"/>
      <c r="P486" s="127"/>
      <c r="Q486" s="128"/>
      <c r="R486" s="74"/>
      <c r="AF486" s="76"/>
    </row>
    <row r="487">
      <c r="D487" s="123"/>
      <c r="L487" s="125"/>
      <c r="N487" s="126"/>
      <c r="P487" s="127"/>
      <c r="Q487" s="128"/>
      <c r="R487" s="74"/>
      <c r="AF487" s="76"/>
    </row>
    <row r="488">
      <c r="D488" s="123"/>
      <c r="L488" s="125"/>
      <c r="N488" s="126"/>
      <c r="P488" s="127"/>
      <c r="Q488" s="128"/>
      <c r="R488" s="74"/>
      <c r="AF488" s="76"/>
    </row>
    <row r="489">
      <c r="D489" s="123"/>
      <c r="L489" s="125"/>
      <c r="N489" s="126"/>
      <c r="P489" s="127"/>
      <c r="Q489" s="128"/>
      <c r="R489" s="74"/>
      <c r="AF489" s="76"/>
    </row>
    <row r="490">
      <c r="D490" s="123"/>
      <c r="L490" s="125"/>
      <c r="N490" s="126"/>
      <c r="P490" s="127"/>
      <c r="Q490" s="128"/>
      <c r="R490" s="74"/>
      <c r="AF490" s="76"/>
    </row>
    <row r="491">
      <c r="D491" s="123"/>
      <c r="L491" s="125"/>
      <c r="N491" s="126"/>
      <c r="P491" s="127"/>
      <c r="Q491" s="128"/>
      <c r="R491" s="74"/>
      <c r="AF491" s="76"/>
    </row>
    <row r="492">
      <c r="D492" s="123"/>
      <c r="L492" s="125"/>
      <c r="N492" s="126"/>
      <c r="P492" s="127"/>
      <c r="Q492" s="128"/>
      <c r="R492" s="74"/>
      <c r="AF492" s="76"/>
    </row>
    <row r="493">
      <c r="D493" s="123"/>
      <c r="L493" s="125"/>
      <c r="N493" s="126"/>
      <c r="P493" s="127"/>
      <c r="Q493" s="128"/>
      <c r="R493" s="74"/>
      <c r="AF493" s="76"/>
    </row>
    <row r="494">
      <c r="D494" s="123"/>
      <c r="L494" s="125"/>
      <c r="N494" s="126"/>
      <c r="P494" s="127"/>
      <c r="Q494" s="128"/>
      <c r="R494" s="74"/>
      <c r="AF494" s="76"/>
    </row>
    <row r="495">
      <c r="D495" s="123"/>
      <c r="L495" s="125"/>
      <c r="N495" s="126"/>
      <c r="P495" s="127"/>
      <c r="Q495" s="128"/>
      <c r="R495" s="74"/>
      <c r="AF495" s="76"/>
    </row>
    <row r="496">
      <c r="D496" s="123"/>
      <c r="L496" s="125"/>
      <c r="N496" s="126"/>
      <c r="P496" s="127"/>
      <c r="Q496" s="128"/>
      <c r="R496" s="74"/>
      <c r="AF496" s="76"/>
    </row>
    <row r="497">
      <c r="D497" s="123"/>
      <c r="L497" s="125"/>
      <c r="N497" s="126"/>
      <c r="P497" s="127"/>
      <c r="Q497" s="128"/>
      <c r="R497" s="74"/>
      <c r="AF497" s="76"/>
    </row>
    <row r="498">
      <c r="D498" s="123"/>
      <c r="L498" s="125"/>
      <c r="N498" s="126"/>
      <c r="P498" s="127"/>
      <c r="Q498" s="128"/>
      <c r="R498" s="74"/>
      <c r="AF498" s="76"/>
    </row>
    <row r="499">
      <c r="D499" s="123"/>
      <c r="L499" s="125"/>
      <c r="N499" s="126"/>
      <c r="P499" s="127"/>
      <c r="Q499" s="128"/>
      <c r="R499" s="74"/>
      <c r="AF499" s="76"/>
    </row>
    <row r="500">
      <c r="D500" s="123"/>
      <c r="L500" s="125"/>
      <c r="N500" s="126"/>
      <c r="P500" s="127"/>
      <c r="Q500" s="128"/>
      <c r="R500" s="74"/>
      <c r="AF500" s="76"/>
    </row>
    <row r="501">
      <c r="D501" s="123"/>
      <c r="L501" s="125"/>
      <c r="N501" s="126"/>
      <c r="P501" s="127"/>
      <c r="Q501" s="128"/>
      <c r="R501" s="74"/>
      <c r="AF501" s="76"/>
    </row>
    <row r="502">
      <c r="D502" s="123"/>
      <c r="L502" s="125"/>
      <c r="N502" s="126"/>
      <c r="P502" s="127"/>
      <c r="Q502" s="128"/>
      <c r="R502" s="74"/>
      <c r="AF502" s="76"/>
    </row>
    <row r="503">
      <c r="D503" s="123"/>
      <c r="L503" s="125"/>
      <c r="N503" s="126"/>
      <c r="P503" s="127"/>
      <c r="Q503" s="128"/>
      <c r="R503" s="74"/>
      <c r="AF503" s="76"/>
    </row>
    <row r="504">
      <c r="D504" s="123"/>
      <c r="L504" s="125"/>
      <c r="N504" s="126"/>
      <c r="P504" s="127"/>
      <c r="Q504" s="128"/>
      <c r="R504" s="74"/>
      <c r="AF504" s="76"/>
    </row>
    <row r="505">
      <c r="D505" s="123"/>
      <c r="L505" s="125"/>
      <c r="N505" s="126"/>
      <c r="P505" s="127"/>
      <c r="Q505" s="128"/>
      <c r="R505" s="74"/>
      <c r="AF505" s="76"/>
    </row>
    <row r="506">
      <c r="D506" s="123"/>
      <c r="L506" s="125"/>
      <c r="N506" s="126"/>
      <c r="P506" s="127"/>
      <c r="Q506" s="128"/>
      <c r="R506" s="74"/>
      <c r="AF506" s="76"/>
    </row>
    <row r="507">
      <c r="D507" s="123"/>
      <c r="L507" s="125"/>
      <c r="N507" s="126"/>
      <c r="P507" s="127"/>
      <c r="Q507" s="128"/>
      <c r="R507" s="74"/>
      <c r="AF507" s="76"/>
    </row>
    <row r="508">
      <c r="D508" s="123"/>
      <c r="L508" s="125"/>
      <c r="N508" s="126"/>
      <c r="P508" s="127"/>
      <c r="Q508" s="128"/>
      <c r="R508" s="74"/>
      <c r="AF508" s="76"/>
    </row>
    <row r="509">
      <c r="D509" s="123"/>
      <c r="L509" s="125"/>
      <c r="N509" s="126"/>
      <c r="P509" s="127"/>
      <c r="Q509" s="128"/>
      <c r="R509" s="74"/>
      <c r="AF509" s="76"/>
    </row>
    <row r="510">
      <c r="D510" s="123"/>
      <c r="L510" s="125"/>
      <c r="N510" s="126"/>
      <c r="P510" s="127"/>
      <c r="Q510" s="128"/>
      <c r="R510" s="74"/>
      <c r="AF510" s="76"/>
    </row>
    <row r="511">
      <c r="D511" s="123"/>
      <c r="L511" s="125"/>
      <c r="N511" s="126"/>
      <c r="P511" s="127"/>
      <c r="Q511" s="128"/>
      <c r="R511" s="74"/>
      <c r="AF511" s="76"/>
    </row>
    <row r="512">
      <c r="D512" s="123"/>
      <c r="L512" s="125"/>
      <c r="N512" s="126"/>
      <c r="P512" s="127"/>
      <c r="Q512" s="128"/>
      <c r="R512" s="74"/>
      <c r="AF512" s="76"/>
    </row>
    <row r="513">
      <c r="D513" s="123"/>
      <c r="L513" s="125"/>
      <c r="N513" s="126"/>
      <c r="P513" s="127"/>
      <c r="Q513" s="128"/>
      <c r="R513" s="74"/>
      <c r="AF513" s="76"/>
    </row>
    <row r="514">
      <c r="D514" s="123"/>
      <c r="L514" s="125"/>
      <c r="N514" s="126"/>
      <c r="P514" s="127"/>
      <c r="Q514" s="128"/>
      <c r="R514" s="74"/>
      <c r="AF514" s="76"/>
    </row>
    <row r="515">
      <c r="D515" s="123"/>
      <c r="L515" s="125"/>
      <c r="N515" s="126"/>
      <c r="P515" s="127"/>
      <c r="Q515" s="128"/>
      <c r="R515" s="74"/>
      <c r="AF515" s="76"/>
    </row>
    <row r="516">
      <c r="D516" s="123"/>
      <c r="L516" s="125"/>
      <c r="N516" s="126"/>
      <c r="P516" s="127"/>
      <c r="Q516" s="128"/>
      <c r="R516" s="74"/>
      <c r="AF516" s="76"/>
    </row>
    <row r="517">
      <c r="D517" s="123"/>
      <c r="L517" s="125"/>
      <c r="N517" s="126"/>
      <c r="P517" s="127"/>
      <c r="Q517" s="128"/>
      <c r="R517" s="74"/>
      <c r="AF517" s="76"/>
    </row>
    <row r="518">
      <c r="D518" s="123"/>
      <c r="L518" s="125"/>
      <c r="N518" s="126"/>
      <c r="P518" s="127"/>
      <c r="Q518" s="128"/>
      <c r="R518" s="74"/>
      <c r="AF518" s="76"/>
    </row>
    <row r="519">
      <c r="D519" s="123"/>
      <c r="L519" s="125"/>
      <c r="N519" s="126"/>
      <c r="P519" s="127"/>
      <c r="Q519" s="128"/>
      <c r="R519" s="74"/>
      <c r="AF519" s="76"/>
    </row>
    <row r="520">
      <c r="D520" s="123"/>
      <c r="L520" s="125"/>
      <c r="N520" s="126"/>
      <c r="P520" s="127"/>
      <c r="Q520" s="128"/>
      <c r="R520" s="74"/>
      <c r="AF520" s="76"/>
    </row>
    <row r="521">
      <c r="D521" s="123"/>
      <c r="L521" s="125"/>
      <c r="N521" s="126"/>
      <c r="P521" s="127"/>
      <c r="Q521" s="128"/>
      <c r="R521" s="74"/>
      <c r="AF521" s="76"/>
    </row>
    <row r="522">
      <c r="D522" s="123"/>
      <c r="L522" s="125"/>
      <c r="N522" s="126"/>
      <c r="P522" s="127"/>
      <c r="Q522" s="128"/>
      <c r="R522" s="74"/>
      <c r="AF522" s="76"/>
    </row>
    <row r="523">
      <c r="D523" s="123"/>
      <c r="L523" s="125"/>
      <c r="N523" s="126"/>
      <c r="P523" s="127"/>
      <c r="Q523" s="128"/>
      <c r="R523" s="74"/>
      <c r="AF523" s="76"/>
    </row>
    <row r="524">
      <c r="D524" s="123"/>
      <c r="L524" s="125"/>
      <c r="N524" s="126"/>
      <c r="P524" s="127"/>
      <c r="Q524" s="128"/>
      <c r="R524" s="74"/>
      <c r="AF524" s="76"/>
    </row>
    <row r="525">
      <c r="D525" s="123"/>
      <c r="L525" s="125"/>
      <c r="N525" s="126"/>
      <c r="P525" s="127"/>
      <c r="Q525" s="128"/>
      <c r="R525" s="74"/>
      <c r="AF525" s="76"/>
    </row>
    <row r="526">
      <c r="D526" s="123"/>
      <c r="L526" s="125"/>
      <c r="N526" s="126"/>
      <c r="P526" s="127"/>
      <c r="Q526" s="128"/>
      <c r="R526" s="74"/>
      <c r="AF526" s="76"/>
    </row>
    <row r="527">
      <c r="D527" s="123"/>
      <c r="L527" s="125"/>
      <c r="N527" s="126"/>
      <c r="P527" s="127"/>
      <c r="Q527" s="128"/>
      <c r="R527" s="74"/>
      <c r="AF527" s="76"/>
    </row>
    <row r="528">
      <c r="D528" s="123"/>
      <c r="L528" s="125"/>
      <c r="N528" s="126"/>
      <c r="P528" s="127"/>
      <c r="Q528" s="128"/>
      <c r="R528" s="74"/>
      <c r="AF528" s="76"/>
    </row>
    <row r="529">
      <c r="D529" s="123"/>
      <c r="L529" s="125"/>
      <c r="N529" s="126"/>
      <c r="P529" s="127"/>
      <c r="Q529" s="128"/>
      <c r="R529" s="74"/>
      <c r="AF529" s="76"/>
    </row>
    <row r="530">
      <c r="D530" s="123"/>
      <c r="L530" s="125"/>
      <c r="N530" s="126"/>
      <c r="P530" s="127"/>
      <c r="Q530" s="128"/>
      <c r="R530" s="74"/>
      <c r="AF530" s="76"/>
    </row>
    <row r="531">
      <c r="D531" s="123"/>
      <c r="L531" s="125"/>
      <c r="N531" s="126"/>
      <c r="P531" s="127"/>
      <c r="Q531" s="128"/>
      <c r="R531" s="74"/>
      <c r="AF531" s="76"/>
    </row>
    <row r="532">
      <c r="D532" s="123"/>
      <c r="L532" s="125"/>
      <c r="N532" s="126"/>
      <c r="P532" s="127"/>
      <c r="Q532" s="128"/>
      <c r="R532" s="74"/>
      <c r="AF532" s="76"/>
    </row>
    <row r="533">
      <c r="D533" s="123"/>
      <c r="L533" s="125"/>
      <c r="N533" s="126"/>
      <c r="P533" s="127"/>
      <c r="Q533" s="128"/>
      <c r="R533" s="74"/>
      <c r="AF533" s="76"/>
    </row>
    <row r="534">
      <c r="D534" s="123"/>
      <c r="L534" s="125"/>
      <c r="N534" s="126"/>
      <c r="P534" s="127"/>
      <c r="Q534" s="128"/>
      <c r="R534" s="74"/>
      <c r="AF534" s="76"/>
    </row>
    <row r="535">
      <c r="D535" s="123"/>
      <c r="L535" s="125"/>
      <c r="N535" s="126"/>
      <c r="P535" s="127"/>
      <c r="Q535" s="128"/>
      <c r="R535" s="74"/>
      <c r="AF535" s="76"/>
    </row>
    <row r="536">
      <c r="D536" s="123"/>
      <c r="L536" s="125"/>
      <c r="N536" s="126"/>
      <c r="P536" s="127"/>
      <c r="Q536" s="128"/>
      <c r="R536" s="74"/>
      <c r="AF536" s="76"/>
    </row>
    <row r="537">
      <c r="D537" s="123"/>
      <c r="L537" s="125"/>
      <c r="N537" s="126"/>
      <c r="P537" s="127"/>
      <c r="Q537" s="128"/>
      <c r="R537" s="74"/>
      <c r="AF537" s="76"/>
    </row>
    <row r="538">
      <c r="D538" s="123"/>
      <c r="L538" s="125"/>
      <c r="N538" s="126"/>
      <c r="P538" s="127"/>
      <c r="Q538" s="128"/>
      <c r="R538" s="74"/>
      <c r="AF538" s="76"/>
    </row>
    <row r="539">
      <c r="D539" s="123"/>
      <c r="L539" s="125"/>
      <c r="N539" s="126"/>
      <c r="P539" s="127"/>
      <c r="Q539" s="128"/>
      <c r="R539" s="74"/>
      <c r="AF539" s="76"/>
    </row>
    <row r="540">
      <c r="D540" s="123"/>
      <c r="L540" s="125"/>
      <c r="N540" s="126"/>
      <c r="P540" s="127"/>
      <c r="Q540" s="128"/>
      <c r="R540" s="74"/>
      <c r="AF540" s="76"/>
    </row>
    <row r="541">
      <c r="D541" s="123"/>
      <c r="L541" s="125"/>
      <c r="N541" s="126"/>
      <c r="P541" s="127"/>
      <c r="Q541" s="128"/>
      <c r="R541" s="74"/>
      <c r="AF541" s="76"/>
    </row>
    <row r="542">
      <c r="D542" s="123"/>
      <c r="L542" s="125"/>
      <c r="N542" s="126"/>
      <c r="P542" s="127"/>
      <c r="Q542" s="128"/>
      <c r="R542" s="74"/>
      <c r="AF542" s="76"/>
    </row>
    <row r="543">
      <c r="D543" s="123"/>
      <c r="L543" s="125"/>
      <c r="N543" s="126"/>
      <c r="P543" s="127"/>
      <c r="Q543" s="128"/>
      <c r="R543" s="74"/>
      <c r="AF543" s="76"/>
    </row>
    <row r="544">
      <c r="D544" s="123"/>
      <c r="L544" s="125"/>
      <c r="N544" s="126"/>
      <c r="P544" s="127"/>
      <c r="Q544" s="128"/>
      <c r="R544" s="74"/>
      <c r="AF544" s="76"/>
    </row>
    <row r="545">
      <c r="D545" s="123"/>
      <c r="L545" s="125"/>
      <c r="N545" s="126"/>
      <c r="P545" s="127"/>
      <c r="Q545" s="128"/>
      <c r="R545" s="74"/>
      <c r="AF545" s="76"/>
    </row>
    <row r="546">
      <c r="D546" s="123"/>
      <c r="L546" s="125"/>
      <c r="N546" s="126"/>
      <c r="P546" s="127"/>
      <c r="Q546" s="128"/>
      <c r="R546" s="74"/>
      <c r="AF546" s="76"/>
    </row>
    <row r="547">
      <c r="D547" s="123"/>
      <c r="L547" s="125"/>
      <c r="N547" s="126"/>
      <c r="P547" s="127"/>
      <c r="Q547" s="128"/>
      <c r="R547" s="74"/>
      <c r="AF547" s="76"/>
    </row>
    <row r="548">
      <c r="D548" s="123"/>
      <c r="L548" s="125"/>
      <c r="N548" s="126"/>
      <c r="P548" s="127"/>
      <c r="Q548" s="128"/>
      <c r="R548" s="74"/>
      <c r="AF548" s="76"/>
    </row>
    <row r="549">
      <c r="D549" s="123"/>
      <c r="L549" s="125"/>
      <c r="N549" s="126"/>
      <c r="P549" s="127"/>
      <c r="Q549" s="128"/>
      <c r="R549" s="74"/>
      <c r="AF549" s="76"/>
    </row>
    <row r="550">
      <c r="D550" s="123"/>
      <c r="L550" s="125"/>
      <c r="N550" s="126"/>
      <c r="P550" s="127"/>
      <c r="Q550" s="128"/>
      <c r="R550" s="74"/>
      <c r="AF550" s="76"/>
    </row>
    <row r="551">
      <c r="D551" s="123"/>
      <c r="L551" s="125"/>
      <c r="N551" s="126"/>
      <c r="P551" s="127"/>
      <c r="Q551" s="128"/>
      <c r="R551" s="74"/>
      <c r="AF551" s="76"/>
    </row>
    <row r="552">
      <c r="D552" s="123"/>
      <c r="L552" s="125"/>
      <c r="N552" s="126"/>
      <c r="P552" s="127"/>
      <c r="Q552" s="128"/>
      <c r="R552" s="74"/>
      <c r="AF552" s="76"/>
    </row>
    <row r="553">
      <c r="D553" s="123"/>
      <c r="L553" s="125"/>
      <c r="N553" s="126"/>
      <c r="P553" s="127"/>
      <c r="Q553" s="128"/>
      <c r="R553" s="74"/>
      <c r="AF553" s="76"/>
    </row>
    <row r="554">
      <c r="D554" s="123"/>
      <c r="L554" s="125"/>
      <c r="N554" s="126"/>
      <c r="P554" s="127"/>
      <c r="Q554" s="128"/>
      <c r="R554" s="74"/>
      <c r="AF554" s="76"/>
    </row>
    <row r="555">
      <c r="D555" s="123"/>
      <c r="L555" s="125"/>
      <c r="N555" s="126"/>
      <c r="P555" s="127"/>
      <c r="Q555" s="128"/>
      <c r="R555" s="74"/>
      <c r="AF555" s="76"/>
    </row>
    <row r="556">
      <c r="D556" s="123"/>
      <c r="L556" s="125"/>
      <c r="N556" s="126"/>
      <c r="P556" s="127"/>
      <c r="Q556" s="128"/>
      <c r="R556" s="74"/>
      <c r="AF556" s="76"/>
    </row>
    <row r="557">
      <c r="D557" s="123"/>
      <c r="L557" s="125"/>
      <c r="N557" s="126"/>
      <c r="P557" s="127"/>
      <c r="Q557" s="128"/>
      <c r="R557" s="74"/>
      <c r="AF557" s="76"/>
    </row>
    <row r="558">
      <c r="D558" s="123"/>
      <c r="L558" s="125"/>
      <c r="N558" s="126"/>
      <c r="P558" s="127"/>
      <c r="Q558" s="128"/>
      <c r="R558" s="74"/>
      <c r="AF558" s="76"/>
    </row>
    <row r="559">
      <c r="D559" s="123"/>
      <c r="L559" s="125"/>
      <c r="N559" s="126"/>
      <c r="P559" s="127"/>
      <c r="Q559" s="128"/>
      <c r="R559" s="74"/>
      <c r="AF559" s="76"/>
    </row>
    <row r="560">
      <c r="D560" s="123"/>
      <c r="L560" s="125"/>
      <c r="N560" s="126"/>
      <c r="P560" s="127"/>
      <c r="Q560" s="128"/>
      <c r="R560" s="74"/>
      <c r="AF560" s="76"/>
    </row>
    <row r="561">
      <c r="D561" s="123"/>
      <c r="L561" s="125"/>
      <c r="N561" s="126"/>
      <c r="P561" s="127"/>
      <c r="Q561" s="128"/>
      <c r="R561" s="74"/>
      <c r="AF561" s="76"/>
    </row>
    <row r="562">
      <c r="D562" s="123"/>
      <c r="L562" s="125"/>
      <c r="N562" s="126"/>
      <c r="P562" s="127"/>
      <c r="Q562" s="128"/>
      <c r="R562" s="74"/>
      <c r="AF562" s="76"/>
    </row>
    <row r="563">
      <c r="D563" s="123"/>
      <c r="L563" s="125"/>
      <c r="N563" s="126"/>
      <c r="P563" s="127"/>
      <c r="Q563" s="128"/>
      <c r="R563" s="74"/>
      <c r="AF563" s="76"/>
    </row>
    <row r="564">
      <c r="D564" s="123"/>
      <c r="L564" s="125"/>
      <c r="N564" s="126"/>
      <c r="P564" s="127"/>
      <c r="Q564" s="128"/>
      <c r="R564" s="74"/>
      <c r="AF564" s="76"/>
    </row>
    <row r="565">
      <c r="D565" s="123"/>
      <c r="L565" s="125"/>
      <c r="N565" s="126"/>
      <c r="P565" s="127"/>
      <c r="Q565" s="128"/>
      <c r="R565" s="74"/>
      <c r="AF565" s="76"/>
    </row>
    <row r="566">
      <c r="D566" s="123"/>
      <c r="L566" s="125"/>
      <c r="N566" s="126"/>
      <c r="P566" s="127"/>
      <c r="Q566" s="128"/>
      <c r="R566" s="74"/>
      <c r="AF566" s="76"/>
    </row>
    <row r="567">
      <c r="D567" s="123"/>
      <c r="L567" s="125"/>
      <c r="N567" s="126"/>
      <c r="P567" s="127"/>
      <c r="Q567" s="128"/>
      <c r="R567" s="74"/>
      <c r="AF567" s="76"/>
    </row>
    <row r="568">
      <c r="D568" s="123"/>
      <c r="L568" s="125"/>
      <c r="N568" s="126"/>
      <c r="P568" s="127"/>
      <c r="Q568" s="128"/>
      <c r="R568" s="74"/>
      <c r="AF568" s="76"/>
    </row>
    <row r="569">
      <c r="D569" s="123"/>
      <c r="L569" s="125"/>
      <c r="N569" s="126"/>
      <c r="P569" s="127"/>
      <c r="Q569" s="128"/>
      <c r="R569" s="74"/>
      <c r="AF569" s="76"/>
    </row>
    <row r="570">
      <c r="D570" s="123"/>
      <c r="L570" s="125"/>
      <c r="N570" s="126"/>
      <c r="P570" s="127"/>
      <c r="Q570" s="128"/>
      <c r="R570" s="74"/>
      <c r="AF570" s="76"/>
    </row>
    <row r="571">
      <c r="D571" s="123"/>
      <c r="L571" s="125"/>
      <c r="N571" s="126"/>
      <c r="P571" s="127"/>
      <c r="Q571" s="128"/>
      <c r="R571" s="74"/>
      <c r="AF571" s="76"/>
    </row>
    <row r="572">
      <c r="D572" s="123"/>
      <c r="L572" s="125"/>
      <c r="N572" s="126"/>
      <c r="P572" s="127"/>
      <c r="Q572" s="128"/>
      <c r="R572" s="74"/>
      <c r="AF572" s="76"/>
    </row>
    <row r="573">
      <c r="D573" s="123"/>
      <c r="L573" s="125"/>
      <c r="N573" s="126"/>
      <c r="P573" s="127"/>
      <c r="Q573" s="128"/>
      <c r="R573" s="74"/>
      <c r="AF573" s="76"/>
    </row>
    <row r="574">
      <c r="D574" s="123"/>
      <c r="L574" s="125"/>
      <c r="N574" s="126"/>
      <c r="P574" s="127"/>
      <c r="Q574" s="128"/>
      <c r="R574" s="74"/>
      <c r="AF574" s="76"/>
    </row>
    <row r="575">
      <c r="D575" s="123"/>
      <c r="L575" s="125"/>
      <c r="N575" s="126"/>
      <c r="P575" s="127"/>
      <c r="Q575" s="128"/>
      <c r="R575" s="74"/>
      <c r="AF575" s="76"/>
    </row>
    <row r="576">
      <c r="D576" s="123"/>
      <c r="L576" s="125"/>
      <c r="N576" s="126"/>
      <c r="P576" s="127"/>
      <c r="Q576" s="128"/>
      <c r="R576" s="74"/>
      <c r="AF576" s="76"/>
    </row>
    <row r="577">
      <c r="D577" s="123"/>
      <c r="L577" s="125"/>
      <c r="N577" s="126"/>
      <c r="P577" s="127"/>
      <c r="Q577" s="128"/>
      <c r="R577" s="74"/>
      <c r="AF577" s="76"/>
    </row>
    <row r="578">
      <c r="D578" s="123"/>
      <c r="L578" s="125"/>
      <c r="N578" s="126"/>
      <c r="P578" s="127"/>
      <c r="Q578" s="128"/>
      <c r="R578" s="74"/>
      <c r="AF578" s="76"/>
    </row>
    <row r="579">
      <c r="D579" s="123"/>
      <c r="L579" s="125"/>
      <c r="N579" s="126"/>
      <c r="P579" s="127"/>
      <c r="Q579" s="128"/>
      <c r="R579" s="74"/>
      <c r="AF579" s="76"/>
    </row>
    <row r="580">
      <c r="D580" s="123"/>
      <c r="L580" s="125"/>
      <c r="N580" s="126"/>
      <c r="P580" s="127"/>
      <c r="Q580" s="128"/>
      <c r="R580" s="74"/>
      <c r="AF580" s="76"/>
    </row>
    <row r="581">
      <c r="D581" s="123"/>
      <c r="L581" s="125"/>
      <c r="N581" s="126"/>
      <c r="P581" s="127"/>
      <c r="Q581" s="128"/>
      <c r="R581" s="74"/>
      <c r="AF581" s="76"/>
    </row>
    <row r="582">
      <c r="D582" s="123"/>
      <c r="L582" s="125"/>
      <c r="N582" s="126"/>
      <c r="P582" s="127"/>
      <c r="Q582" s="128"/>
      <c r="R582" s="74"/>
      <c r="AF582" s="76"/>
    </row>
    <row r="583">
      <c r="D583" s="123"/>
      <c r="L583" s="125"/>
      <c r="N583" s="126"/>
      <c r="P583" s="127"/>
      <c r="Q583" s="128"/>
      <c r="R583" s="74"/>
      <c r="AF583" s="76"/>
    </row>
    <row r="584">
      <c r="D584" s="123"/>
      <c r="L584" s="125"/>
      <c r="N584" s="126"/>
      <c r="P584" s="127"/>
      <c r="Q584" s="128"/>
      <c r="R584" s="74"/>
      <c r="AF584" s="76"/>
    </row>
    <row r="585">
      <c r="D585" s="123"/>
      <c r="L585" s="125"/>
      <c r="N585" s="126"/>
      <c r="P585" s="127"/>
      <c r="Q585" s="128"/>
      <c r="R585" s="74"/>
      <c r="AF585" s="76"/>
    </row>
    <row r="586">
      <c r="D586" s="123"/>
      <c r="L586" s="125"/>
      <c r="N586" s="126"/>
      <c r="P586" s="127"/>
      <c r="Q586" s="128"/>
      <c r="R586" s="74"/>
      <c r="AF586" s="76"/>
    </row>
    <row r="587">
      <c r="D587" s="123"/>
      <c r="L587" s="125"/>
      <c r="N587" s="126"/>
      <c r="P587" s="127"/>
      <c r="Q587" s="128"/>
      <c r="R587" s="74"/>
      <c r="AF587" s="76"/>
    </row>
    <row r="588">
      <c r="D588" s="123"/>
      <c r="L588" s="125"/>
      <c r="N588" s="126"/>
      <c r="P588" s="127"/>
      <c r="Q588" s="128"/>
      <c r="R588" s="74"/>
      <c r="AF588" s="76"/>
    </row>
    <row r="589">
      <c r="D589" s="123"/>
      <c r="L589" s="125"/>
      <c r="N589" s="126"/>
      <c r="P589" s="127"/>
      <c r="Q589" s="128"/>
      <c r="R589" s="74"/>
      <c r="AF589" s="76"/>
    </row>
    <row r="590">
      <c r="D590" s="123"/>
      <c r="L590" s="125"/>
      <c r="N590" s="126"/>
      <c r="P590" s="127"/>
      <c r="Q590" s="128"/>
      <c r="R590" s="74"/>
      <c r="AF590" s="76"/>
    </row>
    <row r="591">
      <c r="D591" s="123"/>
      <c r="L591" s="125"/>
      <c r="N591" s="126"/>
      <c r="P591" s="127"/>
      <c r="Q591" s="128"/>
      <c r="R591" s="74"/>
      <c r="AF591" s="76"/>
    </row>
    <row r="592">
      <c r="D592" s="123"/>
      <c r="L592" s="125"/>
      <c r="N592" s="126"/>
      <c r="P592" s="127"/>
      <c r="Q592" s="128"/>
      <c r="R592" s="74"/>
      <c r="AF592" s="76"/>
    </row>
    <row r="593">
      <c r="D593" s="123"/>
      <c r="L593" s="125"/>
      <c r="N593" s="126"/>
      <c r="P593" s="127"/>
      <c r="Q593" s="128"/>
      <c r="R593" s="74"/>
      <c r="AF593" s="76"/>
    </row>
    <row r="594">
      <c r="D594" s="123"/>
      <c r="L594" s="125"/>
      <c r="N594" s="126"/>
      <c r="P594" s="127"/>
      <c r="Q594" s="128"/>
      <c r="R594" s="74"/>
      <c r="AF594" s="76"/>
    </row>
    <row r="595">
      <c r="D595" s="123"/>
      <c r="L595" s="125"/>
      <c r="N595" s="126"/>
      <c r="P595" s="127"/>
      <c r="Q595" s="128"/>
      <c r="R595" s="74"/>
      <c r="AF595" s="76"/>
    </row>
    <row r="596">
      <c r="D596" s="123"/>
      <c r="L596" s="125"/>
      <c r="N596" s="126"/>
      <c r="P596" s="127"/>
      <c r="Q596" s="128"/>
      <c r="R596" s="74"/>
      <c r="AF596" s="76"/>
    </row>
    <row r="597">
      <c r="D597" s="123"/>
      <c r="L597" s="125"/>
      <c r="N597" s="126"/>
      <c r="P597" s="127"/>
      <c r="Q597" s="128"/>
      <c r="R597" s="74"/>
      <c r="AF597" s="76"/>
    </row>
    <row r="598">
      <c r="D598" s="123"/>
      <c r="L598" s="125"/>
      <c r="N598" s="126"/>
      <c r="P598" s="127"/>
      <c r="Q598" s="128"/>
      <c r="R598" s="74"/>
      <c r="AF598" s="76"/>
    </row>
    <row r="599">
      <c r="D599" s="123"/>
      <c r="L599" s="125"/>
      <c r="N599" s="126"/>
      <c r="P599" s="127"/>
      <c r="Q599" s="128"/>
      <c r="R599" s="74"/>
      <c r="AF599" s="76"/>
    </row>
    <row r="600">
      <c r="D600" s="123"/>
      <c r="L600" s="125"/>
      <c r="N600" s="126"/>
      <c r="P600" s="127"/>
      <c r="Q600" s="128"/>
      <c r="R600" s="74"/>
      <c r="AF600" s="76"/>
    </row>
    <row r="601">
      <c r="D601" s="123"/>
      <c r="L601" s="125"/>
      <c r="N601" s="126"/>
      <c r="P601" s="127"/>
      <c r="Q601" s="128"/>
      <c r="R601" s="74"/>
      <c r="AF601" s="76"/>
    </row>
    <row r="602">
      <c r="D602" s="123"/>
      <c r="L602" s="125"/>
      <c r="N602" s="126"/>
      <c r="P602" s="127"/>
      <c r="Q602" s="128"/>
      <c r="R602" s="74"/>
      <c r="AF602" s="76"/>
    </row>
    <row r="603">
      <c r="D603" s="123"/>
      <c r="L603" s="125"/>
      <c r="N603" s="126"/>
      <c r="P603" s="127"/>
      <c r="Q603" s="128"/>
      <c r="R603" s="74"/>
      <c r="AF603" s="76"/>
    </row>
    <row r="604">
      <c r="D604" s="123"/>
      <c r="L604" s="125"/>
      <c r="N604" s="126"/>
      <c r="P604" s="127"/>
      <c r="Q604" s="128"/>
      <c r="R604" s="74"/>
      <c r="AF604" s="76"/>
    </row>
    <row r="605">
      <c r="D605" s="123"/>
      <c r="L605" s="125"/>
      <c r="N605" s="126"/>
      <c r="P605" s="127"/>
      <c r="Q605" s="128"/>
      <c r="R605" s="74"/>
      <c r="AF605" s="76"/>
    </row>
    <row r="606">
      <c r="D606" s="123"/>
      <c r="L606" s="125"/>
      <c r="N606" s="126"/>
      <c r="P606" s="127"/>
      <c r="Q606" s="128"/>
      <c r="R606" s="74"/>
      <c r="AF606" s="76"/>
    </row>
    <row r="607">
      <c r="D607" s="123"/>
      <c r="L607" s="125"/>
      <c r="N607" s="126"/>
      <c r="P607" s="127"/>
      <c r="Q607" s="128"/>
      <c r="R607" s="74"/>
      <c r="AF607" s="76"/>
    </row>
    <row r="608">
      <c r="D608" s="123"/>
      <c r="L608" s="125"/>
      <c r="N608" s="126"/>
      <c r="P608" s="127"/>
      <c r="Q608" s="128"/>
      <c r="R608" s="74"/>
      <c r="AF608" s="76"/>
    </row>
    <row r="609">
      <c r="D609" s="123"/>
      <c r="L609" s="125"/>
      <c r="N609" s="126"/>
      <c r="P609" s="127"/>
      <c r="Q609" s="128"/>
      <c r="R609" s="74"/>
      <c r="AF609" s="76"/>
    </row>
    <row r="610">
      <c r="D610" s="123"/>
      <c r="L610" s="125"/>
      <c r="N610" s="126"/>
      <c r="P610" s="127"/>
      <c r="Q610" s="128"/>
      <c r="R610" s="74"/>
      <c r="AF610" s="76"/>
    </row>
    <row r="611">
      <c r="D611" s="123"/>
      <c r="L611" s="125"/>
      <c r="N611" s="126"/>
      <c r="P611" s="127"/>
      <c r="Q611" s="128"/>
      <c r="R611" s="74"/>
      <c r="AF611" s="76"/>
    </row>
    <row r="612">
      <c r="D612" s="123"/>
      <c r="L612" s="125"/>
      <c r="N612" s="126"/>
      <c r="P612" s="127"/>
      <c r="Q612" s="128"/>
      <c r="R612" s="74"/>
      <c r="AF612" s="76"/>
    </row>
    <row r="613">
      <c r="D613" s="123"/>
      <c r="L613" s="125"/>
      <c r="N613" s="126"/>
      <c r="P613" s="127"/>
      <c r="Q613" s="128"/>
      <c r="R613" s="74"/>
      <c r="AF613" s="76"/>
    </row>
    <row r="614">
      <c r="D614" s="123"/>
      <c r="L614" s="125"/>
      <c r="N614" s="126"/>
      <c r="P614" s="127"/>
      <c r="Q614" s="128"/>
      <c r="R614" s="74"/>
      <c r="AF614" s="76"/>
    </row>
    <row r="615">
      <c r="D615" s="123"/>
      <c r="L615" s="125"/>
      <c r="N615" s="126"/>
      <c r="P615" s="127"/>
      <c r="Q615" s="128"/>
      <c r="R615" s="74"/>
      <c r="AF615" s="76"/>
    </row>
    <row r="616">
      <c r="D616" s="123"/>
      <c r="L616" s="125"/>
      <c r="N616" s="126"/>
      <c r="P616" s="127"/>
      <c r="Q616" s="128"/>
      <c r="R616" s="74"/>
      <c r="AF616" s="76"/>
    </row>
    <row r="617">
      <c r="D617" s="123"/>
      <c r="L617" s="125"/>
      <c r="N617" s="126"/>
      <c r="P617" s="127"/>
      <c r="Q617" s="128"/>
      <c r="R617" s="74"/>
      <c r="AF617" s="76"/>
    </row>
    <row r="618">
      <c r="D618" s="123"/>
      <c r="L618" s="125"/>
      <c r="N618" s="126"/>
      <c r="P618" s="127"/>
      <c r="Q618" s="128"/>
      <c r="R618" s="74"/>
      <c r="AF618" s="76"/>
    </row>
    <row r="619">
      <c r="D619" s="123"/>
      <c r="L619" s="125"/>
      <c r="N619" s="126"/>
      <c r="P619" s="127"/>
      <c r="Q619" s="128"/>
      <c r="R619" s="74"/>
      <c r="AF619" s="76"/>
    </row>
    <row r="620">
      <c r="D620" s="123"/>
      <c r="L620" s="125"/>
      <c r="N620" s="126"/>
      <c r="P620" s="127"/>
      <c r="Q620" s="128"/>
      <c r="R620" s="74"/>
      <c r="AF620" s="76"/>
    </row>
    <row r="621">
      <c r="D621" s="123"/>
      <c r="L621" s="125"/>
      <c r="N621" s="126"/>
      <c r="P621" s="127"/>
      <c r="Q621" s="128"/>
      <c r="R621" s="74"/>
      <c r="AF621" s="76"/>
    </row>
    <row r="622">
      <c r="D622" s="123"/>
      <c r="L622" s="125"/>
      <c r="N622" s="126"/>
      <c r="P622" s="127"/>
      <c r="Q622" s="128"/>
      <c r="R622" s="74"/>
      <c r="AF622" s="76"/>
    </row>
    <row r="623">
      <c r="D623" s="123"/>
      <c r="L623" s="125"/>
      <c r="N623" s="126"/>
      <c r="P623" s="127"/>
      <c r="Q623" s="128"/>
      <c r="R623" s="74"/>
      <c r="AF623" s="76"/>
    </row>
    <row r="624">
      <c r="D624" s="123"/>
      <c r="L624" s="125"/>
      <c r="N624" s="126"/>
      <c r="P624" s="127"/>
      <c r="Q624" s="128"/>
      <c r="R624" s="74"/>
      <c r="AF624" s="76"/>
    </row>
    <row r="625">
      <c r="D625" s="123"/>
      <c r="L625" s="125"/>
      <c r="N625" s="126"/>
      <c r="P625" s="127"/>
      <c r="Q625" s="128"/>
      <c r="R625" s="74"/>
      <c r="AF625" s="76"/>
    </row>
    <row r="626">
      <c r="D626" s="123"/>
      <c r="L626" s="125"/>
      <c r="N626" s="126"/>
      <c r="P626" s="127"/>
      <c r="Q626" s="128"/>
      <c r="R626" s="74"/>
      <c r="AF626" s="76"/>
    </row>
    <row r="627">
      <c r="D627" s="123"/>
      <c r="L627" s="125"/>
      <c r="N627" s="126"/>
      <c r="P627" s="127"/>
      <c r="Q627" s="128"/>
      <c r="R627" s="74"/>
      <c r="AF627" s="76"/>
    </row>
    <row r="628">
      <c r="D628" s="123"/>
      <c r="L628" s="125"/>
      <c r="N628" s="126"/>
      <c r="P628" s="127"/>
      <c r="Q628" s="128"/>
      <c r="R628" s="74"/>
      <c r="AF628" s="76"/>
    </row>
    <row r="629">
      <c r="D629" s="123"/>
      <c r="L629" s="125"/>
      <c r="N629" s="126"/>
      <c r="P629" s="127"/>
      <c r="Q629" s="128"/>
      <c r="R629" s="74"/>
      <c r="AF629" s="76"/>
    </row>
    <row r="630">
      <c r="D630" s="123"/>
      <c r="L630" s="125"/>
      <c r="N630" s="126"/>
      <c r="P630" s="127"/>
      <c r="Q630" s="128"/>
      <c r="R630" s="74"/>
      <c r="AF630" s="76"/>
    </row>
    <row r="631">
      <c r="D631" s="123"/>
      <c r="L631" s="125"/>
      <c r="N631" s="126"/>
      <c r="P631" s="127"/>
      <c r="Q631" s="128"/>
      <c r="R631" s="74"/>
      <c r="AF631" s="76"/>
    </row>
    <row r="632">
      <c r="D632" s="123"/>
      <c r="L632" s="125"/>
      <c r="N632" s="126"/>
      <c r="P632" s="127"/>
      <c r="Q632" s="128"/>
      <c r="R632" s="74"/>
      <c r="AF632" s="76"/>
    </row>
    <row r="633">
      <c r="D633" s="123"/>
      <c r="L633" s="125"/>
      <c r="N633" s="126"/>
      <c r="P633" s="127"/>
      <c r="Q633" s="128"/>
      <c r="R633" s="74"/>
      <c r="AF633" s="76"/>
    </row>
    <row r="634">
      <c r="D634" s="123"/>
      <c r="L634" s="125"/>
      <c r="N634" s="126"/>
      <c r="P634" s="127"/>
      <c r="Q634" s="128"/>
      <c r="R634" s="74"/>
      <c r="AF634" s="76"/>
    </row>
    <row r="635">
      <c r="D635" s="123"/>
      <c r="L635" s="125"/>
      <c r="N635" s="126"/>
      <c r="P635" s="127"/>
      <c r="Q635" s="128"/>
      <c r="R635" s="74"/>
      <c r="AF635" s="76"/>
    </row>
    <row r="636">
      <c r="D636" s="123"/>
      <c r="L636" s="125"/>
      <c r="N636" s="126"/>
      <c r="P636" s="127"/>
      <c r="Q636" s="128"/>
      <c r="R636" s="74"/>
      <c r="AF636" s="76"/>
    </row>
    <row r="637">
      <c r="D637" s="123"/>
      <c r="L637" s="125"/>
      <c r="N637" s="126"/>
      <c r="P637" s="127"/>
      <c r="Q637" s="128"/>
      <c r="R637" s="74"/>
      <c r="AF637" s="76"/>
    </row>
    <row r="638">
      <c r="D638" s="123"/>
      <c r="L638" s="125"/>
      <c r="N638" s="126"/>
      <c r="P638" s="127"/>
      <c r="Q638" s="128"/>
      <c r="R638" s="74"/>
      <c r="AF638" s="76"/>
    </row>
    <row r="639">
      <c r="D639" s="123"/>
      <c r="L639" s="125"/>
      <c r="N639" s="126"/>
      <c r="P639" s="127"/>
      <c r="Q639" s="128"/>
      <c r="R639" s="74"/>
      <c r="AF639" s="76"/>
    </row>
    <row r="640">
      <c r="D640" s="123"/>
      <c r="L640" s="125"/>
      <c r="N640" s="126"/>
      <c r="P640" s="127"/>
      <c r="Q640" s="128"/>
      <c r="R640" s="74"/>
      <c r="AF640" s="76"/>
    </row>
    <row r="641">
      <c r="D641" s="123"/>
      <c r="L641" s="125"/>
      <c r="N641" s="126"/>
      <c r="P641" s="127"/>
      <c r="Q641" s="128"/>
      <c r="R641" s="74"/>
      <c r="AF641" s="76"/>
    </row>
    <row r="642">
      <c r="D642" s="123"/>
      <c r="L642" s="125"/>
      <c r="N642" s="126"/>
      <c r="P642" s="127"/>
      <c r="Q642" s="128"/>
      <c r="R642" s="74"/>
      <c r="AF642" s="76"/>
    </row>
    <row r="643">
      <c r="D643" s="123"/>
      <c r="L643" s="125"/>
      <c r="N643" s="126"/>
      <c r="P643" s="127"/>
      <c r="Q643" s="128"/>
      <c r="R643" s="74"/>
      <c r="AF643" s="76"/>
    </row>
    <row r="644">
      <c r="D644" s="123"/>
      <c r="L644" s="125"/>
      <c r="N644" s="126"/>
      <c r="P644" s="127"/>
      <c r="Q644" s="128"/>
      <c r="R644" s="74"/>
      <c r="AF644" s="76"/>
    </row>
    <row r="645">
      <c r="D645" s="123"/>
      <c r="L645" s="125"/>
      <c r="N645" s="126"/>
      <c r="P645" s="127"/>
      <c r="Q645" s="128"/>
      <c r="R645" s="74"/>
      <c r="AF645" s="76"/>
    </row>
    <row r="646">
      <c r="D646" s="123"/>
      <c r="L646" s="125"/>
      <c r="N646" s="126"/>
      <c r="P646" s="127"/>
      <c r="Q646" s="128"/>
      <c r="R646" s="74"/>
      <c r="AF646" s="76"/>
    </row>
    <row r="647">
      <c r="D647" s="123"/>
      <c r="L647" s="125"/>
      <c r="N647" s="126"/>
      <c r="P647" s="127"/>
      <c r="Q647" s="128"/>
      <c r="R647" s="74"/>
      <c r="AF647" s="76"/>
    </row>
    <row r="648">
      <c r="D648" s="123"/>
      <c r="L648" s="125"/>
      <c r="N648" s="126"/>
      <c r="P648" s="127"/>
      <c r="Q648" s="128"/>
      <c r="R648" s="74"/>
      <c r="AF648" s="76"/>
    </row>
    <row r="649">
      <c r="D649" s="123"/>
      <c r="L649" s="125"/>
      <c r="N649" s="126"/>
      <c r="P649" s="127"/>
      <c r="Q649" s="128"/>
      <c r="R649" s="74"/>
      <c r="AF649" s="76"/>
    </row>
    <row r="650">
      <c r="D650" s="123"/>
      <c r="L650" s="125"/>
      <c r="N650" s="126"/>
      <c r="P650" s="127"/>
      <c r="Q650" s="128"/>
      <c r="R650" s="74"/>
      <c r="AF650" s="76"/>
    </row>
    <row r="651">
      <c r="D651" s="123"/>
      <c r="L651" s="125"/>
      <c r="N651" s="126"/>
      <c r="P651" s="127"/>
      <c r="Q651" s="128"/>
      <c r="R651" s="74"/>
      <c r="AF651" s="76"/>
    </row>
    <row r="652">
      <c r="D652" s="123"/>
      <c r="L652" s="125"/>
      <c r="N652" s="126"/>
      <c r="P652" s="127"/>
      <c r="Q652" s="128"/>
      <c r="R652" s="74"/>
      <c r="AF652" s="76"/>
    </row>
    <row r="653">
      <c r="D653" s="123"/>
      <c r="L653" s="125"/>
      <c r="N653" s="126"/>
      <c r="P653" s="127"/>
      <c r="Q653" s="128"/>
      <c r="R653" s="74"/>
      <c r="AF653" s="76"/>
    </row>
    <row r="654">
      <c r="D654" s="123"/>
      <c r="L654" s="125"/>
      <c r="N654" s="126"/>
      <c r="P654" s="127"/>
      <c r="Q654" s="128"/>
      <c r="R654" s="74"/>
      <c r="AF654" s="76"/>
    </row>
    <row r="655">
      <c r="D655" s="123"/>
      <c r="L655" s="125"/>
      <c r="N655" s="126"/>
      <c r="P655" s="127"/>
      <c r="Q655" s="128"/>
      <c r="R655" s="74"/>
      <c r="AF655" s="76"/>
    </row>
    <row r="656">
      <c r="D656" s="123"/>
      <c r="L656" s="125"/>
      <c r="N656" s="126"/>
      <c r="P656" s="127"/>
      <c r="Q656" s="128"/>
      <c r="R656" s="74"/>
      <c r="AF656" s="76"/>
    </row>
    <row r="657">
      <c r="D657" s="123"/>
      <c r="L657" s="125"/>
      <c r="N657" s="126"/>
      <c r="P657" s="127"/>
      <c r="Q657" s="128"/>
      <c r="R657" s="74"/>
      <c r="AF657" s="76"/>
    </row>
    <row r="658">
      <c r="D658" s="123"/>
      <c r="L658" s="125"/>
      <c r="N658" s="126"/>
      <c r="P658" s="127"/>
      <c r="Q658" s="128"/>
      <c r="R658" s="74"/>
      <c r="AF658" s="76"/>
    </row>
    <row r="659">
      <c r="D659" s="123"/>
      <c r="L659" s="125"/>
      <c r="N659" s="126"/>
      <c r="P659" s="127"/>
      <c r="Q659" s="128"/>
      <c r="R659" s="74"/>
      <c r="AF659" s="76"/>
    </row>
    <row r="660">
      <c r="D660" s="123"/>
      <c r="L660" s="125"/>
      <c r="N660" s="126"/>
      <c r="P660" s="127"/>
      <c r="Q660" s="128"/>
      <c r="R660" s="74"/>
      <c r="AF660" s="76"/>
    </row>
    <row r="661">
      <c r="D661" s="123"/>
      <c r="L661" s="125"/>
      <c r="N661" s="126"/>
      <c r="P661" s="127"/>
      <c r="Q661" s="128"/>
      <c r="R661" s="74"/>
      <c r="AF661" s="76"/>
    </row>
    <row r="662">
      <c r="D662" s="123"/>
      <c r="L662" s="125"/>
      <c r="N662" s="126"/>
      <c r="P662" s="127"/>
      <c r="Q662" s="128"/>
      <c r="R662" s="74"/>
      <c r="AF662" s="76"/>
    </row>
    <row r="663">
      <c r="D663" s="123"/>
      <c r="L663" s="125"/>
      <c r="N663" s="126"/>
      <c r="P663" s="127"/>
      <c r="Q663" s="128"/>
      <c r="R663" s="74"/>
      <c r="AF663" s="76"/>
    </row>
    <row r="664">
      <c r="D664" s="123"/>
      <c r="L664" s="125"/>
      <c r="N664" s="126"/>
      <c r="P664" s="127"/>
      <c r="Q664" s="128"/>
      <c r="R664" s="74"/>
      <c r="AF664" s="76"/>
    </row>
    <row r="665">
      <c r="D665" s="123"/>
      <c r="L665" s="125"/>
      <c r="N665" s="126"/>
      <c r="P665" s="127"/>
      <c r="Q665" s="128"/>
      <c r="R665" s="74"/>
      <c r="AF665" s="76"/>
    </row>
    <row r="666">
      <c r="D666" s="123"/>
      <c r="L666" s="125"/>
      <c r="N666" s="126"/>
      <c r="P666" s="127"/>
      <c r="Q666" s="128"/>
      <c r="R666" s="74"/>
      <c r="AF666" s="76"/>
    </row>
    <row r="667">
      <c r="D667" s="123"/>
      <c r="L667" s="125"/>
      <c r="N667" s="126"/>
      <c r="P667" s="127"/>
      <c r="Q667" s="128"/>
      <c r="R667" s="74"/>
      <c r="AF667" s="76"/>
    </row>
    <row r="668">
      <c r="D668" s="123"/>
      <c r="L668" s="125"/>
      <c r="N668" s="126"/>
      <c r="P668" s="127"/>
      <c r="Q668" s="128"/>
      <c r="R668" s="74"/>
      <c r="AF668" s="76"/>
    </row>
    <row r="669">
      <c r="D669" s="123"/>
      <c r="L669" s="125"/>
      <c r="N669" s="126"/>
      <c r="P669" s="127"/>
      <c r="Q669" s="128"/>
      <c r="R669" s="74"/>
      <c r="AF669" s="76"/>
    </row>
    <row r="670">
      <c r="D670" s="123"/>
      <c r="L670" s="125"/>
      <c r="N670" s="126"/>
      <c r="P670" s="127"/>
      <c r="Q670" s="128"/>
      <c r="R670" s="74"/>
      <c r="AF670" s="76"/>
    </row>
    <row r="671">
      <c r="D671" s="123"/>
      <c r="L671" s="125"/>
      <c r="N671" s="126"/>
      <c r="P671" s="127"/>
      <c r="Q671" s="128"/>
      <c r="R671" s="74"/>
      <c r="AF671" s="76"/>
    </row>
    <row r="672">
      <c r="D672" s="123"/>
      <c r="L672" s="125"/>
      <c r="N672" s="126"/>
      <c r="P672" s="127"/>
      <c r="Q672" s="128"/>
      <c r="R672" s="74"/>
      <c r="AF672" s="76"/>
    </row>
    <row r="673">
      <c r="D673" s="123"/>
      <c r="L673" s="125"/>
      <c r="N673" s="126"/>
      <c r="P673" s="127"/>
      <c r="Q673" s="128"/>
      <c r="R673" s="74"/>
      <c r="AF673" s="76"/>
    </row>
    <row r="674">
      <c r="D674" s="123"/>
      <c r="L674" s="125"/>
      <c r="N674" s="126"/>
      <c r="P674" s="127"/>
      <c r="Q674" s="128"/>
      <c r="R674" s="74"/>
      <c r="AF674" s="76"/>
    </row>
    <row r="675">
      <c r="D675" s="123"/>
      <c r="L675" s="125"/>
      <c r="N675" s="126"/>
      <c r="P675" s="127"/>
      <c r="Q675" s="128"/>
      <c r="R675" s="74"/>
      <c r="AF675" s="76"/>
    </row>
    <row r="676">
      <c r="D676" s="123"/>
      <c r="L676" s="125"/>
      <c r="N676" s="126"/>
      <c r="P676" s="127"/>
      <c r="Q676" s="128"/>
      <c r="R676" s="74"/>
      <c r="AF676" s="76"/>
    </row>
    <row r="677">
      <c r="D677" s="123"/>
      <c r="L677" s="125"/>
      <c r="N677" s="126"/>
      <c r="P677" s="127"/>
      <c r="Q677" s="128"/>
      <c r="R677" s="74"/>
      <c r="AF677" s="76"/>
    </row>
    <row r="678">
      <c r="D678" s="123"/>
      <c r="L678" s="125"/>
      <c r="N678" s="126"/>
      <c r="P678" s="127"/>
      <c r="Q678" s="128"/>
      <c r="R678" s="74"/>
      <c r="AF678" s="76"/>
    </row>
    <row r="679">
      <c r="D679" s="123"/>
      <c r="L679" s="125"/>
      <c r="N679" s="126"/>
      <c r="P679" s="127"/>
      <c r="Q679" s="128"/>
      <c r="R679" s="74"/>
      <c r="AF679" s="76"/>
    </row>
    <row r="680">
      <c r="D680" s="123"/>
      <c r="L680" s="125"/>
      <c r="N680" s="126"/>
      <c r="P680" s="127"/>
      <c r="Q680" s="128"/>
      <c r="R680" s="74"/>
      <c r="AF680" s="76"/>
    </row>
    <row r="681">
      <c r="D681" s="123"/>
      <c r="L681" s="125"/>
      <c r="N681" s="126"/>
      <c r="P681" s="127"/>
      <c r="Q681" s="128"/>
      <c r="R681" s="74"/>
      <c r="AF681" s="76"/>
    </row>
    <row r="682">
      <c r="D682" s="123"/>
      <c r="L682" s="125"/>
      <c r="N682" s="126"/>
      <c r="P682" s="127"/>
      <c r="Q682" s="128"/>
      <c r="R682" s="74"/>
      <c r="AF682" s="76"/>
    </row>
    <row r="683">
      <c r="D683" s="123"/>
      <c r="L683" s="125"/>
      <c r="N683" s="126"/>
      <c r="P683" s="127"/>
      <c r="Q683" s="128"/>
      <c r="R683" s="74"/>
      <c r="AF683" s="76"/>
    </row>
    <row r="684">
      <c r="D684" s="123"/>
      <c r="L684" s="125"/>
      <c r="N684" s="126"/>
      <c r="P684" s="127"/>
      <c r="Q684" s="128"/>
      <c r="R684" s="74"/>
      <c r="AF684" s="76"/>
    </row>
    <row r="685">
      <c r="D685" s="123"/>
      <c r="L685" s="125"/>
      <c r="N685" s="126"/>
      <c r="P685" s="127"/>
      <c r="Q685" s="128"/>
      <c r="R685" s="74"/>
      <c r="AF685" s="76"/>
    </row>
    <row r="686">
      <c r="D686" s="123"/>
      <c r="L686" s="125"/>
      <c r="N686" s="126"/>
      <c r="P686" s="127"/>
      <c r="Q686" s="128"/>
      <c r="R686" s="74"/>
      <c r="AF686" s="76"/>
    </row>
    <row r="687">
      <c r="D687" s="123"/>
      <c r="L687" s="125"/>
      <c r="N687" s="126"/>
      <c r="P687" s="127"/>
      <c r="Q687" s="128"/>
      <c r="R687" s="74"/>
      <c r="AF687" s="76"/>
    </row>
    <row r="688">
      <c r="D688" s="123"/>
      <c r="L688" s="125"/>
      <c r="N688" s="126"/>
      <c r="P688" s="127"/>
      <c r="Q688" s="128"/>
      <c r="R688" s="74"/>
      <c r="AF688" s="76"/>
    </row>
    <row r="689">
      <c r="D689" s="123"/>
      <c r="L689" s="125"/>
      <c r="N689" s="126"/>
      <c r="P689" s="127"/>
      <c r="Q689" s="128"/>
      <c r="R689" s="74"/>
      <c r="AF689" s="76"/>
    </row>
    <row r="690">
      <c r="D690" s="123"/>
      <c r="L690" s="125"/>
      <c r="N690" s="126"/>
      <c r="P690" s="127"/>
      <c r="Q690" s="128"/>
      <c r="R690" s="74"/>
      <c r="AF690" s="76"/>
    </row>
    <row r="691">
      <c r="D691" s="123"/>
      <c r="L691" s="125"/>
      <c r="N691" s="126"/>
      <c r="P691" s="127"/>
      <c r="Q691" s="128"/>
      <c r="R691" s="74"/>
      <c r="AF691" s="76"/>
    </row>
    <row r="692">
      <c r="D692" s="123"/>
      <c r="L692" s="125"/>
      <c r="N692" s="126"/>
      <c r="P692" s="127"/>
      <c r="Q692" s="128"/>
      <c r="R692" s="74"/>
      <c r="AF692" s="76"/>
    </row>
    <row r="693">
      <c r="D693" s="123"/>
      <c r="L693" s="125"/>
      <c r="N693" s="126"/>
      <c r="P693" s="127"/>
      <c r="Q693" s="128"/>
      <c r="R693" s="74"/>
      <c r="AF693" s="76"/>
    </row>
    <row r="694">
      <c r="D694" s="123"/>
      <c r="L694" s="125"/>
      <c r="N694" s="126"/>
      <c r="P694" s="127"/>
      <c r="Q694" s="128"/>
      <c r="R694" s="74"/>
      <c r="AF694" s="76"/>
    </row>
    <row r="695">
      <c r="D695" s="123"/>
      <c r="L695" s="125"/>
      <c r="N695" s="126"/>
      <c r="P695" s="127"/>
      <c r="Q695" s="128"/>
      <c r="R695" s="74"/>
      <c r="AF695" s="76"/>
    </row>
    <row r="696">
      <c r="D696" s="123"/>
      <c r="L696" s="125"/>
      <c r="N696" s="126"/>
      <c r="P696" s="127"/>
      <c r="Q696" s="128"/>
      <c r="R696" s="74"/>
      <c r="AF696" s="76"/>
    </row>
    <row r="697">
      <c r="D697" s="123"/>
      <c r="L697" s="125"/>
      <c r="N697" s="126"/>
      <c r="P697" s="127"/>
      <c r="Q697" s="128"/>
      <c r="R697" s="74"/>
      <c r="AF697" s="76"/>
    </row>
    <row r="698">
      <c r="D698" s="123"/>
      <c r="L698" s="125"/>
      <c r="N698" s="126"/>
      <c r="P698" s="127"/>
      <c r="Q698" s="128"/>
      <c r="R698" s="74"/>
      <c r="AF698" s="76"/>
    </row>
    <row r="699">
      <c r="D699" s="123"/>
      <c r="L699" s="125"/>
      <c r="N699" s="126"/>
      <c r="P699" s="127"/>
      <c r="Q699" s="128"/>
      <c r="R699" s="74"/>
      <c r="AF699" s="76"/>
    </row>
    <row r="700">
      <c r="D700" s="123"/>
      <c r="L700" s="125"/>
      <c r="N700" s="126"/>
      <c r="P700" s="127"/>
      <c r="Q700" s="128"/>
      <c r="R700" s="74"/>
      <c r="AF700" s="76"/>
    </row>
    <row r="701">
      <c r="D701" s="123"/>
      <c r="L701" s="125"/>
      <c r="N701" s="126"/>
      <c r="P701" s="127"/>
      <c r="Q701" s="128"/>
      <c r="R701" s="74"/>
      <c r="AF701" s="76"/>
    </row>
    <row r="702">
      <c r="D702" s="123"/>
      <c r="L702" s="125"/>
      <c r="N702" s="126"/>
      <c r="P702" s="127"/>
      <c r="Q702" s="128"/>
      <c r="R702" s="74"/>
      <c r="AF702" s="76"/>
    </row>
    <row r="703">
      <c r="D703" s="123"/>
      <c r="L703" s="125"/>
      <c r="N703" s="126"/>
      <c r="P703" s="127"/>
      <c r="Q703" s="128"/>
      <c r="R703" s="74"/>
      <c r="AF703" s="76"/>
    </row>
    <row r="704">
      <c r="D704" s="123"/>
      <c r="L704" s="125"/>
      <c r="N704" s="126"/>
      <c r="P704" s="127"/>
      <c r="Q704" s="128"/>
      <c r="R704" s="74"/>
      <c r="AF704" s="76"/>
    </row>
    <row r="705">
      <c r="D705" s="123"/>
      <c r="L705" s="125"/>
      <c r="N705" s="126"/>
      <c r="P705" s="127"/>
      <c r="Q705" s="128"/>
      <c r="R705" s="74"/>
      <c r="AF705" s="76"/>
    </row>
    <row r="706">
      <c r="D706" s="123"/>
      <c r="L706" s="125"/>
      <c r="N706" s="126"/>
      <c r="P706" s="127"/>
      <c r="Q706" s="128"/>
      <c r="R706" s="74"/>
      <c r="AF706" s="76"/>
    </row>
    <row r="707">
      <c r="D707" s="123"/>
      <c r="L707" s="125"/>
      <c r="N707" s="126"/>
      <c r="P707" s="127"/>
      <c r="Q707" s="128"/>
      <c r="R707" s="74"/>
      <c r="AF707" s="76"/>
    </row>
    <row r="708">
      <c r="D708" s="123"/>
      <c r="L708" s="125"/>
      <c r="N708" s="126"/>
      <c r="P708" s="127"/>
      <c r="Q708" s="128"/>
      <c r="R708" s="74"/>
      <c r="AF708" s="76"/>
    </row>
    <row r="709">
      <c r="D709" s="123"/>
      <c r="L709" s="125"/>
      <c r="N709" s="126"/>
      <c r="P709" s="127"/>
      <c r="Q709" s="128"/>
      <c r="R709" s="74"/>
      <c r="AF709" s="76"/>
    </row>
    <row r="710">
      <c r="D710" s="123"/>
      <c r="L710" s="125"/>
      <c r="N710" s="126"/>
      <c r="P710" s="127"/>
      <c r="Q710" s="128"/>
      <c r="R710" s="74"/>
      <c r="AF710" s="76"/>
    </row>
    <row r="711">
      <c r="D711" s="123"/>
      <c r="L711" s="125"/>
      <c r="N711" s="126"/>
      <c r="P711" s="127"/>
      <c r="Q711" s="128"/>
      <c r="R711" s="74"/>
      <c r="AF711" s="76"/>
    </row>
    <row r="712">
      <c r="D712" s="123"/>
      <c r="L712" s="125"/>
      <c r="N712" s="126"/>
      <c r="P712" s="127"/>
      <c r="Q712" s="128"/>
      <c r="R712" s="74"/>
      <c r="AF712" s="76"/>
    </row>
    <row r="713">
      <c r="D713" s="123"/>
      <c r="L713" s="125"/>
      <c r="N713" s="126"/>
      <c r="P713" s="127"/>
      <c r="Q713" s="128"/>
      <c r="R713" s="74"/>
      <c r="AF713" s="76"/>
    </row>
    <row r="714">
      <c r="D714" s="123"/>
      <c r="L714" s="125"/>
      <c r="N714" s="126"/>
      <c r="P714" s="127"/>
      <c r="Q714" s="128"/>
      <c r="R714" s="74"/>
      <c r="AF714" s="76"/>
    </row>
    <row r="715">
      <c r="D715" s="123"/>
      <c r="L715" s="125"/>
      <c r="N715" s="126"/>
      <c r="P715" s="127"/>
      <c r="Q715" s="128"/>
      <c r="R715" s="74"/>
      <c r="AF715" s="76"/>
    </row>
    <row r="716">
      <c r="D716" s="123"/>
      <c r="L716" s="125"/>
      <c r="N716" s="126"/>
      <c r="P716" s="127"/>
      <c r="Q716" s="128"/>
      <c r="R716" s="74"/>
      <c r="AF716" s="76"/>
    </row>
    <row r="717">
      <c r="D717" s="123"/>
      <c r="L717" s="125"/>
      <c r="N717" s="126"/>
      <c r="P717" s="127"/>
      <c r="Q717" s="128"/>
      <c r="R717" s="74"/>
      <c r="AF717" s="76"/>
    </row>
    <row r="718">
      <c r="D718" s="123"/>
      <c r="L718" s="125"/>
      <c r="N718" s="126"/>
      <c r="P718" s="127"/>
      <c r="Q718" s="128"/>
      <c r="R718" s="74"/>
      <c r="AF718" s="76"/>
    </row>
    <row r="719">
      <c r="D719" s="123"/>
      <c r="L719" s="125"/>
      <c r="N719" s="126"/>
      <c r="P719" s="127"/>
      <c r="Q719" s="128"/>
      <c r="R719" s="74"/>
      <c r="AF719" s="76"/>
    </row>
    <row r="720">
      <c r="D720" s="123"/>
      <c r="L720" s="125"/>
      <c r="N720" s="126"/>
      <c r="P720" s="127"/>
      <c r="Q720" s="128"/>
      <c r="R720" s="74"/>
      <c r="AF720" s="76"/>
    </row>
    <row r="721">
      <c r="D721" s="123"/>
      <c r="L721" s="125"/>
      <c r="N721" s="126"/>
      <c r="P721" s="127"/>
      <c r="Q721" s="128"/>
      <c r="R721" s="74"/>
      <c r="AF721" s="76"/>
    </row>
    <row r="722">
      <c r="D722" s="123"/>
      <c r="L722" s="125"/>
      <c r="N722" s="126"/>
      <c r="P722" s="127"/>
      <c r="Q722" s="128"/>
      <c r="R722" s="74"/>
      <c r="AF722" s="76"/>
    </row>
    <row r="723">
      <c r="D723" s="123"/>
      <c r="L723" s="125"/>
      <c r="N723" s="126"/>
      <c r="P723" s="127"/>
      <c r="Q723" s="128"/>
      <c r="R723" s="74"/>
      <c r="AF723" s="76"/>
    </row>
    <row r="724">
      <c r="D724" s="123"/>
      <c r="L724" s="125"/>
      <c r="N724" s="126"/>
      <c r="P724" s="127"/>
      <c r="Q724" s="128"/>
      <c r="R724" s="74"/>
      <c r="AF724" s="76"/>
    </row>
    <row r="725">
      <c r="D725" s="123"/>
      <c r="L725" s="125"/>
      <c r="N725" s="126"/>
      <c r="P725" s="127"/>
      <c r="Q725" s="128"/>
      <c r="R725" s="74"/>
      <c r="AF725" s="76"/>
    </row>
    <row r="726">
      <c r="D726" s="123"/>
      <c r="L726" s="125"/>
      <c r="N726" s="126"/>
      <c r="P726" s="127"/>
      <c r="Q726" s="128"/>
      <c r="R726" s="74"/>
      <c r="AF726" s="76"/>
    </row>
    <row r="727">
      <c r="D727" s="123"/>
      <c r="L727" s="125"/>
      <c r="N727" s="126"/>
      <c r="P727" s="127"/>
      <c r="Q727" s="128"/>
      <c r="R727" s="74"/>
      <c r="AF727" s="76"/>
    </row>
    <row r="728">
      <c r="D728" s="123"/>
      <c r="L728" s="125"/>
      <c r="N728" s="126"/>
      <c r="P728" s="127"/>
      <c r="Q728" s="128"/>
      <c r="R728" s="74"/>
      <c r="AF728" s="76"/>
    </row>
    <row r="729">
      <c r="D729" s="123"/>
      <c r="L729" s="125"/>
      <c r="N729" s="126"/>
      <c r="P729" s="127"/>
      <c r="Q729" s="128"/>
      <c r="R729" s="74"/>
      <c r="AF729" s="76"/>
    </row>
    <row r="730">
      <c r="D730" s="123"/>
      <c r="L730" s="125"/>
      <c r="N730" s="126"/>
      <c r="P730" s="127"/>
      <c r="Q730" s="128"/>
      <c r="R730" s="74"/>
      <c r="AF730" s="76"/>
    </row>
    <row r="731">
      <c r="D731" s="123"/>
      <c r="L731" s="125"/>
      <c r="N731" s="126"/>
      <c r="P731" s="127"/>
      <c r="Q731" s="128"/>
      <c r="R731" s="74"/>
      <c r="AF731" s="76"/>
    </row>
    <row r="732">
      <c r="D732" s="123"/>
      <c r="L732" s="125"/>
      <c r="N732" s="126"/>
      <c r="P732" s="127"/>
      <c r="Q732" s="128"/>
      <c r="R732" s="74"/>
      <c r="AF732" s="76"/>
    </row>
    <row r="733">
      <c r="D733" s="123"/>
      <c r="L733" s="125"/>
      <c r="N733" s="126"/>
      <c r="P733" s="127"/>
      <c r="Q733" s="128"/>
      <c r="R733" s="74"/>
      <c r="AF733" s="76"/>
    </row>
    <row r="734">
      <c r="D734" s="123"/>
      <c r="L734" s="125"/>
      <c r="N734" s="126"/>
      <c r="P734" s="127"/>
      <c r="Q734" s="128"/>
      <c r="R734" s="74"/>
      <c r="AF734" s="76"/>
    </row>
    <row r="735">
      <c r="D735" s="123"/>
      <c r="L735" s="125"/>
      <c r="N735" s="126"/>
      <c r="P735" s="127"/>
      <c r="Q735" s="128"/>
      <c r="R735" s="74"/>
      <c r="AF735" s="76"/>
    </row>
    <row r="736">
      <c r="D736" s="123"/>
      <c r="L736" s="125"/>
      <c r="N736" s="126"/>
      <c r="P736" s="127"/>
      <c r="Q736" s="128"/>
      <c r="R736" s="74"/>
      <c r="AF736" s="76"/>
    </row>
    <row r="737">
      <c r="D737" s="123"/>
      <c r="L737" s="125"/>
      <c r="N737" s="126"/>
      <c r="P737" s="127"/>
      <c r="Q737" s="128"/>
      <c r="R737" s="74"/>
      <c r="AF737" s="76"/>
    </row>
    <row r="738">
      <c r="D738" s="123"/>
      <c r="L738" s="125"/>
      <c r="N738" s="126"/>
      <c r="P738" s="127"/>
      <c r="Q738" s="128"/>
      <c r="R738" s="74"/>
      <c r="AF738" s="76"/>
    </row>
    <row r="739">
      <c r="D739" s="123"/>
      <c r="L739" s="125"/>
      <c r="N739" s="126"/>
      <c r="P739" s="127"/>
      <c r="Q739" s="128"/>
      <c r="R739" s="74"/>
      <c r="AF739" s="76"/>
    </row>
    <row r="740">
      <c r="D740" s="123"/>
      <c r="L740" s="125"/>
      <c r="N740" s="126"/>
      <c r="P740" s="127"/>
      <c r="Q740" s="128"/>
      <c r="R740" s="74"/>
      <c r="AF740" s="76"/>
    </row>
    <row r="741">
      <c r="D741" s="123"/>
      <c r="L741" s="125"/>
      <c r="N741" s="126"/>
      <c r="P741" s="127"/>
      <c r="Q741" s="128"/>
      <c r="R741" s="74"/>
      <c r="AF741" s="76"/>
    </row>
    <row r="742">
      <c r="D742" s="123"/>
      <c r="L742" s="125"/>
      <c r="N742" s="126"/>
      <c r="P742" s="127"/>
      <c r="Q742" s="128"/>
      <c r="R742" s="74"/>
      <c r="AF742" s="76"/>
    </row>
    <row r="743">
      <c r="D743" s="123"/>
      <c r="L743" s="125"/>
      <c r="N743" s="126"/>
      <c r="P743" s="127"/>
      <c r="Q743" s="128"/>
      <c r="R743" s="74"/>
      <c r="AF743" s="76"/>
    </row>
    <row r="744">
      <c r="D744" s="123"/>
      <c r="L744" s="125"/>
      <c r="N744" s="126"/>
      <c r="P744" s="127"/>
      <c r="Q744" s="128"/>
      <c r="R744" s="74"/>
      <c r="AF744" s="76"/>
    </row>
    <row r="745">
      <c r="D745" s="123"/>
      <c r="L745" s="125"/>
      <c r="N745" s="126"/>
      <c r="P745" s="127"/>
      <c r="Q745" s="128"/>
      <c r="R745" s="74"/>
      <c r="AF745" s="76"/>
    </row>
    <row r="746">
      <c r="D746" s="123"/>
      <c r="L746" s="125"/>
      <c r="N746" s="126"/>
      <c r="P746" s="127"/>
      <c r="Q746" s="128"/>
      <c r="R746" s="74"/>
      <c r="AF746" s="76"/>
    </row>
    <row r="747">
      <c r="D747" s="123"/>
      <c r="L747" s="125"/>
      <c r="N747" s="126"/>
      <c r="P747" s="127"/>
      <c r="Q747" s="128"/>
      <c r="R747" s="74"/>
      <c r="AF747" s="76"/>
    </row>
    <row r="748">
      <c r="D748" s="123"/>
      <c r="L748" s="125"/>
      <c r="N748" s="126"/>
      <c r="P748" s="127"/>
      <c r="Q748" s="128"/>
      <c r="R748" s="74"/>
      <c r="AF748" s="76"/>
    </row>
    <row r="749">
      <c r="D749" s="123"/>
      <c r="L749" s="125"/>
      <c r="N749" s="126"/>
      <c r="P749" s="127"/>
      <c r="Q749" s="128"/>
      <c r="R749" s="74"/>
      <c r="AF749" s="76"/>
    </row>
    <row r="750">
      <c r="D750" s="123"/>
      <c r="L750" s="125"/>
      <c r="N750" s="126"/>
      <c r="P750" s="127"/>
      <c r="Q750" s="128"/>
      <c r="R750" s="74"/>
      <c r="AF750" s="76"/>
    </row>
    <row r="751">
      <c r="D751" s="123"/>
      <c r="L751" s="125"/>
      <c r="N751" s="126"/>
      <c r="P751" s="127"/>
      <c r="Q751" s="128"/>
      <c r="R751" s="74"/>
      <c r="AF751" s="76"/>
    </row>
    <row r="752">
      <c r="D752" s="123"/>
      <c r="L752" s="125"/>
      <c r="N752" s="126"/>
      <c r="P752" s="127"/>
      <c r="Q752" s="128"/>
      <c r="R752" s="74"/>
      <c r="AF752" s="76"/>
    </row>
    <row r="753">
      <c r="D753" s="123"/>
      <c r="L753" s="125"/>
      <c r="N753" s="126"/>
      <c r="P753" s="127"/>
      <c r="Q753" s="128"/>
      <c r="R753" s="74"/>
      <c r="AF753" s="76"/>
    </row>
    <row r="754">
      <c r="D754" s="123"/>
      <c r="L754" s="125"/>
      <c r="N754" s="126"/>
      <c r="P754" s="127"/>
      <c r="Q754" s="128"/>
      <c r="R754" s="74"/>
      <c r="AF754" s="76"/>
    </row>
    <row r="755">
      <c r="D755" s="123"/>
      <c r="L755" s="125"/>
      <c r="N755" s="126"/>
      <c r="P755" s="127"/>
      <c r="Q755" s="128"/>
      <c r="R755" s="74"/>
      <c r="AF755" s="76"/>
    </row>
    <row r="756">
      <c r="D756" s="123"/>
      <c r="L756" s="125"/>
      <c r="N756" s="126"/>
      <c r="P756" s="127"/>
      <c r="Q756" s="128"/>
      <c r="R756" s="74"/>
      <c r="AF756" s="76"/>
    </row>
    <row r="757">
      <c r="D757" s="123"/>
      <c r="L757" s="125"/>
      <c r="N757" s="126"/>
      <c r="P757" s="127"/>
      <c r="Q757" s="128"/>
      <c r="R757" s="74"/>
      <c r="AF757" s="76"/>
    </row>
    <row r="758">
      <c r="D758" s="123"/>
      <c r="L758" s="125"/>
      <c r="N758" s="126"/>
      <c r="P758" s="127"/>
      <c r="Q758" s="128"/>
      <c r="R758" s="74"/>
      <c r="AF758" s="76"/>
    </row>
    <row r="759">
      <c r="D759" s="123"/>
      <c r="L759" s="125"/>
      <c r="N759" s="126"/>
      <c r="P759" s="127"/>
      <c r="Q759" s="128"/>
      <c r="R759" s="74"/>
      <c r="AF759" s="76"/>
    </row>
    <row r="760">
      <c r="D760" s="123"/>
      <c r="L760" s="125"/>
      <c r="N760" s="126"/>
      <c r="P760" s="127"/>
      <c r="Q760" s="128"/>
      <c r="R760" s="74"/>
      <c r="AF760" s="76"/>
    </row>
    <row r="761">
      <c r="D761" s="123"/>
      <c r="L761" s="125"/>
      <c r="N761" s="126"/>
      <c r="P761" s="127"/>
      <c r="Q761" s="128"/>
      <c r="R761" s="74"/>
      <c r="AF761" s="76"/>
    </row>
    <row r="762">
      <c r="D762" s="123"/>
      <c r="L762" s="125"/>
      <c r="N762" s="126"/>
      <c r="P762" s="127"/>
      <c r="Q762" s="128"/>
      <c r="R762" s="74"/>
      <c r="AF762" s="76"/>
    </row>
    <row r="763">
      <c r="D763" s="123"/>
      <c r="L763" s="125"/>
      <c r="N763" s="126"/>
      <c r="P763" s="127"/>
      <c r="Q763" s="128"/>
      <c r="R763" s="74"/>
      <c r="AF763" s="76"/>
    </row>
    <row r="764">
      <c r="D764" s="123"/>
      <c r="L764" s="125"/>
      <c r="N764" s="126"/>
      <c r="P764" s="127"/>
      <c r="Q764" s="128"/>
      <c r="R764" s="74"/>
      <c r="AF764" s="76"/>
    </row>
    <row r="765">
      <c r="D765" s="123"/>
      <c r="L765" s="125"/>
      <c r="N765" s="126"/>
      <c r="P765" s="127"/>
      <c r="Q765" s="128"/>
      <c r="R765" s="74"/>
      <c r="AF765" s="76"/>
    </row>
    <row r="766">
      <c r="D766" s="123"/>
      <c r="L766" s="125"/>
      <c r="N766" s="126"/>
      <c r="P766" s="127"/>
      <c r="Q766" s="128"/>
      <c r="R766" s="74"/>
      <c r="AF766" s="76"/>
    </row>
    <row r="767">
      <c r="D767" s="123"/>
      <c r="L767" s="125"/>
      <c r="N767" s="126"/>
      <c r="P767" s="127"/>
      <c r="Q767" s="128"/>
      <c r="R767" s="74"/>
      <c r="AF767" s="76"/>
    </row>
    <row r="768">
      <c r="D768" s="123"/>
      <c r="L768" s="125"/>
      <c r="N768" s="126"/>
      <c r="P768" s="127"/>
      <c r="Q768" s="128"/>
      <c r="R768" s="74"/>
      <c r="AF768" s="76"/>
    </row>
    <row r="769">
      <c r="D769" s="123"/>
      <c r="L769" s="125"/>
      <c r="N769" s="126"/>
      <c r="P769" s="127"/>
      <c r="Q769" s="128"/>
      <c r="R769" s="74"/>
      <c r="AF769" s="76"/>
    </row>
    <row r="770">
      <c r="D770" s="123"/>
      <c r="L770" s="125"/>
      <c r="N770" s="126"/>
      <c r="P770" s="127"/>
      <c r="Q770" s="128"/>
      <c r="R770" s="74"/>
      <c r="AF770" s="76"/>
    </row>
    <row r="771">
      <c r="D771" s="123"/>
      <c r="L771" s="125"/>
      <c r="N771" s="126"/>
      <c r="P771" s="127"/>
      <c r="Q771" s="128"/>
      <c r="R771" s="74"/>
      <c r="AF771" s="76"/>
    </row>
    <row r="772">
      <c r="D772" s="123"/>
      <c r="L772" s="125"/>
      <c r="N772" s="126"/>
      <c r="P772" s="127"/>
      <c r="Q772" s="128"/>
      <c r="R772" s="74"/>
      <c r="AF772" s="76"/>
    </row>
    <row r="773">
      <c r="D773" s="123"/>
      <c r="L773" s="125"/>
      <c r="N773" s="126"/>
      <c r="P773" s="127"/>
      <c r="Q773" s="128"/>
      <c r="R773" s="74"/>
      <c r="AF773" s="76"/>
    </row>
    <row r="774">
      <c r="D774" s="123"/>
      <c r="L774" s="125"/>
      <c r="N774" s="126"/>
      <c r="P774" s="127"/>
      <c r="Q774" s="128"/>
      <c r="R774" s="74"/>
      <c r="AF774" s="76"/>
    </row>
    <row r="775">
      <c r="D775" s="123"/>
      <c r="L775" s="125"/>
      <c r="N775" s="126"/>
      <c r="P775" s="127"/>
      <c r="Q775" s="128"/>
      <c r="R775" s="74"/>
      <c r="AF775" s="76"/>
    </row>
    <row r="776">
      <c r="D776" s="123"/>
      <c r="L776" s="125"/>
      <c r="N776" s="126"/>
      <c r="P776" s="127"/>
      <c r="Q776" s="128"/>
      <c r="R776" s="74"/>
      <c r="AF776" s="76"/>
    </row>
    <row r="777">
      <c r="D777" s="123"/>
      <c r="L777" s="125"/>
      <c r="N777" s="126"/>
      <c r="P777" s="127"/>
      <c r="Q777" s="128"/>
      <c r="R777" s="74"/>
      <c r="AF777" s="76"/>
    </row>
    <row r="778">
      <c r="D778" s="123"/>
      <c r="L778" s="125"/>
      <c r="N778" s="126"/>
      <c r="P778" s="127"/>
      <c r="Q778" s="128"/>
      <c r="R778" s="74"/>
      <c r="AF778" s="76"/>
    </row>
    <row r="779">
      <c r="D779" s="123"/>
      <c r="L779" s="125"/>
      <c r="N779" s="126"/>
      <c r="P779" s="127"/>
      <c r="Q779" s="128"/>
      <c r="R779" s="74"/>
      <c r="AF779" s="76"/>
    </row>
    <row r="780">
      <c r="D780" s="123"/>
      <c r="L780" s="125"/>
      <c r="N780" s="126"/>
      <c r="P780" s="127"/>
      <c r="Q780" s="128"/>
      <c r="R780" s="74"/>
      <c r="AF780" s="76"/>
    </row>
    <row r="781">
      <c r="D781" s="123"/>
      <c r="L781" s="125"/>
      <c r="N781" s="126"/>
      <c r="P781" s="127"/>
      <c r="Q781" s="128"/>
      <c r="R781" s="74"/>
      <c r="AF781" s="76"/>
    </row>
    <row r="782">
      <c r="D782" s="123"/>
      <c r="L782" s="125"/>
      <c r="N782" s="126"/>
      <c r="P782" s="127"/>
      <c r="Q782" s="128"/>
      <c r="R782" s="74"/>
      <c r="AF782" s="76"/>
    </row>
    <row r="783">
      <c r="D783" s="123"/>
      <c r="L783" s="125"/>
      <c r="N783" s="126"/>
      <c r="P783" s="127"/>
      <c r="Q783" s="128"/>
      <c r="R783" s="74"/>
      <c r="AF783" s="76"/>
    </row>
    <row r="784">
      <c r="D784" s="123"/>
      <c r="L784" s="125"/>
      <c r="N784" s="126"/>
      <c r="P784" s="127"/>
      <c r="Q784" s="128"/>
      <c r="R784" s="74"/>
      <c r="AF784" s="76"/>
    </row>
    <row r="785">
      <c r="D785" s="123"/>
      <c r="L785" s="125"/>
      <c r="N785" s="126"/>
      <c r="P785" s="127"/>
      <c r="Q785" s="128"/>
      <c r="R785" s="74"/>
      <c r="AF785" s="76"/>
    </row>
    <row r="786">
      <c r="D786" s="123"/>
      <c r="L786" s="125"/>
      <c r="N786" s="126"/>
      <c r="P786" s="127"/>
      <c r="Q786" s="128"/>
      <c r="R786" s="74"/>
      <c r="AF786" s="76"/>
    </row>
    <row r="787">
      <c r="D787" s="123"/>
      <c r="L787" s="125"/>
      <c r="N787" s="126"/>
      <c r="P787" s="127"/>
      <c r="Q787" s="128"/>
      <c r="R787" s="74"/>
      <c r="AF787" s="76"/>
    </row>
    <row r="788">
      <c r="D788" s="123"/>
      <c r="L788" s="125"/>
      <c r="N788" s="126"/>
      <c r="P788" s="127"/>
      <c r="Q788" s="128"/>
      <c r="R788" s="74"/>
      <c r="AF788" s="76"/>
    </row>
    <row r="789">
      <c r="D789" s="123"/>
      <c r="L789" s="125"/>
      <c r="N789" s="126"/>
      <c r="P789" s="127"/>
      <c r="Q789" s="128"/>
      <c r="R789" s="74"/>
      <c r="AF789" s="76"/>
    </row>
    <row r="790">
      <c r="D790" s="123"/>
      <c r="L790" s="125"/>
      <c r="N790" s="126"/>
      <c r="P790" s="127"/>
      <c r="Q790" s="128"/>
      <c r="R790" s="74"/>
      <c r="AF790" s="76"/>
    </row>
    <row r="791">
      <c r="D791" s="123"/>
      <c r="L791" s="125"/>
      <c r="N791" s="126"/>
      <c r="P791" s="127"/>
      <c r="Q791" s="128"/>
      <c r="R791" s="74"/>
      <c r="AF791" s="76"/>
    </row>
    <row r="792">
      <c r="D792" s="123"/>
      <c r="L792" s="125"/>
      <c r="N792" s="126"/>
      <c r="P792" s="127"/>
      <c r="Q792" s="128"/>
      <c r="R792" s="74"/>
      <c r="AF792" s="76"/>
    </row>
    <row r="793">
      <c r="D793" s="123"/>
      <c r="L793" s="125"/>
      <c r="N793" s="126"/>
      <c r="P793" s="127"/>
      <c r="Q793" s="128"/>
      <c r="R793" s="74"/>
      <c r="AF793" s="76"/>
    </row>
    <row r="794">
      <c r="D794" s="123"/>
      <c r="L794" s="125"/>
      <c r="N794" s="126"/>
      <c r="P794" s="127"/>
      <c r="Q794" s="128"/>
      <c r="R794" s="74"/>
      <c r="AF794" s="76"/>
    </row>
    <row r="795">
      <c r="D795" s="123"/>
      <c r="L795" s="125"/>
      <c r="N795" s="126"/>
      <c r="P795" s="127"/>
      <c r="Q795" s="128"/>
      <c r="R795" s="74"/>
      <c r="AF795" s="76"/>
    </row>
    <row r="796">
      <c r="D796" s="123"/>
      <c r="L796" s="125"/>
      <c r="N796" s="126"/>
      <c r="P796" s="127"/>
      <c r="Q796" s="128"/>
      <c r="R796" s="74"/>
      <c r="AF796" s="76"/>
    </row>
    <row r="797">
      <c r="D797" s="123"/>
      <c r="L797" s="125"/>
      <c r="N797" s="126"/>
      <c r="P797" s="127"/>
      <c r="Q797" s="128"/>
      <c r="R797" s="74"/>
      <c r="AF797" s="76"/>
    </row>
    <row r="798">
      <c r="D798" s="123"/>
      <c r="L798" s="125"/>
      <c r="N798" s="126"/>
      <c r="P798" s="127"/>
      <c r="Q798" s="128"/>
      <c r="R798" s="74"/>
      <c r="AF798" s="76"/>
    </row>
    <row r="799">
      <c r="D799" s="123"/>
      <c r="L799" s="125"/>
      <c r="N799" s="126"/>
      <c r="P799" s="127"/>
      <c r="Q799" s="128"/>
      <c r="R799" s="74"/>
      <c r="AF799" s="76"/>
    </row>
    <row r="800">
      <c r="D800" s="123"/>
      <c r="L800" s="125"/>
      <c r="N800" s="126"/>
      <c r="P800" s="127"/>
      <c r="Q800" s="128"/>
      <c r="R800" s="74"/>
      <c r="AF800" s="76"/>
    </row>
    <row r="801">
      <c r="D801" s="123"/>
      <c r="L801" s="125"/>
      <c r="N801" s="126"/>
      <c r="P801" s="127"/>
      <c r="Q801" s="128"/>
      <c r="R801" s="74"/>
      <c r="AF801" s="76"/>
    </row>
    <row r="802">
      <c r="D802" s="123"/>
      <c r="L802" s="125"/>
      <c r="N802" s="126"/>
      <c r="P802" s="127"/>
      <c r="Q802" s="128"/>
      <c r="R802" s="74"/>
      <c r="AF802" s="76"/>
    </row>
    <row r="803">
      <c r="D803" s="123"/>
      <c r="L803" s="125"/>
      <c r="N803" s="126"/>
      <c r="P803" s="127"/>
      <c r="Q803" s="128"/>
      <c r="R803" s="74"/>
      <c r="AF803" s="76"/>
    </row>
    <row r="804">
      <c r="D804" s="123"/>
      <c r="L804" s="125"/>
      <c r="N804" s="126"/>
      <c r="P804" s="127"/>
      <c r="Q804" s="128"/>
      <c r="R804" s="74"/>
      <c r="AF804" s="76"/>
    </row>
    <row r="805">
      <c r="D805" s="123"/>
      <c r="L805" s="125"/>
      <c r="N805" s="126"/>
      <c r="P805" s="127"/>
      <c r="Q805" s="128"/>
      <c r="R805" s="74"/>
      <c r="AF805" s="76"/>
    </row>
    <row r="806">
      <c r="D806" s="123"/>
      <c r="L806" s="125"/>
      <c r="N806" s="126"/>
      <c r="P806" s="127"/>
      <c r="Q806" s="128"/>
      <c r="R806" s="74"/>
      <c r="AF806" s="76"/>
    </row>
    <row r="807">
      <c r="D807" s="123"/>
      <c r="L807" s="125"/>
      <c r="N807" s="126"/>
      <c r="P807" s="127"/>
      <c r="Q807" s="128"/>
      <c r="R807" s="74"/>
      <c r="AF807" s="76"/>
    </row>
    <row r="808">
      <c r="D808" s="123"/>
      <c r="L808" s="125"/>
      <c r="N808" s="126"/>
      <c r="P808" s="127"/>
      <c r="Q808" s="128"/>
      <c r="R808" s="74"/>
      <c r="AF808" s="76"/>
    </row>
    <row r="809">
      <c r="D809" s="123"/>
      <c r="L809" s="125"/>
      <c r="N809" s="126"/>
      <c r="P809" s="127"/>
      <c r="Q809" s="128"/>
      <c r="R809" s="74"/>
      <c r="AF809" s="76"/>
    </row>
    <row r="810">
      <c r="D810" s="123"/>
      <c r="L810" s="125"/>
      <c r="N810" s="126"/>
      <c r="P810" s="127"/>
      <c r="Q810" s="128"/>
      <c r="R810" s="74"/>
      <c r="AF810" s="76"/>
    </row>
    <row r="811">
      <c r="D811" s="123"/>
      <c r="L811" s="125"/>
      <c r="N811" s="126"/>
      <c r="P811" s="127"/>
      <c r="Q811" s="128"/>
      <c r="R811" s="74"/>
      <c r="AF811" s="76"/>
    </row>
    <row r="812">
      <c r="D812" s="123"/>
      <c r="L812" s="125"/>
      <c r="N812" s="126"/>
      <c r="P812" s="127"/>
      <c r="Q812" s="128"/>
      <c r="R812" s="74"/>
      <c r="AF812" s="76"/>
    </row>
    <row r="813">
      <c r="D813" s="123"/>
      <c r="L813" s="125"/>
      <c r="N813" s="126"/>
      <c r="P813" s="127"/>
      <c r="Q813" s="128"/>
      <c r="R813" s="74"/>
      <c r="AF813" s="76"/>
    </row>
    <row r="814">
      <c r="D814" s="123"/>
      <c r="L814" s="125"/>
      <c r="N814" s="126"/>
      <c r="P814" s="127"/>
      <c r="Q814" s="128"/>
      <c r="R814" s="74"/>
      <c r="AF814" s="76"/>
    </row>
    <row r="815">
      <c r="D815" s="123"/>
      <c r="L815" s="125"/>
      <c r="N815" s="126"/>
      <c r="P815" s="127"/>
      <c r="Q815" s="128"/>
      <c r="R815" s="74"/>
      <c r="AF815" s="76"/>
    </row>
    <row r="816">
      <c r="D816" s="123"/>
      <c r="L816" s="125"/>
      <c r="N816" s="126"/>
      <c r="P816" s="127"/>
      <c r="Q816" s="128"/>
      <c r="R816" s="74"/>
      <c r="AF816" s="76"/>
    </row>
    <row r="817">
      <c r="D817" s="123"/>
      <c r="L817" s="125"/>
      <c r="N817" s="126"/>
      <c r="P817" s="127"/>
      <c r="Q817" s="128"/>
      <c r="R817" s="74"/>
      <c r="AF817" s="76"/>
    </row>
    <row r="818">
      <c r="D818" s="123"/>
      <c r="L818" s="125"/>
      <c r="N818" s="126"/>
      <c r="P818" s="127"/>
      <c r="Q818" s="128"/>
      <c r="R818" s="74"/>
      <c r="AF818" s="76"/>
    </row>
    <row r="819">
      <c r="D819" s="123"/>
      <c r="L819" s="125"/>
      <c r="N819" s="126"/>
      <c r="P819" s="127"/>
      <c r="Q819" s="128"/>
      <c r="R819" s="74"/>
      <c r="AF819" s="76"/>
    </row>
    <row r="820">
      <c r="D820" s="123"/>
      <c r="L820" s="125"/>
      <c r="N820" s="126"/>
      <c r="P820" s="127"/>
      <c r="Q820" s="128"/>
      <c r="R820" s="74"/>
      <c r="AF820" s="76"/>
    </row>
    <row r="821">
      <c r="D821" s="123"/>
      <c r="L821" s="125"/>
      <c r="N821" s="126"/>
      <c r="P821" s="127"/>
      <c r="Q821" s="128"/>
      <c r="R821" s="74"/>
      <c r="AF821" s="76"/>
    </row>
    <row r="822">
      <c r="D822" s="123"/>
      <c r="L822" s="125"/>
      <c r="N822" s="126"/>
      <c r="P822" s="127"/>
      <c r="Q822" s="128"/>
      <c r="R822" s="74"/>
      <c r="AF822" s="76"/>
    </row>
    <row r="823">
      <c r="D823" s="123"/>
      <c r="L823" s="125"/>
      <c r="N823" s="126"/>
      <c r="P823" s="127"/>
      <c r="Q823" s="128"/>
      <c r="R823" s="74"/>
      <c r="AF823" s="76"/>
    </row>
    <row r="824">
      <c r="D824" s="123"/>
      <c r="L824" s="125"/>
      <c r="N824" s="126"/>
      <c r="P824" s="127"/>
      <c r="Q824" s="128"/>
      <c r="R824" s="74"/>
      <c r="AF824" s="76"/>
    </row>
    <row r="825">
      <c r="D825" s="123"/>
      <c r="L825" s="125"/>
      <c r="N825" s="126"/>
      <c r="P825" s="127"/>
      <c r="Q825" s="128"/>
      <c r="R825" s="74"/>
      <c r="AF825" s="76"/>
    </row>
    <row r="826">
      <c r="D826" s="123"/>
      <c r="L826" s="125"/>
      <c r="N826" s="126"/>
      <c r="P826" s="127"/>
      <c r="Q826" s="128"/>
      <c r="R826" s="74"/>
      <c r="AF826" s="76"/>
    </row>
    <row r="827">
      <c r="D827" s="123"/>
      <c r="L827" s="125"/>
      <c r="N827" s="126"/>
      <c r="P827" s="127"/>
      <c r="Q827" s="128"/>
      <c r="R827" s="74"/>
      <c r="AF827" s="76"/>
    </row>
    <row r="828">
      <c r="D828" s="123"/>
      <c r="L828" s="125"/>
      <c r="N828" s="126"/>
      <c r="P828" s="127"/>
      <c r="Q828" s="128"/>
      <c r="R828" s="74"/>
      <c r="AF828" s="76"/>
    </row>
    <row r="829">
      <c r="D829" s="123"/>
      <c r="L829" s="125"/>
      <c r="N829" s="126"/>
      <c r="P829" s="127"/>
      <c r="Q829" s="128"/>
      <c r="R829" s="74"/>
      <c r="AF829" s="76"/>
    </row>
    <row r="830">
      <c r="D830" s="123"/>
      <c r="L830" s="125"/>
      <c r="N830" s="126"/>
      <c r="P830" s="127"/>
      <c r="Q830" s="128"/>
      <c r="R830" s="74"/>
      <c r="AF830" s="76"/>
    </row>
    <row r="831">
      <c r="D831" s="123"/>
      <c r="L831" s="125"/>
      <c r="N831" s="126"/>
      <c r="P831" s="127"/>
      <c r="Q831" s="128"/>
      <c r="R831" s="74"/>
      <c r="AF831" s="76"/>
    </row>
    <row r="832">
      <c r="D832" s="123"/>
      <c r="L832" s="125"/>
      <c r="N832" s="126"/>
      <c r="P832" s="127"/>
      <c r="Q832" s="128"/>
      <c r="R832" s="74"/>
      <c r="AF832" s="76"/>
    </row>
    <row r="833">
      <c r="D833" s="123"/>
      <c r="L833" s="125"/>
      <c r="N833" s="126"/>
      <c r="P833" s="127"/>
      <c r="Q833" s="128"/>
      <c r="R833" s="74"/>
      <c r="AF833" s="76"/>
    </row>
    <row r="834">
      <c r="D834" s="123"/>
      <c r="L834" s="125"/>
      <c r="N834" s="126"/>
      <c r="P834" s="127"/>
      <c r="Q834" s="128"/>
      <c r="R834" s="74"/>
      <c r="AF834" s="76"/>
    </row>
    <row r="835">
      <c r="D835" s="123"/>
      <c r="L835" s="125"/>
      <c r="N835" s="126"/>
      <c r="P835" s="127"/>
      <c r="Q835" s="128"/>
      <c r="R835" s="74"/>
      <c r="AF835" s="76"/>
    </row>
    <row r="836">
      <c r="D836" s="123"/>
      <c r="L836" s="125"/>
      <c r="N836" s="126"/>
      <c r="P836" s="127"/>
      <c r="Q836" s="128"/>
      <c r="R836" s="74"/>
      <c r="AF836" s="76"/>
    </row>
    <row r="837">
      <c r="D837" s="123"/>
      <c r="L837" s="125"/>
      <c r="N837" s="126"/>
      <c r="P837" s="127"/>
      <c r="Q837" s="128"/>
      <c r="R837" s="74"/>
      <c r="AF837" s="76"/>
    </row>
    <row r="838">
      <c r="D838" s="123"/>
      <c r="L838" s="125"/>
      <c r="N838" s="126"/>
      <c r="P838" s="127"/>
      <c r="Q838" s="128"/>
      <c r="R838" s="74"/>
      <c r="AF838" s="76"/>
    </row>
    <row r="839">
      <c r="D839" s="123"/>
      <c r="L839" s="125"/>
      <c r="N839" s="126"/>
      <c r="P839" s="127"/>
      <c r="Q839" s="128"/>
      <c r="R839" s="74"/>
      <c r="AF839" s="76"/>
    </row>
    <row r="840">
      <c r="D840" s="123"/>
      <c r="L840" s="125"/>
      <c r="N840" s="126"/>
      <c r="P840" s="127"/>
      <c r="Q840" s="128"/>
      <c r="R840" s="74"/>
      <c r="AF840" s="76"/>
    </row>
    <row r="841">
      <c r="D841" s="123"/>
      <c r="L841" s="125"/>
      <c r="N841" s="126"/>
      <c r="P841" s="127"/>
      <c r="Q841" s="128"/>
      <c r="R841" s="74"/>
      <c r="AF841" s="76"/>
    </row>
    <row r="842">
      <c r="D842" s="123"/>
      <c r="L842" s="125"/>
      <c r="N842" s="126"/>
      <c r="P842" s="127"/>
      <c r="Q842" s="128"/>
      <c r="R842" s="74"/>
      <c r="AF842" s="76"/>
    </row>
    <row r="843">
      <c r="D843" s="123"/>
      <c r="L843" s="125"/>
      <c r="N843" s="126"/>
      <c r="P843" s="127"/>
      <c r="Q843" s="128"/>
      <c r="R843" s="74"/>
      <c r="AF843" s="76"/>
    </row>
    <row r="844">
      <c r="D844" s="123"/>
      <c r="L844" s="125"/>
      <c r="N844" s="126"/>
      <c r="P844" s="127"/>
      <c r="Q844" s="128"/>
      <c r="R844" s="74"/>
      <c r="AF844" s="76"/>
    </row>
    <row r="845">
      <c r="D845" s="123"/>
      <c r="L845" s="125"/>
      <c r="N845" s="126"/>
      <c r="P845" s="127"/>
      <c r="Q845" s="128"/>
      <c r="R845" s="74"/>
      <c r="AF845" s="76"/>
    </row>
    <row r="846">
      <c r="D846" s="123"/>
      <c r="L846" s="125"/>
      <c r="N846" s="126"/>
      <c r="P846" s="127"/>
      <c r="Q846" s="128"/>
      <c r="R846" s="74"/>
      <c r="AF846" s="76"/>
    </row>
    <row r="847">
      <c r="D847" s="123"/>
      <c r="L847" s="125"/>
      <c r="N847" s="126"/>
      <c r="P847" s="127"/>
      <c r="Q847" s="128"/>
      <c r="R847" s="74"/>
      <c r="AF847" s="76"/>
    </row>
    <row r="848">
      <c r="D848" s="123"/>
      <c r="L848" s="125"/>
      <c r="N848" s="126"/>
      <c r="P848" s="127"/>
      <c r="Q848" s="128"/>
      <c r="R848" s="74"/>
      <c r="AF848" s="76"/>
    </row>
    <row r="849">
      <c r="D849" s="123"/>
      <c r="L849" s="125"/>
      <c r="N849" s="126"/>
      <c r="P849" s="127"/>
      <c r="Q849" s="128"/>
      <c r="R849" s="74"/>
      <c r="AF849" s="76"/>
    </row>
    <row r="850">
      <c r="D850" s="123"/>
      <c r="L850" s="125"/>
      <c r="N850" s="126"/>
      <c r="P850" s="127"/>
      <c r="Q850" s="128"/>
      <c r="R850" s="74"/>
      <c r="AF850" s="76"/>
    </row>
    <row r="851">
      <c r="D851" s="123"/>
      <c r="L851" s="125"/>
      <c r="N851" s="126"/>
      <c r="P851" s="127"/>
      <c r="Q851" s="128"/>
      <c r="R851" s="74"/>
      <c r="AF851" s="76"/>
    </row>
    <row r="852">
      <c r="D852" s="123"/>
      <c r="L852" s="125"/>
      <c r="N852" s="126"/>
      <c r="P852" s="127"/>
      <c r="Q852" s="128"/>
      <c r="R852" s="74"/>
      <c r="AF852" s="76"/>
    </row>
    <row r="853">
      <c r="D853" s="123"/>
      <c r="L853" s="125"/>
      <c r="N853" s="126"/>
      <c r="P853" s="127"/>
      <c r="Q853" s="128"/>
      <c r="R853" s="74"/>
      <c r="AF853" s="76"/>
    </row>
    <row r="854">
      <c r="D854" s="123"/>
      <c r="L854" s="125"/>
      <c r="N854" s="126"/>
      <c r="P854" s="127"/>
      <c r="Q854" s="128"/>
      <c r="R854" s="74"/>
      <c r="AF854" s="76"/>
    </row>
    <row r="855">
      <c r="D855" s="123"/>
      <c r="L855" s="125"/>
      <c r="N855" s="126"/>
      <c r="P855" s="127"/>
      <c r="Q855" s="128"/>
      <c r="R855" s="74"/>
      <c r="AF855" s="76"/>
    </row>
    <row r="856">
      <c r="D856" s="123"/>
      <c r="L856" s="125"/>
      <c r="N856" s="126"/>
      <c r="P856" s="127"/>
      <c r="Q856" s="128"/>
      <c r="R856" s="74"/>
      <c r="AF856" s="76"/>
    </row>
    <row r="857">
      <c r="D857" s="123"/>
      <c r="L857" s="125"/>
      <c r="N857" s="126"/>
      <c r="P857" s="127"/>
      <c r="Q857" s="128"/>
      <c r="R857" s="74"/>
      <c r="AF857" s="76"/>
    </row>
    <row r="858">
      <c r="D858" s="123"/>
      <c r="L858" s="125"/>
      <c r="N858" s="126"/>
      <c r="P858" s="127"/>
      <c r="Q858" s="128"/>
      <c r="R858" s="74"/>
      <c r="AF858" s="76"/>
    </row>
    <row r="859">
      <c r="D859" s="123"/>
      <c r="L859" s="125"/>
      <c r="N859" s="126"/>
      <c r="P859" s="127"/>
      <c r="Q859" s="128"/>
      <c r="R859" s="74"/>
      <c r="AF859" s="76"/>
    </row>
    <row r="860">
      <c r="D860" s="123"/>
      <c r="L860" s="125"/>
      <c r="N860" s="126"/>
      <c r="P860" s="127"/>
      <c r="Q860" s="128"/>
      <c r="R860" s="74"/>
      <c r="AF860" s="76"/>
    </row>
    <row r="861">
      <c r="D861" s="123"/>
      <c r="L861" s="125"/>
      <c r="N861" s="126"/>
      <c r="P861" s="127"/>
      <c r="Q861" s="128"/>
      <c r="R861" s="74"/>
      <c r="AF861" s="76"/>
    </row>
    <row r="862">
      <c r="D862" s="123"/>
      <c r="L862" s="125"/>
      <c r="N862" s="126"/>
      <c r="P862" s="127"/>
      <c r="Q862" s="128"/>
      <c r="R862" s="74"/>
      <c r="AF862" s="76"/>
    </row>
    <row r="863">
      <c r="D863" s="123"/>
      <c r="L863" s="125"/>
      <c r="N863" s="126"/>
      <c r="P863" s="127"/>
      <c r="Q863" s="128"/>
      <c r="R863" s="74"/>
      <c r="AF863" s="76"/>
    </row>
    <row r="864">
      <c r="D864" s="123"/>
      <c r="L864" s="125"/>
      <c r="N864" s="126"/>
      <c r="P864" s="127"/>
      <c r="Q864" s="128"/>
      <c r="R864" s="74"/>
      <c r="AF864" s="76"/>
    </row>
    <row r="865">
      <c r="D865" s="123"/>
      <c r="L865" s="125"/>
      <c r="N865" s="126"/>
      <c r="P865" s="127"/>
      <c r="Q865" s="128"/>
      <c r="R865" s="74"/>
      <c r="AF865" s="76"/>
    </row>
    <row r="866">
      <c r="D866" s="123"/>
      <c r="L866" s="125"/>
      <c r="N866" s="126"/>
      <c r="P866" s="127"/>
      <c r="Q866" s="128"/>
      <c r="R866" s="74"/>
      <c r="AF866" s="76"/>
    </row>
    <row r="867">
      <c r="D867" s="123"/>
      <c r="L867" s="125"/>
      <c r="N867" s="126"/>
      <c r="P867" s="127"/>
      <c r="Q867" s="128"/>
      <c r="R867" s="74"/>
      <c r="AF867" s="76"/>
    </row>
    <row r="868">
      <c r="D868" s="123"/>
      <c r="L868" s="125"/>
      <c r="N868" s="126"/>
      <c r="P868" s="127"/>
      <c r="Q868" s="128"/>
      <c r="R868" s="74"/>
      <c r="AF868" s="76"/>
    </row>
    <row r="869">
      <c r="D869" s="123"/>
      <c r="L869" s="125"/>
      <c r="N869" s="126"/>
      <c r="P869" s="127"/>
      <c r="Q869" s="128"/>
      <c r="R869" s="74"/>
      <c r="AF869" s="76"/>
    </row>
    <row r="870">
      <c r="D870" s="123"/>
      <c r="L870" s="125"/>
      <c r="N870" s="126"/>
      <c r="P870" s="127"/>
      <c r="Q870" s="128"/>
      <c r="R870" s="74"/>
      <c r="AF870" s="76"/>
    </row>
    <row r="871">
      <c r="D871" s="123"/>
      <c r="L871" s="125"/>
      <c r="N871" s="126"/>
      <c r="P871" s="127"/>
      <c r="Q871" s="128"/>
      <c r="R871" s="74"/>
      <c r="AF871" s="76"/>
    </row>
    <row r="872">
      <c r="D872" s="123"/>
      <c r="L872" s="125"/>
      <c r="N872" s="126"/>
      <c r="P872" s="127"/>
      <c r="Q872" s="128"/>
      <c r="R872" s="74"/>
      <c r="AF872" s="76"/>
    </row>
    <row r="873">
      <c r="D873" s="123"/>
      <c r="L873" s="125"/>
      <c r="N873" s="126"/>
      <c r="P873" s="127"/>
      <c r="Q873" s="128"/>
      <c r="R873" s="74"/>
      <c r="AF873" s="76"/>
    </row>
    <row r="874">
      <c r="D874" s="123"/>
      <c r="L874" s="125"/>
      <c r="N874" s="126"/>
      <c r="P874" s="127"/>
      <c r="Q874" s="128"/>
      <c r="R874" s="74"/>
      <c r="AF874" s="76"/>
    </row>
    <row r="875">
      <c r="D875" s="123"/>
      <c r="L875" s="125"/>
      <c r="N875" s="126"/>
      <c r="P875" s="127"/>
      <c r="Q875" s="128"/>
      <c r="R875" s="74"/>
      <c r="AF875" s="76"/>
    </row>
    <row r="876">
      <c r="D876" s="123"/>
      <c r="L876" s="125"/>
      <c r="N876" s="126"/>
      <c r="P876" s="127"/>
      <c r="Q876" s="128"/>
      <c r="R876" s="74"/>
      <c r="AF876" s="76"/>
    </row>
    <row r="877">
      <c r="D877" s="123"/>
      <c r="L877" s="125"/>
      <c r="N877" s="126"/>
      <c r="P877" s="127"/>
      <c r="Q877" s="128"/>
      <c r="R877" s="74"/>
      <c r="AF877" s="76"/>
    </row>
    <row r="878">
      <c r="D878" s="123"/>
      <c r="L878" s="125"/>
      <c r="N878" s="126"/>
      <c r="P878" s="127"/>
      <c r="Q878" s="128"/>
      <c r="R878" s="74"/>
      <c r="AF878" s="76"/>
    </row>
    <row r="879">
      <c r="D879" s="123"/>
      <c r="L879" s="125"/>
      <c r="N879" s="126"/>
      <c r="P879" s="127"/>
      <c r="Q879" s="128"/>
      <c r="R879" s="74"/>
      <c r="AF879" s="76"/>
    </row>
    <row r="880">
      <c r="D880" s="123"/>
      <c r="L880" s="125"/>
      <c r="N880" s="126"/>
      <c r="P880" s="127"/>
      <c r="Q880" s="128"/>
      <c r="R880" s="74"/>
      <c r="AF880" s="76"/>
    </row>
    <row r="881">
      <c r="D881" s="123"/>
      <c r="L881" s="125"/>
      <c r="N881" s="126"/>
      <c r="P881" s="127"/>
      <c r="Q881" s="128"/>
      <c r="R881" s="74"/>
      <c r="AF881" s="76"/>
    </row>
    <row r="882">
      <c r="D882" s="123"/>
      <c r="L882" s="125"/>
      <c r="N882" s="126"/>
      <c r="P882" s="127"/>
      <c r="Q882" s="128"/>
      <c r="R882" s="74"/>
      <c r="AF882" s="76"/>
    </row>
    <row r="883">
      <c r="D883" s="123"/>
      <c r="L883" s="125"/>
      <c r="N883" s="126"/>
      <c r="P883" s="127"/>
      <c r="Q883" s="128"/>
      <c r="R883" s="74"/>
      <c r="AF883" s="76"/>
    </row>
    <row r="884">
      <c r="D884" s="123"/>
      <c r="L884" s="125"/>
      <c r="N884" s="126"/>
      <c r="P884" s="127"/>
      <c r="Q884" s="128"/>
      <c r="R884" s="74"/>
      <c r="AF884" s="76"/>
    </row>
    <row r="885">
      <c r="D885" s="123"/>
      <c r="L885" s="125"/>
      <c r="N885" s="126"/>
      <c r="P885" s="127"/>
      <c r="Q885" s="128"/>
      <c r="R885" s="74"/>
      <c r="AF885" s="76"/>
    </row>
    <row r="886">
      <c r="D886" s="123"/>
      <c r="L886" s="125"/>
      <c r="N886" s="126"/>
      <c r="P886" s="127"/>
      <c r="Q886" s="128"/>
      <c r="R886" s="74"/>
      <c r="AF886" s="76"/>
    </row>
    <row r="887">
      <c r="D887" s="123"/>
      <c r="L887" s="125"/>
      <c r="N887" s="126"/>
      <c r="P887" s="127"/>
      <c r="Q887" s="128"/>
      <c r="R887" s="74"/>
      <c r="AF887" s="76"/>
    </row>
    <row r="888">
      <c r="D888" s="123"/>
      <c r="L888" s="125"/>
      <c r="N888" s="126"/>
      <c r="P888" s="127"/>
      <c r="Q888" s="128"/>
      <c r="R888" s="74"/>
      <c r="AF888" s="76"/>
    </row>
    <row r="889">
      <c r="D889" s="123"/>
      <c r="L889" s="125"/>
      <c r="N889" s="126"/>
      <c r="P889" s="127"/>
      <c r="Q889" s="128"/>
      <c r="R889" s="74"/>
      <c r="AF889" s="76"/>
    </row>
    <row r="890">
      <c r="D890" s="123"/>
      <c r="L890" s="125"/>
      <c r="N890" s="126"/>
      <c r="P890" s="127"/>
      <c r="Q890" s="128"/>
      <c r="R890" s="74"/>
      <c r="AF890" s="76"/>
    </row>
    <row r="891">
      <c r="D891" s="123"/>
      <c r="L891" s="125"/>
      <c r="N891" s="126"/>
      <c r="P891" s="127"/>
      <c r="Q891" s="128"/>
      <c r="R891" s="74"/>
      <c r="AF891" s="76"/>
    </row>
    <row r="892">
      <c r="D892" s="123"/>
      <c r="L892" s="125"/>
      <c r="N892" s="126"/>
      <c r="P892" s="127"/>
      <c r="Q892" s="128"/>
      <c r="R892" s="74"/>
      <c r="AF892" s="76"/>
    </row>
    <row r="893">
      <c r="D893" s="123"/>
      <c r="L893" s="125"/>
      <c r="N893" s="126"/>
      <c r="P893" s="127"/>
      <c r="Q893" s="128"/>
      <c r="R893" s="74"/>
      <c r="AF893" s="76"/>
    </row>
    <row r="894">
      <c r="D894" s="123"/>
      <c r="L894" s="125"/>
      <c r="N894" s="126"/>
      <c r="P894" s="127"/>
      <c r="Q894" s="128"/>
      <c r="R894" s="74"/>
      <c r="AF894" s="76"/>
    </row>
    <row r="895">
      <c r="D895" s="123"/>
      <c r="L895" s="125"/>
      <c r="N895" s="126"/>
      <c r="P895" s="127"/>
      <c r="Q895" s="128"/>
      <c r="R895" s="74"/>
      <c r="AF895" s="76"/>
    </row>
    <row r="896">
      <c r="D896" s="123"/>
      <c r="L896" s="125"/>
      <c r="N896" s="126"/>
      <c r="P896" s="127"/>
      <c r="Q896" s="128"/>
      <c r="R896" s="74"/>
      <c r="AF896" s="76"/>
    </row>
    <row r="897">
      <c r="D897" s="123"/>
      <c r="L897" s="125"/>
      <c r="N897" s="126"/>
      <c r="P897" s="127"/>
      <c r="Q897" s="128"/>
      <c r="R897" s="74"/>
      <c r="AF897" s="76"/>
    </row>
    <row r="898">
      <c r="D898" s="123"/>
      <c r="L898" s="125"/>
      <c r="N898" s="126"/>
      <c r="P898" s="127"/>
      <c r="Q898" s="128"/>
      <c r="R898" s="74"/>
      <c r="AF898" s="76"/>
    </row>
    <row r="899">
      <c r="D899" s="123"/>
      <c r="L899" s="125"/>
      <c r="N899" s="126"/>
      <c r="P899" s="127"/>
      <c r="Q899" s="128"/>
      <c r="R899" s="74"/>
      <c r="AF899" s="76"/>
    </row>
    <row r="900">
      <c r="D900" s="123"/>
      <c r="L900" s="125"/>
      <c r="N900" s="126"/>
      <c r="P900" s="127"/>
      <c r="Q900" s="128"/>
      <c r="R900" s="74"/>
      <c r="AF900" s="76"/>
    </row>
    <row r="901">
      <c r="D901" s="123"/>
      <c r="L901" s="125"/>
      <c r="N901" s="126"/>
      <c r="P901" s="127"/>
      <c r="Q901" s="128"/>
      <c r="R901" s="74"/>
      <c r="AF901" s="76"/>
    </row>
    <row r="902">
      <c r="D902" s="123"/>
      <c r="L902" s="125"/>
      <c r="N902" s="126"/>
      <c r="P902" s="127"/>
      <c r="Q902" s="128"/>
      <c r="R902" s="74"/>
      <c r="AF902" s="76"/>
    </row>
    <row r="903">
      <c r="D903" s="123"/>
      <c r="L903" s="125"/>
      <c r="N903" s="126"/>
      <c r="P903" s="127"/>
      <c r="Q903" s="128"/>
      <c r="R903" s="74"/>
      <c r="AF903" s="76"/>
    </row>
    <row r="904">
      <c r="D904" s="123"/>
      <c r="L904" s="125"/>
      <c r="N904" s="126"/>
      <c r="P904" s="127"/>
      <c r="Q904" s="128"/>
      <c r="R904" s="74"/>
      <c r="AF904" s="76"/>
    </row>
    <row r="905">
      <c r="D905" s="123"/>
      <c r="L905" s="125"/>
      <c r="N905" s="126"/>
      <c r="P905" s="127"/>
      <c r="Q905" s="128"/>
      <c r="R905" s="74"/>
      <c r="AF905" s="76"/>
    </row>
    <row r="906">
      <c r="D906" s="123"/>
      <c r="L906" s="125"/>
      <c r="N906" s="126"/>
      <c r="P906" s="127"/>
      <c r="Q906" s="128"/>
      <c r="R906" s="74"/>
      <c r="AF906" s="76"/>
    </row>
    <row r="907">
      <c r="D907" s="123"/>
      <c r="L907" s="125"/>
      <c r="N907" s="126"/>
      <c r="P907" s="127"/>
      <c r="Q907" s="128"/>
      <c r="R907" s="74"/>
      <c r="AF907" s="76"/>
    </row>
    <row r="908">
      <c r="D908" s="123"/>
      <c r="L908" s="125"/>
      <c r="N908" s="126"/>
      <c r="P908" s="127"/>
      <c r="Q908" s="128"/>
      <c r="R908" s="74"/>
      <c r="AF908" s="76"/>
    </row>
    <row r="909">
      <c r="D909" s="123"/>
      <c r="L909" s="125"/>
      <c r="N909" s="126"/>
      <c r="P909" s="127"/>
      <c r="Q909" s="128"/>
      <c r="R909" s="74"/>
      <c r="AF909" s="76"/>
    </row>
    <row r="910">
      <c r="D910" s="123"/>
      <c r="L910" s="125"/>
      <c r="N910" s="126"/>
      <c r="P910" s="127"/>
      <c r="Q910" s="128"/>
      <c r="R910" s="74"/>
      <c r="AF910" s="76"/>
    </row>
    <row r="911">
      <c r="D911" s="123"/>
      <c r="L911" s="125"/>
      <c r="N911" s="126"/>
      <c r="P911" s="127"/>
      <c r="Q911" s="128"/>
      <c r="R911" s="74"/>
      <c r="AF911" s="76"/>
    </row>
    <row r="912">
      <c r="D912" s="123"/>
      <c r="L912" s="125"/>
      <c r="N912" s="126"/>
      <c r="P912" s="127"/>
      <c r="Q912" s="128"/>
      <c r="R912" s="74"/>
      <c r="AF912" s="76"/>
    </row>
    <row r="913">
      <c r="D913" s="123"/>
      <c r="L913" s="125"/>
      <c r="N913" s="126"/>
      <c r="P913" s="127"/>
      <c r="Q913" s="128"/>
      <c r="R913" s="74"/>
      <c r="AF913" s="76"/>
    </row>
    <row r="914">
      <c r="D914" s="123"/>
      <c r="L914" s="125"/>
      <c r="N914" s="126"/>
      <c r="P914" s="127"/>
      <c r="Q914" s="128"/>
      <c r="R914" s="74"/>
      <c r="AF914" s="76"/>
    </row>
    <row r="915">
      <c r="D915" s="123"/>
      <c r="L915" s="125"/>
      <c r="N915" s="126"/>
      <c r="P915" s="127"/>
      <c r="Q915" s="128"/>
      <c r="R915" s="74"/>
      <c r="AF915" s="76"/>
    </row>
    <row r="916">
      <c r="D916" s="123"/>
      <c r="L916" s="125"/>
      <c r="N916" s="126"/>
      <c r="P916" s="127"/>
      <c r="Q916" s="128"/>
      <c r="R916" s="74"/>
      <c r="AF916" s="76"/>
    </row>
    <row r="917">
      <c r="D917" s="123"/>
      <c r="L917" s="125"/>
      <c r="N917" s="126"/>
      <c r="P917" s="127"/>
      <c r="Q917" s="128"/>
      <c r="R917" s="74"/>
      <c r="AF917" s="76"/>
    </row>
    <row r="918">
      <c r="D918" s="123"/>
      <c r="L918" s="125"/>
      <c r="N918" s="126"/>
      <c r="P918" s="127"/>
      <c r="Q918" s="128"/>
      <c r="R918" s="74"/>
      <c r="AF918" s="76"/>
    </row>
    <row r="919">
      <c r="D919" s="123"/>
      <c r="L919" s="125"/>
      <c r="N919" s="126"/>
      <c r="P919" s="127"/>
      <c r="Q919" s="128"/>
      <c r="R919" s="74"/>
      <c r="AF919" s="76"/>
    </row>
    <row r="920">
      <c r="D920" s="123"/>
      <c r="L920" s="125"/>
      <c r="N920" s="126"/>
      <c r="P920" s="127"/>
      <c r="Q920" s="128"/>
      <c r="R920" s="74"/>
      <c r="AF920" s="76"/>
    </row>
    <row r="921">
      <c r="D921" s="123"/>
      <c r="L921" s="125"/>
      <c r="N921" s="126"/>
      <c r="P921" s="127"/>
      <c r="Q921" s="128"/>
      <c r="R921" s="74"/>
      <c r="AF921" s="76"/>
    </row>
    <row r="922">
      <c r="D922" s="123"/>
      <c r="L922" s="125"/>
      <c r="N922" s="126"/>
      <c r="P922" s="127"/>
      <c r="Q922" s="128"/>
      <c r="R922" s="74"/>
      <c r="AF922" s="76"/>
    </row>
    <row r="923">
      <c r="D923" s="123"/>
      <c r="L923" s="125"/>
      <c r="N923" s="126"/>
      <c r="P923" s="127"/>
      <c r="Q923" s="128"/>
      <c r="R923" s="74"/>
      <c r="AF923" s="76"/>
    </row>
    <row r="924">
      <c r="D924" s="123"/>
      <c r="L924" s="125"/>
      <c r="N924" s="126"/>
      <c r="P924" s="127"/>
      <c r="Q924" s="128"/>
      <c r="R924" s="74"/>
      <c r="AF924" s="76"/>
    </row>
    <row r="925">
      <c r="D925" s="123"/>
      <c r="L925" s="125"/>
      <c r="N925" s="126"/>
      <c r="P925" s="127"/>
      <c r="Q925" s="128"/>
      <c r="R925" s="74"/>
      <c r="AF925" s="76"/>
    </row>
    <row r="926">
      <c r="D926" s="123"/>
      <c r="L926" s="125"/>
      <c r="N926" s="126"/>
      <c r="P926" s="127"/>
      <c r="Q926" s="128"/>
      <c r="R926" s="74"/>
      <c r="AF926" s="76"/>
    </row>
    <row r="927">
      <c r="D927" s="123"/>
      <c r="L927" s="125"/>
      <c r="N927" s="126"/>
      <c r="P927" s="127"/>
      <c r="Q927" s="128"/>
      <c r="R927" s="74"/>
      <c r="AF927" s="76"/>
    </row>
    <row r="928">
      <c r="D928" s="123"/>
      <c r="L928" s="125"/>
      <c r="N928" s="126"/>
      <c r="P928" s="127"/>
      <c r="Q928" s="128"/>
      <c r="R928" s="74"/>
      <c r="AF928" s="76"/>
    </row>
    <row r="929">
      <c r="D929" s="123"/>
      <c r="L929" s="125"/>
      <c r="N929" s="126"/>
      <c r="P929" s="127"/>
      <c r="Q929" s="128"/>
      <c r="R929" s="74"/>
      <c r="AF929" s="76"/>
    </row>
    <row r="930">
      <c r="D930" s="123"/>
      <c r="L930" s="125"/>
      <c r="N930" s="126"/>
      <c r="P930" s="127"/>
      <c r="Q930" s="128"/>
      <c r="R930" s="74"/>
      <c r="AF930" s="76"/>
    </row>
    <row r="931">
      <c r="D931" s="123"/>
      <c r="L931" s="125"/>
      <c r="N931" s="126"/>
      <c r="P931" s="127"/>
      <c r="Q931" s="128"/>
      <c r="R931" s="74"/>
      <c r="AF931" s="76"/>
    </row>
    <row r="932">
      <c r="D932" s="123"/>
      <c r="L932" s="125"/>
      <c r="N932" s="126"/>
      <c r="P932" s="127"/>
      <c r="Q932" s="128"/>
      <c r="R932" s="74"/>
      <c r="AF932" s="76"/>
    </row>
    <row r="933">
      <c r="D933" s="123"/>
      <c r="L933" s="125"/>
      <c r="N933" s="126"/>
      <c r="P933" s="127"/>
      <c r="Q933" s="128"/>
      <c r="R933" s="74"/>
      <c r="AF933" s="76"/>
    </row>
    <row r="934">
      <c r="D934" s="123"/>
      <c r="L934" s="125"/>
      <c r="N934" s="126"/>
      <c r="P934" s="127"/>
      <c r="Q934" s="128"/>
      <c r="R934" s="74"/>
      <c r="AF934" s="76"/>
    </row>
    <row r="935">
      <c r="D935" s="123"/>
      <c r="L935" s="125"/>
      <c r="N935" s="126"/>
      <c r="P935" s="127"/>
      <c r="Q935" s="128"/>
      <c r="R935" s="74"/>
      <c r="AF935" s="76"/>
    </row>
    <row r="936">
      <c r="D936" s="123"/>
      <c r="L936" s="125"/>
      <c r="N936" s="126"/>
      <c r="P936" s="127"/>
      <c r="Q936" s="128"/>
      <c r="R936" s="74"/>
      <c r="AF936" s="76"/>
    </row>
    <row r="937">
      <c r="D937" s="123"/>
      <c r="L937" s="125"/>
      <c r="N937" s="126"/>
      <c r="P937" s="127"/>
      <c r="Q937" s="128"/>
      <c r="R937" s="74"/>
      <c r="AF937" s="76"/>
    </row>
    <row r="938">
      <c r="D938" s="123"/>
      <c r="L938" s="125"/>
      <c r="N938" s="126"/>
      <c r="P938" s="127"/>
      <c r="Q938" s="128"/>
      <c r="R938" s="74"/>
      <c r="AF938" s="76"/>
    </row>
    <row r="939">
      <c r="D939" s="123"/>
      <c r="L939" s="125"/>
      <c r="N939" s="126"/>
      <c r="P939" s="127"/>
      <c r="Q939" s="128"/>
      <c r="R939" s="74"/>
      <c r="AF939" s="76"/>
    </row>
    <row r="940">
      <c r="D940" s="123"/>
      <c r="L940" s="125"/>
      <c r="N940" s="126"/>
      <c r="P940" s="127"/>
      <c r="Q940" s="128"/>
      <c r="R940" s="74"/>
      <c r="AF940" s="76"/>
    </row>
    <row r="941">
      <c r="D941" s="123"/>
      <c r="L941" s="125"/>
      <c r="N941" s="126"/>
      <c r="P941" s="127"/>
      <c r="Q941" s="128"/>
      <c r="R941" s="74"/>
      <c r="AF941" s="76"/>
    </row>
    <row r="942">
      <c r="D942" s="123"/>
      <c r="L942" s="125"/>
      <c r="N942" s="126"/>
      <c r="P942" s="127"/>
      <c r="Q942" s="128"/>
      <c r="R942" s="74"/>
      <c r="AF942" s="76"/>
    </row>
    <row r="943">
      <c r="D943" s="123"/>
      <c r="L943" s="125"/>
      <c r="N943" s="126"/>
      <c r="P943" s="127"/>
      <c r="Q943" s="128"/>
      <c r="R943" s="74"/>
      <c r="AF943" s="76"/>
    </row>
    <row r="944">
      <c r="D944" s="123"/>
      <c r="L944" s="125"/>
      <c r="N944" s="126"/>
      <c r="P944" s="127"/>
      <c r="Q944" s="128"/>
      <c r="R944" s="74"/>
      <c r="AF944" s="76"/>
    </row>
    <row r="945">
      <c r="D945" s="123"/>
      <c r="L945" s="125"/>
      <c r="N945" s="126"/>
      <c r="P945" s="127"/>
      <c r="Q945" s="128"/>
      <c r="R945" s="74"/>
      <c r="AF945" s="76"/>
    </row>
    <row r="946">
      <c r="D946" s="123"/>
      <c r="L946" s="125"/>
      <c r="N946" s="126"/>
      <c r="P946" s="127"/>
      <c r="Q946" s="128"/>
      <c r="R946" s="74"/>
      <c r="AF946" s="76"/>
    </row>
    <row r="947">
      <c r="D947" s="123"/>
      <c r="L947" s="125"/>
      <c r="N947" s="126"/>
      <c r="P947" s="127"/>
      <c r="Q947" s="128"/>
      <c r="R947" s="74"/>
      <c r="AF947" s="76"/>
    </row>
    <row r="948">
      <c r="D948" s="123"/>
      <c r="L948" s="125"/>
      <c r="N948" s="126"/>
      <c r="P948" s="127"/>
      <c r="Q948" s="128"/>
      <c r="R948" s="74"/>
      <c r="AF948" s="76"/>
    </row>
    <row r="949">
      <c r="D949" s="123"/>
      <c r="L949" s="125"/>
      <c r="N949" s="126"/>
      <c r="P949" s="127"/>
      <c r="Q949" s="128"/>
      <c r="R949" s="74"/>
      <c r="AF949" s="76"/>
    </row>
    <row r="950">
      <c r="D950" s="123"/>
      <c r="L950" s="125"/>
      <c r="N950" s="126"/>
      <c r="P950" s="127"/>
      <c r="Q950" s="128"/>
      <c r="R950" s="74"/>
      <c r="AF950" s="76"/>
    </row>
    <row r="951">
      <c r="D951" s="123"/>
      <c r="L951" s="125"/>
      <c r="N951" s="126"/>
      <c r="P951" s="127"/>
      <c r="Q951" s="128"/>
      <c r="R951" s="74"/>
      <c r="AF951" s="76"/>
    </row>
    <row r="952">
      <c r="D952" s="123"/>
      <c r="L952" s="125"/>
      <c r="N952" s="126"/>
      <c r="P952" s="127"/>
      <c r="Q952" s="128"/>
      <c r="R952" s="74"/>
      <c r="AF952" s="76"/>
    </row>
    <row r="953">
      <c r="D953" s="123"/>
      <c r="L953" s="125"/>
      <c r="N953" s="126"/>
      <c r="P953" s="127"/>
      <c r="Q953" s="128"/>
      <c r="R953" s="74"/>
      <c r="AF953" s="76"/>
    </row>
    <row r="954">
      <c r="D954" s="123"/>
      <c r="L954" s="125"/>
      <c r="N954" s="126"/>
      <c r="P954" s="127"/>
      <c r="Q954" s="128"/>
      <c r="R954" s="74"/>
      <c r="AF954" s="76"/>
    </row>
    <row r="955">
      <c r="D955" s="123"/>
      <c r="L955" s="125"/>
      <c r="N955" s="126"/>
      <c r="P955" s="127"/>
      <c r="Q955" s="128"/>
      <c r="R955" s="74"/>
      <c r="AF955" s="76"/>
    </row>
    <row r="956">
      <c r="D956" s="123"/>
      <c r="L956" s="125"/>
      <c r="N956" s="126"/>
      <c r="P956" s="127"/>
      <c r="Q956" s="128"/>
      <c r="R956" s="74"/>
      <c r="AF956" s="76"/>
    </row>
    <row r="957">
      <c r="D957" s="123"/>
      <c r="L957" s="125"/>
      <c r="N957" s="126"/>
      <c r="P957" s="127"/>
      <c r="Q957" s="128"/>
      <c r="R957" s="74"/>
      <c r="AF957" s="76"/>
    </row>
    <row r="958">
      <c r="D958" s="123"/>
      <c r="L958" s="125"/>
      <c r="N958" s="126"/>
      <c r="P958" s="127"/>
      <c r="Q958" s="128"/>
      <c r="R958" s="74"/>
      <c r="AF958" s="76"/>
    </row>
    <row r="959">
      <c r="D959" s="123"/>
      <c r="L959" s="125"/>
      <c r="N959" s="126"/>
      <c r="P959" s="127"/>
      <c r="Q959" s="128"/>
      <c r="R959" s="74"/>
      <c r="AF959" s="76"/>
    </row>
    <row r="960">
      <c r="D960" s="123"/>
      <c r="L960" s="125"/>
      <c r="N960" s="126"/>
      <c r="P960" s="127"/>
      <c r="Q960" s="128"/>
      <c r="R960" s="74"/>
      <c r="AF960" s="76"/>
    </row>
    <row r="961">
      <c r="D961" s="123"/>
      <c r="L961" s="125"/>
      <c r="N961" s="126"/>
      <c r="P961" s="127"/>
      <c r="Q961" s="128"/>
      <c r="R961" s="74"/>
      <c r="AF961" s="76"/>
    </row>
    <row r="962">
      <c r="D962" s="123"/>
      <c r="L962" s="125"/>
      <c r="N962" s="126"/>
      <c r="P962" s="127"/>
      <c r="Q962" s="128"/>
      <c r="R962" s="74"/>
      <c r="AF962" s="76"/>
    </row>
    <row r="963">
      <c r="D963" s="123"/>
      <c r="L963" s="125"/>
      <c r="N963" s="126"/>
      <c r="P963" s="127"/>
      <c r="Q963" s="128"/>
      <c r="R963" s="74"/>
      <c r="AF963" s="76"/>
    </row>
    <row r="964">
      <c r="D964" s="123"/>
      <c r="L964" s="125"/>
      <c r="N964" s="126"/>
      <c r="P964" s="127"/>
      <c r="Q964" s="128"/>
      <c r="R964" s="74"/>
      <c r="AF964" s="76"/>
    </row>
    <row r="965">
      <c r="D965" s="123"/>
      <c r="L965" s="125"/>
      <c r="N965" s="126"/>
      <c r="P965" s="127"/>
      <c r="Q965" s="128"/>
      <c r="R965" s="74"/>
      <c r="AF965" s="76"/>
    </row>
    <row r="966">
      <c r="D966" s="123"/>
      <c r="L966" s="125"/>
      <c r="N966" s="126"/>
      <c r="P966" s="127"/>
      <c r="Q966" s="128"/>
      <c r="R966" s="74"/>
      <c r="AF966" s="76"/>
    </row>
    <row r="967">
      <c r="D967" s="123"/>
      <c r="L967" s="125"/>
      <c r="N967" s="126"/>
      <c r="P967" s="127"/>
      <c r="Q967" s="128"/>
      <c r="R967" s="74"/>
      <c r="AF967" s="76"/>
    </row>
    <row r="968">
      <c r="D968" s="123"/>
      <c r="L968" s="125"/>
      <c r="N968" s="126"/>
      <c r="P968" s="127"/>
      <c r="Q968" s="128"/>
      <c r="R968" s="74"/>
      <c r="AF968" s="76"/>
    </row>
    <row r="969">
      <c r="D969" s="123"/>
      <c r="L969" s="125"/>
      <c r="N969" s="126"/>
      <c r="P969" s="127"/>
      <c r="Q969" s="128"/>
      <c r="R969" s="74"/>
      <c r="AF969" s="76"/>
    </row>
    <row r="970">
      <c r="D970" s="123"/>
      <c r="L970" s="125"/>
      <c r="N970" s="126"/>
      <c r="P970" s="127"/>
      <c r="Q970" s="128"/>
      <c r="R970" s="74"/>
      <c r="AF970" s="76"/>
    </row>
    <row r="971">
      <c r="D971" s="123"/>
      <c r="L971" s="125"/>
      <c r="N971" s="126"/>
      <c r="P971" s="127"/>
      <c r="Q971" s="128"/>
      <c r="R971" s="74"/>
      <c r="AF971" s="76"/>
    </row>
    <row r="972">
      <c r="D972" s="123"/>
      <c r="L972" s="125"/>
      <c r="N972" s="126"/>
      <c r="P972" s="127"/>
      <c r="Q972" s="128"/>
      <c r="R972" s="74"/>
      <c r="AF972" s="76"/>
    </row>
    <row r="973">
      <c r="D973" s="123"/>
      <c r="L973" s="125"/>
      <c r="N973" s="126"/>
      <c r="P973" s="127"/>
      <c r="Q973" s="128"/>
      <c r="R973" s="74"/>
      <c r="AF973" s="76"/>
    </row>
    <row r="974">
      <c r="D974" s="123"/>
      <c r="L974" s="125"/>
      <c r="N974" s="126"/>
      <c r="P974" s="127"/>
      <c r="Q974" s="128"/>
      <c r="R974" s="74"/>
      <c r="AF974" s="76"/>
    </row>
    <row r="975">
      <c r="D975" s="123"/>
      <c r="L975" s="125"/>
      <c r="N975" s="126"/>
      <c r="P975" s="127"/>
      <c r="Q975" s="128"/>
      <c r="R975" s="74"/>
      <c r="AF975" s="76"/>
    </row>
    <row r="976">
      <c r="D976" s="123"/>
      <c r="L976" s="125"/>
      <c r="N976" s="126"/>
      <c r="P976" s="127"/>
      <c r="Q976" s="128"/>
      <c r="R976" s="74"/>
      <c r="AF976" s="76"/>
    </row>
    <row r="977">
      <c r="D977" s="123"/>
      <c r="L977" s="125"/>
      <c r="N977" s="126"/>
      <c r="P977" s="127"/>
      <c r="Q977" s="128"/>
      <c r="R977" s="74"/>
      <c r="AF977" s="76"/>
    </row>
    <row r="978">
      <c r="D978" s="123"/>
      <c r="L978" s="125"/>
      <c r="N978" s="126"/>
      <c r="P978" s="127"/>
      <c r="Q978" s="128"/>
      <c r="R978" s="74"/>
      <c r="AF978" s="76"/>
    </row>
    <row r="979">
      <c r="D979" s="123"/>
      <c r="L979" s="125"/>
      <c r="N979" s="126"/>
      <c r="P979" s="127"/>
      <c r="Q979" s="128"/>
      <c r="R979" s="74"/>
      <c r="AF979" s="76"/>
    </row>
    <row r="980">
      <c r="D980" s="123"/>
      <c r="L980" s="125"/>
      <c r="N980" s="126"/>
      <c r="P980" s="127"/>
      <c r="Q980" s="128"/>
      <c r="R980" s="74"/>
      <c r="AF980" s="76"/>
    </row>
    <row r="981">
      <c r="D981" s="123"/>
      <c r="L981" s="125"/>
      <c r="N981" s="126"/>
      <c r="P981" s="127"/>
      <c r="Q981" s="128"/>
      <c r="R981" s="74"/>
      <c r="AF981" s="76"/>
    </row>
    <row r="982">
      <c r="D982" s="123"/>
      <c r="L982" s="125"/>
      <c r="N982" s="126"/>
      <c r="P982" s="127"/>
      <c r="Q982" s="128"/>
      <c r="R982" s="74"/>
      <c r="AF982" s="76"/>
    </row>
    <row r="983">
      <c r="D983" s="123"/>
      <c r="L983" s="125"/>
      <c r="N983" s="126"/>
      <c r="P983" s="127"/>
      <c r="Q983" s="128"/>
      <c r="R983" s="74"/>
      <c r="AF983" s="76"/>
    </row>
    <row r="984">
      <c r="D984" s="123"/>
      <c r="L984" s="125"/>
      <c r="N984" s="126"/>
      <c r="P984" s="127"/>
      <c r="Q984" s="128"/>
      <c r="R984" s="74"/>
      <c r="AF984" s="76"/>
    </row>
    <row r="985">
      <c r="D985" s="123"/>
      <c r="L985" s="125"/>
      <c r="N985" s="126"/>
      <c r="P985" s="127"/>
      <c r="Q985" s="128"/>
      <c r="R985" s="74"/>
      <c r="AF985" s="76"/>
    </row>
    <row r="986">
      <c r="D986" s="123"/>
      <c r="L986" s="125"/>
      <c r="N986" s="126"/>
      <c r="P986" s="127"/>
      <c r="Q986" s="128"/>
      <c r="R986" s="74"/>
      <c r="AF986" s="76"/>
    </row>
    <row r="987">
      <c r="D987" s="123"/>
      <c r="L987" s="125"/>
      <c r="N987" s="126"/>
      <c r="P987" s="127"/>
      <c r="Q987" s="128"/>
      <c r="R987" s="74"/>
      <c r="AF987" s="76"/>
    </row>
    <row r="988">
      <c r="D988" s="123"/>
      <c r="L988" s="125"/>
      <c r="N988" s="126"/>
      <c r="P988" s="127"/>
      <c r="Q988" s="128"/>
      <c r="R988" s="74"/>
      <c r="AF988" s="76"/>
    </row>
    <row r="989">
      <c r="D989" s="123"/>
      <c r="L989" s="125"/>
      <c r="N989" s="126"/>
      <c r="P989" s="127"/>
      <c r="Q989" s="128"/>
      <c r="R989" s="74"/>
      <c r="AF989" s="76"/>
    </row>
    <row r="990">
      <c r="D990" s="123"/>
      <c r="L990" s="125"/>
      <c r="N990" s="126"/>
      <c r="P990" s="127"/>
      <c r="Q990" s="128"/>
      <c r="R990" s="74"/>
      <c r="AF990" s="76"/>
    </row>
    <row r="991">
      <c r="D991" s="123"/>
      <c r="L991" s="125"/>
      <c r="N991" s="126"/>
      <c r="P991" s="127"/>
      <c r="Q991" s="128"/>
      <c r="R991" s="74"/>
      <c r="AF991" s="76"/>
    </row>
    <row r="992">
      <c r="D992" s="123"/>
      <c r="L992" s="125"/>
      <c r="N992" s="126"/>
      <c r="P992" s="127"/>
      <c r="Q992" s="128"/>
      <c r="R992" s="74"/>
      <c r="AF992" s="76"/>
    </row>
    <row r="993">
      <c r="D993" s="123"/>
      <c r="L993" s="125"/>
      <c r="N993" s="126"/>
      <c r="P993" s="127"/>
      <c r="Q993" s="128"/>
      <c r="R993" s="74"/>
      <c r="AF993" s="76"/>
    </row>
    <row r="994">
      <c r="D994" s="123"/>
      <c r="L994" s="125"/>
      <c r="N994" s="126"/>
      <c r="P994" s="127"/>
      <c r="Q994" s="128"/>
      <c r="R994" s="74"/>
      <c r="AF994" s="76"/>
    </row>
    <row r="995">
      <c r="D995" s="123"/>
      <c r="L995" s="125"/>
      <c r="N995" s="126"/>
      <c r="P995" s="127"/>
      <c r="Q995" s="128"/>
      <c r="R995" s="74"/>
      <c r="AF995" s="76"/>
    </row>
    <row r="996">
      <c r="D996" s="123"/>
      <c r="L996" s="125"/>
      <c r="N996" s="126"/>
      <c r="P996" s="127"/>
      <c r="Q996" s="128"/>
      <c r="R996" s="74"/>
      <c r="AF996" s="76"/>
    </row>
    <row r="997">
      <c r="D997" s="123"/>
      <c r="L997" s="125"/>
      <c r="N997" s="126"/>
      <c r="P997" s="127"/>
      <c r="Q997" s="128"/>
      <c r="R997" s="74"/>
      <c r="AF997" s="76"/>
    </row>
    <row r="998">
      <c r="D998" s="123"/>
      <c r="L998" s="125"/>
      <c r="N998" s="126"/>
      <c r="P998" s="127"/>
      <c r="Q998" s="128"/>
      <c r="R998" s="74"/>
      <c r="AF998" s="76"/>
    </row>
    <row r="999">
      <c r="D999" s="123"/>
      <c r="L999" s="125"/>
      <c r="N999" s="126"/>
      <c r="P999" s="127"/>
      <c r="Q999" s="128"/>
      <c r="R999" s="74"/>
      <c r="AF999" s="76"/>
    </row>
    <row r="1000">
      <c r="D1000" s="123"/>
      <c r="L1000" s="125"/>
      <c r="N1000" s="126"/>
      <c r="P1000" s="127"/>
      <c r="Q1000" s="128"/>
      <c r="R1000" s="74"/>
      <c r="AF1000" s="76"/>
    </row>
    <row r="1001">
      <c r="D1001" s="123"/>
      <c r="L1001" s="125"/>
      <c r="N1001" s="126"/>
      <c r="P1001" s="127"/>
      <c r="Q1001" s="128"/>
      <c r="R1001" s="74"/>
      <c r="AF1001" s="76"/>
    </row>
    <row r="1002">
      <c r="D1002" s="123"/>
      <c r="L1002" s="125"/>
      <c r="N1002" s="126"/>
      <c r="P1002" s="127"/>
      <c r="Q1002" s="128"/>
      <c r="R1002" s="74"/>
      <c r="AF1002" s="76"/>
    </row>
    <row r="1003">
      <c r="D1003" s="123"/>
      <c r="L1003" s="125"/>
      <c r="N1003" s="126"/>
      <c r="P1003" s="127"/>
      <c r="Q1003" s="128"/>
      <c r="R1003" s="74"/>
      <c r="AF1003" s="76"/>
    </row>
    <row r="1004">
      <c r="D1004" s="123"/>
      <c r="L1004" s="125"/>
      <c r="N1004" s="126"/>
      <c r="P1004" s="127"/>
      <c r="Q1004" s="128"/>
      <c r="R1004" s="74"/>
      <c r="AF1004" s="76"/>
    </row>
    <row r="1005">
      <c r="D1005" s="123"/>
      <c r="L1005" s="125"/>
      <c r="N1005" s="126"/>
      <c r="P1005" s="127"/>
      <c r="Q1005" s="128"/>
      <c r="R1005" s="74"/>
      <c r="AF1005" s="76"/>
    </row>
    <row r="1006">
      <c r="D1006" s="123"/>
      <c r="L1006" s="125"/>
      <c r="N1006" s="126"/>
      <c r="P1006" s="127"/>
      <c r="Q1006" s="128"/>
      <c r="R1006" s="74"/>
      <c r="AF1006" s="76"/>
    </row>
    <row r="1007">
      <c r="D1007" s="123"/>
      <c r="L1007" s="125"/>
      <c r="N1007" s="126"/>
      <c r="P1007" s="127"/>
      <c r="Q1007" s="128"/>
      <c r="R1007" s="74"/>
      <c r="AF1007" s="76"/>
    </row>
    <row r="1008">
      <c r="D1008" s="123"/>
      <c r="L1008" s="125"/>
      <c r="N1008" s="126"/>
      <c r="P1008" s="127"/>
      <c r="Q1008" s="128"/>
      <c r="R1008" s="74"/>
      <c r="AF1008" s="76"/>
    </row>
    <row r="1009">
      <c r="D1009" s="123"/>
      <c r="L1009" s="125"/>
      <c r="N1009" s="126"/>
      <c r="P1009" s="127"/>
      <c r="Q1009" s="128"/>
      <c r="R1009" s="74"/>
      <c r="AF1009" s="76"/>
    </row>
    <row r="1010">
      <c r="D1010" s="123"/>
      <c r="L1010" s="125"/>
      <c r="N1010" s="126"/>
      <c r="P1010" s="127"/>
      <c r="Q1010" s="128"/>
      <c r="R1010" s="74"/>
      <c r="AF1010" s="76"/>
    </row>
    <row r="1011">
      <c r="D1011" s="123"/>
      <c r="L1011" s="125"/>
      <c r="N1011" s="126"/>
      <c r="P1011" s="127"/>
      <c r="Q1011" s="128"/>
      <c r="R1011" s="74"/>
      <c r="AF1011" s="76"/>
    </row>
    <row r="1012">
      <c r="D1012" s="123"/>
      <c r="L1012" s="125"/>
      <c r="N1012" s="126"/>
      <c r="P1012" s="127"/>
      <c r="Q1012" s="128"/>
      <c r="R1012" s="74"/>
      <c r="AF1012" s="76"/>
    </row>
    <row r="1013">
      <c r="D1013" s="123"/>
      <c r="L1013" s="125"/>
      <c r="N1013" s="126"/>
      <c r="P1013" s="127"/>
      <c r="Q1013" s="128"/>
      <c r="R1013" s="74"/>
      <c r="AF1013" s="76"/>
    </row>
    <row r="1014">
      <c r="D1014" s="123"/>
      <c r="L1014" s="125"/>
      <c r="N1014" s="126"/>
      <c r="P1014" s="127"/>
      <c r="Q1014" s="128"/>
      <c r="R1014" s="74"/>
      <c r="AF1014" s="76"/>
    </row>
    <row r="1015">
      <c r="D1015" s="123"/>
      <c r="L1015" s="125"/>
      <c r="N1015" s="126"/>
      <c r="P1015" s="127"/>
      <c r="Q1015" s="128"/>
      <c r="R1015" s="74"/>
      <c r="AF1015" s="76"/>
    </row>
    <row r="1016">
      <c r="D1016" s="123"/>
      <c r="L1016" s="125"/>
      <c r="N1016" s="126"/>
      <c r="P1016" s="127"/>
      <c r="Q1016" s="128"/>
      <c r="R1016" s="74"/>
      <c r="AF1016" s="76"/>
    </row>
    <row r="1017">
      <c r="D1017" s="123"/>
      <c r="L1017" s="125"/>
      <c r="N1017" s="126"/>
      <c r="P1017" s="127"/>
      <c r="Q1017" s="128"/>
      <c r="R1017" s="74"/>
      <c r="AF1017" s="76"/>
    </row>
    <row r="1018">
      <c r="D1018" s="123"/>
      <c r="L1018" s="125"/>
      <c r="N1018" s="126"/>
      <c r="P1018" s="127"/>
      <c r="Q1018" s="128"/>
      <c r="R1018" s="74"/>
      <c r="AF1018" s="76"/>
    </row>
    <row r="1019">
      <c r="D1019" s="123"/>
      <c r="L1019" s="125"/>
      <c r="N1019" s="126"/>
      <c r="P1019" s="127"/>
      <c r="Q1019" s="128"/>
      <c r="R1019" s="74"/>
      <c r="AF1019" s="76"/>
    </row>
    <row r="1020">
      <c r="D1020" s="123"/>
      <c r="L1020" s="125"/>
      <c r="N1020" s="126"/>
      <c r="P1020" s="127"/>
      <c r="Q1020" s="128"/>
      <c r="R1020" s="74"/>
      <c r="AF1020" s="76"/>
    </row>
    <row r="1021">
      <c r="D1021" s="123"/>
      <c r="L1021" s="125"/>
      <c r="N1021" s="126"/>
      <c r="P1021" s="127"/>
      <c r="Q1021" s="128"/>
      <c r="R1021" s="74"/>
      <c r="AF1021" s="76"/>
    </row>
    <row r="1022">
      <c r="D1022" s="123"/>
      <c r="L1022" s="125"/>
      <c r="N1022" s="126"/>
      <c r="P1022" s="127"/>
      <c r="Q1022" s="128"/>
      <c r="R1022" s="74"/>
      <c r="AF1022" s="76"/>
    </row>
    <row r="1023">
      <c r="D1023" s="123"/>
      <c r="L1023" s="125"/>
      <c r="N1023" s="126"/>
      <c r="P1023" s="127"/>
      <c r="Q1023" s="128"/>
      <c r="R1023" s="74"/>
      <c r="AF1023" s="76"/>
    </row>
    <row r="1024">
      <c r="D1024" s="123"/>
      <c r="L1024" s="125"/>
      <c r="N1024" s="126"/>
      <c r="P1024" s="127"/>
      <c r="Q1024" s="128"/>
      <c r="R1024" s="74"/>
      <c r="AF1024" s="76"/>
    </row>
    <row r="1025">
      <c r="D1025" s="123"/>
      <c r="L1025" s="125"/>
      <c r="N1025" s="126"/>
      <c r="P1025" s="127"/>
      <c r="Q1025" s="128"/>
      <c r="R1025" s="74"/>
      <c r="AF1025" s="76"/>
    </row>
    <row r="1026">
      <c r="D1026" s="123"/>
      <c r="L1026" s="125"/>
      <c r="N1026" s="126"/>
      <c r="P1026" s="127"/>
      <c r="Q1026" s="128"/>
      <c r="R1026" s="74"/>
      <c r="AF1026" s="76"/>
    </row>
    <row r="1027">
      <c r="D1027" s="123"/>
      <c r="L1027" s="125"/>
      <c r="N1027" s="126"/>
      <c r="P1027" s="127"/>
      <c r="Q1027" s="128"/>
      <c r="R1027" s="74"/>
      <c r="AF1027" s="76"/>
    </row>
    <row r="1028">
      <c r="D1028" s="123"/>
      <c r="L1028" s="125"/>
      <c r="N1028" s="126"/>
      <c r="P1028" s="127"/>
      <c r="Q1028" s="128"/>
      <c r="R1028" s="74"/>
      <c r="AF1028" s="76"/>
    </row>
    <row r="1029">
      <c r="D1029" s="123"/>
      <c r="L1029" s="125"/>
      <c r="N1029" s="126"/>
      <c r="P1029" s="127"/>
      <c r="Q1029" s="128"/>
      <c r="R1029" s="74"/>
      <c r="AF1029" s="76"/>
    </row>
    <row r="1030">
      <c r="D1030" s="123"/>
      <c r="L1030" s="125"/>
      <c r="N1030" s="126"/>
      <c r="P1030" s="127"/>
      <c r="Q1030" s="128"/>
      <c r="R1030" s="74"/>
      <c r="AF1030" s="76"/>
    </row>
    <row r="1031">
      <c r="D1031" s="123"/>
      <c r="L1031" s="125"/>
      <c r="N1031" s="126"/>
      <c r="P1031" s="127"/>
      <c r="Q1031" s="128"/>
      <c r="R1031" s="74"/>
      <c r="AF1031" s="76"/>
    </row>
    <row r="1032">
      <c r="D1032" s="123"/>
      <c r="L1032" s="125"/>
      <c r="N1032" s="126"/>
      <c r="P1032" s="127"/>
      <c r="Q1032" s="128"/>
      <c r="R1032" s="74"/>
      <c r="AF1032" s="76"/>
    </row>
    <row r="1033">
      <c r="D1033" s="123"/>
      <c r="L1033" s="125"/>
      <c r="N1033" s="126"/>
      <c r="P1033" s="127"/>
      <c r="Q1033" s="128"/>
      <c r="R1033" s="74"/>
      <c r="AF1033" s="76"/>
    </row>
    <row r="1034">
      <c r="D1034" s="123"/>
      <c r="L1034" s="125"/>
      <c r="N1034" s="126"/>
      <c r="P1034" s="127"/>
      <c r="Q1034" s="128"/>
      <c r="R1034" s="74"/>
      <c r="AF1034" s="76"/>
    </row>
    <row r="1035">
      <c r="D1035" s="123"/>
      <c r="L1035" s="125"/>
      <c r="N1035" s="126"/>
      <c r="P1035" s="127"/>
      <c r="Q1035" s="128"/>
      <c r="R1035" s="74"/>
      <c r="AF1035" s="76"/>
    </row>
    <row r="1036">
      <c r="D1036" s="123"/>
      <c r="L1036" s="125"/>
      <c r="N1036" s="126"/>
      <c r="P1036" s="127"/>
      <c r="Q1036" s="128"/>
      <c r="R1036" s="74"/>
      <c r="AF1036" s="76"/>
    </row>
    <row r="1037">
      <c r="D1037" s="123"/>
      <c r="L1037" s="125"/>
      <c r="N1037" s="126"/>
      <c r="P1037" s="127"/>
      <c r="Q1037" s="128"/>
      <c r="R1037" s="74"/>
      <c r="AF1037" s="76"/>
    </row>
    <row r="1038">
      <c r="D1038" s="123"/>
      <c r="L1038" s="125"/>
      <c r="N1038" s="126"/>
      <c r="P1038" s="127"/>
      <c r="Q1038" s="128"/>
      <c r="R1038" s="74"/>
      <c r="AF1038" s="76"/>
    </row>
    <row r="1039">
      <c r="D1039" s="123"/>
      <c r="L1039" s="125"/>
      <c r="N1039" s="126"/>
      <c r="P1039" s="127"/>
      <c r="Q1039" s="128"/>
      <c r="R1039" s="74"/>
      <c r="AF1039" s="76"/>
    </row>
    <row r="1040">
      <c r="D1040" s="123"/>
      <c r="L1040" s="125"/>
      <c r="N1040" s="126"/>
      <c r="P1040" s="127"/>
      <c r="Q1040" s="128"/>
      <c r="R1040" s="74"/>
      <c r="AF1040" s="76"/>
    </row>
    <row r="1041">
      <c r="D1041" s="123"/>
      <c r="L1041" s="125"/>
      <c r="N1041" s="126"/>
      <c r="P1041" s="127"/>
      <c r="Q1041" s="128"/>
      <c r="R1041" s="74"/>
      <c r="AF1041" s="76"/>
    </row>
  </sheetData>
  <mergeCells count="90">
    <mergeCell ref="F2:I2"/>
    <mergeCell ref="N2:N3"/>
    <mergeCell ref="AQ2:AR2"/>
    <mergeCell ref="AS2:AS3"/>
    <mergeCell ref="AT2:AT3"/>
    <mergeCell ref="AY2:AY3"/>
    <mergeCell ref="AZ2:AZ3"/>
    <mergeCell ref="BA2:BB2"/>
    <mergeCell ref="A1:A3"/>
    <mergeCell ref="B1:B2"/>
    <mergeCell ref="C1:C2"/>
    <mergeCell ref="E1:Q1"/>
    <mergeCell ref="S1:AE1"/>
    <mergeCell ref="AG1:AS1"/>
    <mergeCell ref="AT1:BC1"/>
    <mergeCell ref="BC2:BC3"/>
    <mergeCell ref="D1:D2"/>
    <mergeCell ref="E2:E3"/>
    <mergeCell ref="A132:A134"/>
    <mergeCell ref="B132:B133"/>
    <mergeCell ref="C132:C133"/>
    <mergeCell ref="D132:D133"/>
    <mergeCell ref="E132:Q132"/>
    <mergeCell ref="Q133:Q134"/>
    <mergeCell ref="E141:E142"/>
    <mergeCell ref="F141:I141"/>
    <mergeCell ref="N141:N142"/>
    <mergeCell ref="O141:P141"/>
    <mergeCell ref="E133:E134"/>
    <mergeCell ref="F133:I133"/>
    <mergeCell ref="A140:A142"/>
    <mergeCell ref="B140:B141"/>
    <mergeCell ref="C140:C141"/>
    <mergeCell ref="D140:D141"/>
    <mergeCell ref="E140:Q140"/>
    <mergeCell ref="Q141:Q142"/>
    <mergeCell ref="O2:P2"/>
    <mergeCell ref="Q2:Q3"/>
    <mergeCell ref="S2:S3"/>
    <mergeCell ref="T2:W2"/>
    <mergeCell ref="S132:AE132"/>
    <mergeCell ref="AA2:AA3"/>
    <mergeCell ref="AB2:AB3"/>
    <mergeCell ref="AC2:AD2"/>
    <mergeCell ref="AE2:AE3"/>
    <mergeCell ref="AG2:AG3"/>
    <mergeCell ref="AH2:AK2"/>
    <mergeCell ref="AG132:AS132"/>
    <mergeCell ref="AT132:BC132"/>
    <mergeCell ref="AO2:AO3"/>
    <mergeCell ref="AP2:AP3"/>
    <mergeCell ref="AZ133:AZ134"/>
    <mergeCell ref="BA133:BB133"/>
    <mergeCell ref="BC133:BC134"/>
    <mergeCell ref="N133:N134"/>
    <mergeCell ref="O133:P133"/>
    <mergeCell ref="S133:S134"/>
    <mergeCell ref="T133:W133"/>
    <mergeCell ref="AA133:AA134"/>
    <mergeCell ref="AB133:AB134"/>
    <mergeCell ref="AC133:AD133"/>
    <mergeCell ref="AT141:AT142"/>
    <mergeCell ref="AY141:AY142"/>
    <mergeCell ref="S140:AE140"/>
    <mergeCell ref="AG140:AS140"/>
    <mergeCell ref="AT140:BC140"/>
    <mergeCell ref="S141:S142"/>
    <mergeCell ref="T141:W141"/>
    <mergeCell ref="AA141:AA142"/>
    <mergeCell ref="AB141:AB142"/>
    <mergeCell ref="BC141:BC142"/>
    <mergeCell ref="AT133:AT134"/>
    <mergeCell ref="AY133:AY134"/>
    <mergeCell ref="AE133:AE134"/>
    <mergeCell ref="AG133:AG134"/>
    <mergeCell ref="AH133:AK133"/>
    <mergeCell ref="AO133:AO134"/>
    <mergeCell ref="AP133:AP134"/>
    <mergeCell ref="AQ133:AR133"/>
    <mergeCell ref="AS133:AS134"/>
    <mergeCell ref="AC141:AD141"/>
    <mergeCell ref="AE141:AE142"/>
    <mergeCell ref="AG141:AG142"/>
    <mergeCell ref="AH141:AK141"/>
    <mergeCell ref="AO141:AO142"/>
    <mergeCell ref="AP141:AP142"/>
    <mergeCell ref="AQ141:AR141"/>
    <mergeCell ref="AS141:AS142"/>
    <mergeCell ref="AZ141:AZ142"/>
    <mergeCell ref="BA141:BB141"/>
  </mergeCells>
  <conditionalFormatting sqref="M5:M19 AA5:AA19 AO5:AO19 M21:M44 AA21:AA44 AO21:AO44 M46:M69 AA46:AA68 AO46:AO69 M71:M84 AA71:AA84 AO71:AO84 M86:M90 AA86:AA90 AO86:AO90 M92 AO92 M94:M103 AA94:AA103 AO94:AO103 M105:M111 AA105:AA111 AO105:AO111 M113:M131 AA113:AA115 AO113:AO115 M135:M139 M143:M1041">
    <cfRule type="cellIs" dxfId="0" priority="1" operator="lessThan">
      <formula>"0%"</formula>
    </cfRule>
  </conditionalFormatting>
  <conditionalFormatting sqref="M5:M19 AA5:AA19 AO5:AO19 M21:M44 AA21:AA44 AO21:AO44 M46:M69 AA46:AA68 AO46:AO69 M71:M84 AA71:AA84 AO71:AO84 M86:M90 AA86:AA90 AO86:AO90 M92 AO92 M94:M103 AA94:AA103 AO94:AO103 M105:M111 AA105:AA111 AO105:AO111 M113:M131 AA113:AA115 AO113:AO115 M135:M139 M143:M1041">
    <cfRule type="cellIs" dxfId="1" priority="2" operator="lessThan">
      <formula>"2.50%"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38.38"/>
  </cols>
  <sheetData>
    <row r="1">
      <c r="A1" s="188" t="s">
        <v>166</v>
      </c>
      <c r="B1" s="188" t="s">
        <v>167</v>
      </c>
      <c r="C1" s="189" t="s">
        <v>168</v>
      </c>
      <c r="D1" s="190"/>
      <c r="E1" s="190"/>
      <c r="F1" s="190"/>
      <c r="G1" s="191"/>
      <c r="H1" s="37" t="s">
        <v>169</v>
      </c>
      <c r="I1" s="37" t="s">
        <v>170</v>
      </c>
      <c r="J1" s="192"/>
    </row>
    <row r="2">
      <c r="A2" s="13"/>
      <c r="B2" s="13"/>
      <c r="C2" s="193"/>
      <c r="G2" s="194"/>
      <c r="H2" s="13"/>
      <c r="I2" s="13"/>
      <c r="J2" s="192"/>
    </row>
    <row r="3">
      <c r="A3" s="39"/>
      <c r="B3" s="39"/>
      <c r="C3" s="195">
        <v>1.0</v>
      </c>
      <c r="D3" s="196">
        <v>2.0</v>
      </c>
      <c r="E3" s="196">
        <v>3.0</v>
      </c>
      <c r="F3" s="196">
        <v>4.0</v>
      </c>
      <c r="G3" s="197">
        <v>5.0</v>
      </c>
      <c r="H3" s="39"/>
      <c r="I3" s="39"/>
      <c r="J3" s="192"/>
    </row>
    <row r="4">
      <c r="A4" s="198" t="s">
        <v>29</v>
      </c>
      <c r="B4" s="198" t="s">
        <v>171</v>
      </c>
      <c r="C4" s="199"/>
      <c r="D4" s="199"/>
      <c r="E4" s="199"/>
      <c r="F4" s="199"/>
      <c r="G4" s="199"/>
      <c r="H4" s="200" t="s">
        <v>172</v>
      </c>
      <c r="I4" s="201" t="s">
        <v>173</v>
      </c>
      <c r="J4" s="153" t="s">
        <v>174</v>
      </c>
    </row>
    <row r="5">
      <c r="A5" s="198" t="s">
        <v>30</v>
      </c>
      <c r="B5" s="198" t="s">
        <v>175</v>
      </c>
      <c r="C5" s="199"/>
      <c r="D5" s="199"/>
      <c r="E5" s="199"/>
      <c r="F5" s="199"/>
      <c r="G5" s="199"/>
      <c r="H5" s="200" t="s">
        <v>176</v>
      </c>
      <c r="I5" s="201" t="s">
        <v>177</v>
      </c>
      <c r="J5" s="153" t="s">
        <v>174</v>
      </c>
    </row>
    <row r="6">
      <c r="A6" s="202" t="s">
        <v>31</v>
      </c>
      <c r="B6" s="202" t="s">
        <v>178</v>
      </c>
      <c r="C6" s="203"/>
      <c r="D6" s="203"/>
      <c r="E6" s="203"/>
      <c r="F6" s="203"/>
      <c r="G6" s="203"/>
      <c r="H6" s="204" t="s">
        <v>179</v>
      </c>
      <c r="I6" s="205" t="s">
        <v>180</v>
      </c>
      <c r="J6" s="153" t="s">
        <v>174</v>
      </c>
    </row>
    <row r="7">
      <c r="A7" s="202" t="s">
        <v>32</v>
      </c>
      <c r="B7" s="202" t="s">
        <v>181</v>
      </c>
      <c r="C7" s="204" t="s">
        <v>182</v>
      </c>
      <c r="D7" s="202" t="s">
        <v>183</v>
      </c>
      <c r="E7" s="204" t="s">
        <v>184</v>
      </c>
      <c r="F7" s="204" t="s">
        <v>185</v>
      </c>
      <c r="G7" s="203"/>
      <c r="H7" s="204" t="s">
        <v>186</v>
      </c>
      <c r="I7" s="205" t="s">
        <v>187</v>
      </c>
      <c r="J7" s="153" t="s">
        <v>174</v>
      </c>
    </row>
    <row r="8">
      <c r="A8" s="202" t="s">
        <v>33</v>
      </c>
      <c r="B8" s="202" t="s">
        <v>188</v>
      </c>
      <c r="C8" s="203"/>
      <c r="D8" s="203"/>
      <c r="E8" s="203"/>
      <c r="F8" s="203"/>
      <c r="G8" s="203"/>
      <c r="H8" s="204" t="s">
        <v>189</v>
      </c>
      <c r="I8" s="206"/>
      <c r="J8" s="153" t="s">
        <v>174</v>
      </c>
    </row>
    <row r="9">
      <c r="A9" s="202" t="s">
        <v>34</v>
      </c>
      <c r="B9" s="202" t="s">
        <v>190</v>
      </c>
      <c r="C9" s="204" t="s">
        <v>191</v>
      </c>
      <c r="D9" s="204" t="s">
        <v>192</v>
      </c>
      <c r="E9" s="204" t="s">
        <v>193</v>
      </c>
      <c r="F9" s="202" t="s">
        <v>194</v>
      </c>
      <c r="G9" s="203"/>
      <c r="H9" s="204" t="s">
        <v>195</v>
      </c>
      <c r="I9" s="205" t="s">
        <v>196</v>
      </c>
      <c r="J9" s="153" t="s">
        <v>174</v>
      </c>
    </row>
    <row r="10">
      <c r="A10" s="202" t="s">
        <v>35</v>
      </c>
      <c r="B10" s="202" t="s">
        <v>197</v>
      </c>
      <c r="C10" s="203"/>
      <c r="D10" s="203"/>
      <c r="E10" s="203"/>
      <c r="F10" s="207"/>
      <c r="G10" s="203"/>
      <c r="H10" s="204" t="s">
        <v>198</v>
      </c>
      <c r="I10" s="205" t="s">
        <v>199</v>
      </c>
      <c r="J10" s="153" t="s">
        <v>174</v>
      </c>
    </row>
    <row r="11">
      <c r="A11" s="202" t="s">
        <v>36</v>
      </c>
      <c r="B11" s="202" t="s">
        <v>200</v>
      </c>
      <c r="C11" s="204" t="s">
        <v>201</v>
      </c>
      <c r="D11" s="204" t="s">
        <v>202</v>
      </c>
      <c r="E11" s="204" t="s">
        <v>203</v>
      </c>
      <c r="F11" s="204" t="s">
        <v>204</v>
      </c>
      <c r="G11" s="203"/>
      <c r="H11" s="204" t="s">
        <v>205</v>
      </c>
      <c r="I11" s="205" t="s">
        <v>206</v>
      </c>
      <c r="J11" s="153" t="s">
        <v>174</v>
      </c>
    </row>
    <row r="12">
      <c r="A12" s="202" t="s">
        <v>37</v>
      </c>
      <c r="B12" s="202" t="s">
        <v>207</v>
      </c>
      <c r="C12" s="204" t="s">
        <v>208</v>
      </c>
      <c r="D12" s="204" t="s">
        <v>209</v>
      </c>
      <c r="E12" s="204" t="s">
        <v>210</v>
      </c>
      <c r="F12" s="204" t="s">
        <v>211</v>
      </c>
      <c r="G12" s="204" t="s">
        <v>212</v>
      </c>
      <c r="H12" s="204" t="s">
        <v>213</v>
      </c>
      <c r="I12" s="205" t="s">
        <v>214</v>
      </c>
      <c r="J12" s="153" t="s">
        <v>174</v>
      </c>
    </row>
    <row r="13">
      <c r="A13" s="202" t="s">
        <v>38</v>
      </c>
      <c r="B13" s="202" t="s">
        <v>215</v>
      </c>
      <c r="C13" s="203"/>
      <c r="D13" s="203"/>
      <c r="E13" s="203"/>
      <c r="F13" s="203"/>
      <c r="G13" s="203"/>
      <c r="H13" s="203"/>
      <c r="I13" s="207"/>
      <c r="J13" s="178"/>
    </row>
    <row r="14">
      <c r="A14" s="202" t="s">
        <v>39</v>
      </c>
      <c r="B14" s="202" t="s">
        <v>216</v>
      </c>
      <c r="C14" s="203"/>
      <c r="D14" s="203"/>
      <c r="E14" s="203"/>
      <c r="F14" s="203"/>
      <c r="G14" s="203"/>
      <c r="H14" s="203"/>
      <c r="I14" s="207"/>
      <c r="J14" s="178"/>
    </row>
    <row r="15">
      <c r="A15" s="202" t="s">
        <v>217</v>
      </c>
      <c r="B15" s="202" t="s">
        <v>218</v>
      </c>
      <c r="C15" s="203"/>
      <c r="D15" s="203"/>
      <c r="E15" s="203"/>
      <c r="F15" s="203"/>
      <c r="G15" s="203"/>
      <c r="H15" s="203"/>
      <c r="I15" s="207"/>
      <c r="J15" s="178"/>
    </row>
    <row r="16">
      <c r="A16" s="202" t="s">
        <v>219</v>
      </c>
      <c r="B16" s="202" t="s">
        <v>220</v>
      </c>
      <c r="C16" s="203"/>
      <c r="D16" s="203"/>
      <c r="E16" s="203"/>
      <c r="F16" s="203"/>
      <c r="G16" s="203"/>
      <c r="H16" s="203"/>
      <c r="I16" s="207"/>
      <c r="J16" s="178"/>
    </row>
    <row r="17">
      <c r="A17" s="208" t="s">
        <v>221</v>
      </c>
      <c r="B17" s="209"/>
      <c r="C17" s="210"/>
      <c r="D17" s="210"/>
      <c r="E17" s="210"/>
      <c r="F17" s="210"/>
      <c r="G17" s="210"/>
      <c r="H17" s="210"/>
      <c r="I17" s="209"/>
      <c r="J17" s="211"/>
    </row>
    <row r="18">
      <c r="A18" s="202" t="s">
        <v>222</v>
      </c>
      <c r="B18" s="202" t="s">
        <v>223</v>
      </c>
      <c r="C18" s="203"/>
      <c r="D18" s="203"/>
      <c r="E18" s="203"/>
      <c r="F18" s="203"/>
      <c r="G18" s="203"/>
      <c r="H18" s="203"/>
      <c r="I18" s="207"/>
      <c r="J18" s="178"/>
    </row>
    <row r="19">
      <c r="A19" s="202" t="s">
        <v>224</v>
      </c>
      <c r="B19" s="202" t="s">
        <v>225</v>
      </c>
      <c r="C19" s="203"/>
      <c r="D19" s="203"/>
      <c r="E19" s="203"/>
      <c r="F19" s="203"/>
      <c r="G19" s="203"/>
      <c r="H19" s="203"/>
      <c r="I19" s="207"/>
      <c r="J19" s="178"/>
    </row>
    <row r="20">
      <c r="A20" s="202" t="s">
        <v>226</v>
      </c>
      <c r="B20" s="202" t="s">
        <v>227</v>
      </c>
      <c r="C20" s="203"/>
      <c r="D20" s="203"/>
      <c r="E20" s="203"/>
      <c r="F20" s="203"/>
      <c r="G20" s="203"/>
      <c r="H20" s="203"/>
      <c r="I20" s="207"/>
      <c r="J20" s="178"/>
    </row>
    <row r="21">
      <c r="A21" s="202" t="s">
        <v>228</v>
      </c>
      <c r="B21" s="202" t="s">
        <v>229</v>
      </c>
      <c r="C21" s="203"/>
      <c r="D21" s="203"/>
      <c r="E21" s="203"/>
      <c r="F21" s="203"/>
      <c r="G21" s="203"/>
      <c r="H21" s="203"/>
      <c r="I21" s="207"/>
      <c r="J21" s="178"/>
    </row>
    <row r="22">
      <c r="A22" s="202" t="s">
        <v>230</v>
      </c>
      <c r="B22" s="202" t="s">
        <v>231</v>
      </c>
      <c r="C22" s="203"/>
      <c r="D22" s="203"/>
      <c r="E22" s="203"/>
      <c r="F22" s="203"/>
      <c r="G22" s="203"/>
      <c r="H22" s="203"/>
      <c r="I22" s="207"/>
      <c r="J22" s="178"/>
    </row>
    <row r="23">
      <c r="A23" s="212" t="s">
        <v>232</v>
      </c>
      <c r="B23" s="212" t="s">
        <v>233</v>
      </c>
      <c r="C23" s="203"/>
      <c r="D23" s="203"/>
      <c r="E23" s="203"/>
      <c r="F23" s="203"/>
      <c r="G23" s="203"/>
      <c r="H23" s="203"/>
      <c r="I23" s="207"/>
      <c r="J23" s="178"/>
    </row>
    <row r="24">
      <c r="A24" s="202"/>
      <c r="B24" s="202"/>
      <c r="C24" s="203"/>
      <c r="D24" s="203"/>
      <c r="E24" s="203"/>
      <c r="F24" s="203"/>
      <c r="G24" s="203"/>
      <c r="H24" s="203"/>
      <c r="I24" s="207"/>
      <c r="J24" s="178"/>
    </row>
    <row r="25">
      <c r="A25" s="208" t="s">
        <v>234</v>
      </c>
      <c r="B25" s="209"/>
      <c r="C25" s="210"/>
      <c r="D25" s="210"/>
      <c r="E25" s="210"/>
      <c r="F25" s="210"/>
      <c r="G25" s="210"/>
      <c r="H25" s="210"/>
      <c r="I25" s="209"/>
      <c r="J25" s="211"/>
    </row>
    <row r="26">
      <c r="A26" s="202" t="s">
        <v>235</v>
      </c>
      <c r="B26" s="202" t="s">
        <v>236</v>
      </c>
      <c r="C26" s="213"/>
      <c r="D26" s="213"/>
      <c r="E26" s="213"/>
      <c r="F26" s="213"/>
      <c r="G26" s="213"/>
      <c r="H26" s="213"/>
      <c r="I26" s="214"/>
      <c r="J26" s="215"/>
    </row>
    <row r="27">
      <c r="A27" s="202" t="s">
        <v>237</v>
      </c>
      <c r="B27" s="202" t="s">
        <v>238</v>
      </c>
      <c r="C27" s="213"/>
      <c r="D27" s="213"/>
      <c r="E27" s="213"/>
      <c r="F27" s="213"/>
      <c r="G27" s="213"/>
      <c r="H27" s="213"/>
      <c r="I27" s="214"/>
      <c r="J27" s="215"/>
    </row>
    <row r="28">
      <c r="A28" s="202" t="s">
        <v>239</v>
      </c>
      <c r="B28" s="202" t="s">
        <v>240</v>
      </c>
      <c r="C28" s="213"/>
      <c r="D28" s="213"/>
      <c r="E28" s="213"/>
      <c r="F28" s="213"/>
      <c r="G28" s="213"/>
      <c r="H28" s="213"/>
      <c r="I28" s="214"/>
      <c r="J28" s="215"/>
    </row>
    <row r="29">
      <c r="A29" s="202" t="s">
        <v>241</v>
      </c>
      <c r="B29" s="202" t="s">
        <v>242</v>
      </c>
      <c r="C29" s="213"/>
      <c r="D29" s="213"/>
      <c r="E29" s="213"/>
      <c r="F29" s="213"/>
      <c r="G29" s="213"/>
      <c r="H29" s="213"/>
      <c r="I29" s="214"/>
      <c r="J29" s="215"/>
    </row>
    <row r="30">
      <c r="A30" s="202" t="s">
        <v>243</v>
      </c>
      <c r="B30" s="202" t="s">
        <v>244</v>
      </c>
      <c r="C30" s="213"/>
      <c r="D30" s="213"/>
      <c r="E30" s="213"/>
      <c r="F30" s="213"/>
      <c r="G30" s="213"/>
      <c r="H30" s="213"/>
      <c r="I30" s="214"/>
      <c r="J30" s="215"/>
    </row>
    <row r="31">
      <c r="A31" s="202" t="s">
        <v>245</v>
      </c>
      <c r="B31" s="202" t="s">
        <v>246</v>
      </c>
      <c r="C31" s="213"/>
      <c r="D31" s="213"/>
      <c r="E31" s="213"/>
      <c r="F31" s="213"/>
      <c r="G31" s="213"/>
      <c r="H31" s="213"/>
      <c r="I31" s="214"/>
      <c r="J31" s="215"/>
    </row>
    <row r="32">
      <c r="A32" s="202" t="s">
        <v>43</v>
      </c>
      <c r="B32" s="202" t="s">
        <v>247</v>
      </c>
      <c r="C32" s="213"/>
      <c r="D32" s="213"/>
      <c r="E32" s="213"/>
      <c r="F32" s="213"/>
      <c r="G32" s="213"/>
      <c r="H32" s="213"/>
      <c r="I32" s="214"/>
      <c r="J32" s="215"/>
    </row>
    <row r="33">
      <c r="A33" s="212" t="s">
        <v>44</v>
      </c>
      <c r="B33" s="216" t="s">
        <v>248</v>
      </c>
      <c r="C33" s="213"/>
      <c r="D33" s="213"/>
      <c r="E33" s="213"/>
      <c r="F33" s="213"/>
      <c r="G33" s="213"/>
      <c r="H33" s="213"/>
      <c r="I33" s="214"/>
      <c r="J33" s="215"/>
    </row>
    <row r="34">
      <c r="A34" s="214"/>
      <c r="B34" s="214"/>
      <c r="C34" s="213"/>
      <c r="D34" s="213"/>
      <c r="E34" s="213"/>
      <c r="F34" s="213"/>
      <c r="G34" s="213"/>
      <c r="H34" s="213"/>
      <c r="I34" s="214"/>
      <c r="J34" s="215"/>
    </row>
    <row r="35">
      <c r="A35" s="214"/>
      <c r="B35" s="214"/>
      <c r="C35" s="213"/>
      <c r="D35" s="213"/>
      <c r="E35" s="213"/>
      <c r="F35" s="213"/>
      <c r="G35" s="213"/>
      <c r="H35" s="213"/>
      <c r="I35" s="214"/>
      <c r="J35" s="215"/>
    </row>
    <row r="36">
      <c r="A36" s="207"/>
      <c r="B36" s="207"/>
      <c r="C36" s="203"/>
      <c r="D36" s="203"/>
      <c r="E36" s="203"/>
      <c r="F36" s="203"/>
      <c r="G36" s="203"/>
      <c r="H36" s="203"/>
      <c r="I36" s="207"/>
      <c r="J36" s="178"/>
    </row>
    <row r="37">
      <c r="A37" s="150" t="s">
        <v>45</v>
      </c>
      <c r="B37" s="217"/>
      <c r="C37" s="218"/>
      <c r="D37" s="218"/>
      <c r="E37" s="218"/>
      <c r="F37" s="218"/>
      <c r="G37" s="218"/>
      <c r="H37" s="218"/>
      <c r="I37" s="217"/>
      <c r="J37" s="219"/>
    </row>
    <row r="38">
      <c r="A38" s="104" t="s">
        <v>47</v>
      </c>
      <c r="B38" s="104" t="s">
        <v>249</v>
      </c>
      <c r="C38" s="220" t="s">
        <v>250</v>
      </c>
      <c r="D38" s="220" t="s">
        <v>251</v>
      </c>
      <c r="E38" s="221"/>
      <c r="F38" s="221"/>
      <c r="G38" s="221"/>
      <c r="H38" s="221"/>
      <c r="I38" s="105"/>
      <c r="J38" s="178"/>
    </row>
    <row r="39">
      <c r="A39" s="104" t="s">
        <v>49</v>
      </c>
      <c r="B39" s="104" t="s">
        <v>252</v>
      </c>
      <c r="C39" s="220" t="s">
        <v>253</v>
      </c>
      <c r="D39" s="104" t="s">
        <v>254</v>
      </c>
      <c r="E39" s="104" t="s">
        <v>255</v>
      </c>
      <c r="F39" s="104" t="s">
        <v>256</v>
      </c>
      <c r="G39" s="221"/>
      <c r="H39" s="221"/>
      <c r="I39" s="105"/>
      <c r="J39" s="178"/>
    </row>
    <row r="40">
      <c r="A40" s="104" t="s">
        <v>257</v>
      </c>
      <c r="B40" s="104" t="s">
        <v>258</v>
      </c>
      <c r="C40" s="221"/>
      <c r="D40" s="221"/>
      <c r="E40" s="221"/>
      <c r="F40" s="221"/>
      <c r="G40" s="221"/>
      <c r="H40" s="221"/>
      <c r="I40" s="105"/>
      <c r="J40" s="178"/>
    </row>
    <row r="41">
      <c r="A41" s="104" t="s">
        <v>259</v>
      </c>
      <c r="B41" s="104" t="s">
        <v>260</v>
      </c>
      <c r="C41" s="221"/>
      <c r="D41" s="221"/>
      <c r="E41" s="221"/>
      <c r="F41" s="221"/>
      <c r="G41" s="221"/>
      <c r="H41" s="221"/>
      <c r="I41" s="105"/>
      <c r="J41" s="178"/>
    </row>
    <row r="42">
      <c r="A42" s="104" t="s">
        <v>261</v>
      </c>
      <c r="B42" s="104" t="s">
        <v>262</v>
      </c>
      <c r="C42" s="221"/>
      <c r="D42" s="221"/>
      <c r="E42" s="221"/>
      <c r="F42" s="221"/>
      <c r="G42" s="221"/>
      <c r="H42" s="221"/>
      <c r="I42" s="105"/>
      <c r="J42" s="178"/>
    </row>
    <row r="43">
      <c r="A43" s="104" t="s">
        <v>56</v>
      </c>
      <c r="B43" s="104" t="s">
        <v>263</v>
      </c>
      <c r="C43" s="221"/>
      <c r="D43" s="221"/>
      <c r="E43" s="221"/>
      <c r="F43" s="221"/>
      <c r="G43" s="221"/>
      <c r="H43" s="221"/>
      <c r="I43" s="105"/>
      <c r="J43" s="178"/>
    </row>
    <row r="44">
      <c r="A44" s="104" t="s">
        <v>264</v>
      </c>
      <c r="B44" s="104" t="s">
        <v>265</v>
      </c>
      <c r="C44" s="221"/>
      <c r="D44" s="221"/>
      <c r="E44" s="221"/>
      <c r="F44" s="221"/>
      <c r="G44" s="221"/>
      <c r="H44" s="221"/>
      <c r="I44" s="105"/>
      <c r="J44" s="178"/>
    </row>
    <row r="45">
      <c r="A45" s="104" t="s">
        <v>266</v>
      </c>
      <c r="B45" s="104" t="s">
        <v>267</v>
      </c>
      <c r="C45" s="221"/>
      <c r="D45" s="221"/>
      <c r="E45" s="221"/>
      <c r="F45" s="221"/>
      <c r="G45" s="221"/>
      <c r="H45" s="221"/>
      <c r="I45" s="105"/>
      <c r="J45" s="178"/>
    </row>
    <row r="46">
      <c r="A46" s="104" t="s">
        <v>268</v>
      </c>
      <c r="B46" s="104" t="s">
        <v>269</v>
      </c>
      <c r="C46" s="221"/>
      <c r="D46" s="221"/>
      <c r="E46" s="221"/>
      <c r="F46" s="221"/>
      <c r="G46" s="221"/>
      <c r="H46" s="221"/>
      <c r="I46" s="105"/>
      <c r="J46" s="178"/>
    </row>
    <row r="47">
      <c r="A47" s="104" t="s">
        <v>61</v>
      </c>
      <c r="B47" s="104" t="s">
        <v>270</v>
      </c>
      <c r="C47" s="221"/>
      <c r="D47" s="221"/>
      <c r="E47" s="221"/>
      <c r="F47" s="221"/>
      <c r="G47" s="221"/>
      <c r="H47" s="221"/>
      <c r="I47" s="105"/>
      <c r="J47" s="178"/>
    </row>
    <row r="48">
      <c r="A48" s="104" t="s">
        <v>271</v>
      </c>
      <c r="B48" s="104" t="s">
        <v>272</v>
      </c>
      <c r="C48" s="221"/>
      <c r="D48" s="221"/>
      <c r="E48" s="221"/>
      <c r="F48" s="221"/>
      <c r="G48" s="221"/>
      <c r="H48" s="221"/>
      <c r="I48" s="105"/>
      <c r="J48" s="178"/>
    </row>
    <row r="49">
      <c r="A49" s="104" t="s">
        <v>273</v>
      </c>
      <c r="B49" s="104" t="s">
        <v>274</v>
      </c>
      <c r="C49" s="221"/>
      <c r="D49" s="221"/>
      <c r="E49" s="221"/>
      <c r="F49" s="221"/>
      <c r="G49" s="221"/>
      <c r="H49" s="221"/>
      <c r="I49" s="105"/>
      <c r="J49" s="178"/>
    </row>
    <row r="50">
      <c r="A50" s="104" t="s">
        <v>68</v>
      </c>
      <c r="B50" s="104" t="s">
        <v>275</v>
      </c>
      <c r="C50" s="221"/>
      <c r="D50" s="221"/>
      <c r="E50" s="221"/>
      <c r="F50" s="221"/>
      <c r="G50" s="221"/>
      <c r="H50" s="221"/>
      <c r="I50" s="105"/>
      <c r="J50" s="178"/>
    </row>
    <row r="51">
      <c r="A51" s="146" t="s">
        <v>70</v>
      </c>
      <c r="B51" s="222"/>
      <c r="C51" s="223"/>
      <c r="D51" s="223"/>
      <c r="E51" s="223"/>
      <c r="F51" s="223"/>
      <c r="G51" s="223"/>
      <c r="H51" s="223"/>
      <c r="I51" s="222"/>
      <c r="J51" s="178"/>
    </row>
    <row r="52">
      <c r="A52" s="104" t="s">
        <v>71</v>
      </c>
      <c r="B52" s="104" t="s">
        <v>276</v>
      </c>
      <c r="C52" s="221"/>
      <c r="D52" s="221"/>
      <c r="E52" s="221"/>
      <c r="F52" s="221"/>
      <c r="G52" s="221"/>
      <c r="H52" s="221"/>
      <c r="I52" s="105"/>
      <c r="J52" s="178"/>
    </row>
    <row r="53">
      <c r="A53" s="104" t="s">
        <v>72</v>
      </c>
      <c r="B53" s="104" t="s">
        <v>277</v>
      </c>
      <c r="C53" s="221"/>
      <c r="D53" s="221"/>
      <c r="E53" s="221"/>
      <c r="F53" s="221"/>
      <c r="G53" s="221"/>
      <c r="H53" s="221"/>
      <c r="I53" s="105"/>
      <c r="J53" s="178"/>
    </row>
    <row r="54">
      <c r="A54" s="104" t="s">
        <v>73</v>
      </c>
      <c r="B54" s="104" t="s">
        <v>278</v>
      </c>
      <c r="C54" s="221"/>
      <c r="D54" s="221"/>
      <c r="E54" s="221"/>
      <c r="F54" s="221"/>
      <c r="G54" s="221"/>
      <c r="H54" s="221"/>
      <c r="I54" s="105"/>
      <c r="J54" s="178"/>
    </row>
    <row r="55">
      <c r="A55" s="104" t="s">
        <v>75</v>
      </c>
      <c r="B55" s="104" t="s">
        <v>279</v>
      </c>
      <c r="C55" s="224"/>
      <c r="D55" s="224"/>
      <c r="E55" s="224"/>
      <c r="F55" s="224"/>
      <c r="G55" s="224"/>
      <c r="H55" s="225" t="s">
        <v>280</v>
      </c>
      <c r="I55" s="105"/>
      <c r="J55" s="178"/>
    </row>
    <row r="56">
      <c r="A56" s="104" t="s">
        <v>281</v>
      </c>
      <c r="B56" s="104" t="s">
        <v>282</v>
      </c>
      <c r="C56" s="226"/>
      <c r="D56" s="226"/>
      <c r="E56" s="226"/>
      <c r="F56" s="226"/>
      <c r="G56" s="226"/>
      <c r="H56" s="227" t="s">
        <v>283</v>
      </c>
      <c r="I56" s="105"/>
      <c r="J56" s="178"/>
    </row>
    <row r="57">
      <c r="A57" s="104" t="s">
        <v>77</v>
      </c>
      <c r="B57" s="104" t="s">
        <v>284</v>
      </c>
      <c r="C57" s="226"/>
      <c r="D57" s="226"/>
      <c r="E57" s="226"/>
      <c r="F57" s="226"/>
      <c r="G57" s="226"/>
      <c r="H57" s="227" t="s">
        <v>285</v>
      </c>
      <c r="I57" s="105"/>
      <c r="J57" s="178"/>
    </row>
    <row r="58">
      <c r="A58" s="104" t="s">
        <v>78</v>
      </c>
      <c r="B58" s="104" t="s">
        <v>286</v>
      </c>
      <c r="C58" s="224"/>
      <c r="D58" s="224"/>
      <c r="E58" s="224"/>
      <c r="F58" s="224"/>
      <c r="G58" s="224"/>
      <c r="H58" s="228" t="s">
        <v>287</v>
      </c>
      <c r="I58" s="105"/>
      <c r="J58" s="178"/>
    </row>
    <row r="59">
      <c r="A59" s="104" t="s">
        <v>79</v>
      </c>
      <c r="B59" s="104" t="s">
        <v>288</v>
      </c>
      <c r="C59" s="226"/>
      <c r="D59" s="226"/>
      <c r="E59" s="226"/>
      <c r="F59" s="226"/>
      <c r="G59" s="226"/>
      <c r="H59" s="227" t="s">
        <v>289</v>
      </c>
      <c r="I59" s="105"/>
      <c r="J59" s="178"/>
    </row>
    <row r="60">
      <c r="A60" s="104" t="s">
        <v>80</v>
      </c>
      <c r="B60" s="104" t="s">
        <v>290</v>
      </c>
      <c r="C60" s="226"/>
      <c r="D60" s="226"/>
      <c r="E60" s="226"/>
      <c r="F60" s="226"/>
      <c r="G60" s="226"/>
      <c r="H60" s="227" t="s">
        <v>291</v>
      </c>
      <c r="I60" s="105"/>
      <c r="J60" s="178"/>
    </row>
    <row r="61">
      <c r="A61" s="104" t="s">
        <v>83</v>
      </c>
      <c r="B61" s="104" t="s">
        <v>292</v>
      </c>
      <c r="C61" s="226"/>
      <c r="D61" s="226"/>
      <c r="E61" s="226"/>
      <c r="F61" s="226"/>
      <c r="G61" s="226"/>
      <c r="H61" s="227" t="s">
        <v>293</v>
      </c>
      <c r="I61" s="105"/>
      <c r="J61" s="178"/>
    </row>
    <row r="62">
      <c r="A62" s="104" t="s">
        <v>294</v>
      </c>
      <c r="B62" s="104" t="s">
        <v>295</v>
      </c>
      <c r="C62" s="224"/>
      <c r="D62" s="224"/>
      <c r="E62" s="224"/>
      <c r="F62" s="224"/>
      <c r="G62" s="224"/>
      <c r="H62" s="228" t="s">
        <v>296</v>
      </c>
      <c r="I62" s="105"/>
      <c r="J62" s="178"/>
    </row>
    <row r="63">
      <c r="A63" s="104" t="s">
        <v>297</v>
      </c>
      <c r="B63" s="104" t="s">
        <v>298</v>
      </c>
      <c r="C63" s="226"/>
      <c r="D63" s="226"/>
      <c r="E63" s="226"/>
      <c r="F63" s="226"/>
      <c r="G63" s="226"/>
      <c r="H63" s="227" t="s">
        <v>299</v>
      </c>
      <c r="I63" s="105"/>
      <c r="J63" s="178"/>
    </row>
    <row r="64">
      <c r="A64" s="104" t="s">
        <v>300</v>
      </c>
      <c r="B64" s="104" t="s">
        <v>301</v>
      </c>
      <c r="C64" s="226"/>
      <c r="D64" s="226"/>
      <c r="E64" s="226"/>
      <c r="F64" s="226"/>
      <c r="G64" s="226"/>
      <c r="H64" s="226"/>
      <c r="I64" s="105"/>
      <c r="J64" s="178"/>
    </row>
    <row r="65">
      <c r="A65" s="104" t="s">
        <v>81</v>
      </c>
      <c r="B65" s="104" t="s">
        <v>302</v>
      </c>
      <c r="C65" s="221"/>
      <c r="D65" s="221"/>
      <c r="E65" s="221"/>
      <c r="F65" s="221"/>
      <c r="G65" s="221"/>
      <c r="H65" s="220" t="s">
        <v>293</v>
      </c>
      <c r="I65" s="105"/>
      <c r="J65" s="178"/>
    </row>
    <row r="66">
      <c r="A66" s="104" t="s">
        <v>87</v>
      </c>
      <c r="B66" s="104" t="s">
        <v>303</v>
      </c>
      <c r="C66" s="221"/>
      <c r="D66" s="221"/>
      <c r="E66" s="221"/>
      <c r="F66" s="221"/>
      <c r="G66" s="221"/>
      <c r="H66" s="220" t="s">
        <v>304</v>
      </c>
      <c r="I66" s="105"/>
      <c r="J66" s="178"/>
    </row>
    <row r="67">
      <c r="A67" s="104" t="s">
        <v>88</v>
      </c>
      <c r="B67" s="104" t="s">
        <v>305</v>
      </c>
      <c r="C67" s="221"/>
      <c r="D67" s="221"/>
      <c r="E67" s="221"/>
      <c r="F67" s="221"/>
      <c r="G67" s="221"/>
      <c r="H67" s="220" t="s">
        <v>306</v>
      </c>
      <c r="I67" s="105"/>
      <c r="J67" s="178"/>
    </row>
    <row r="68">
      <c r="A68" s="104" t="s">
        <v>84</v>
      </c>
      <c r="B68" s="104" t="s">
        <v>307</v>
      </c>
      <c r="C68" s="221"/>
      <c r="D68" s="221"/>
      <c r="E68" s="221"/>
      <c r="F68" s="221"/>
      <c r="G68" s="221"/>
      <c r="H68" s="220" t="s">
        <v>308</v>
      </c>
      <c r="I68" s="105"/>
      <c r="J68" s="178"/>
    </row>
    <row r="69">
      <c r="A69" s="104" t="s">
        <v>85</v>
      </c>
      <c r="B69" s="104" t="s">
        <v>309</v>
      </c>
      <c r="C69" s="221"/>
      <c r="D69" s="221"/>
      <c r="E69" s="221"/>
      <c r="F69" s="221"/>
      <c r="G69" s="221"/>
      <c r="H69" s="220" t="s">
        <v>310</v>
      </c>
      <c r="I69" s="105"/>
      <c r="J69" s="178"/>
    </row>
    <row r="70">
      <c r="A70" s="104" t="s">
        <v>86</v>
      </c>
      <c r="B70" s="202" t="s">
        <v>311</v>
      </c>
      <c r="C70" s="203"/>
      <c r="D70" s="203"/>
      <c r="E70" s="203"/>
      <c r="F70" s="203"/>
      <c r="G70" s="203"/>
      <c r="H70" s="204" t="s">
        <v>312</v>
      </c>
      <c r="I70" s="207"/>
      <c r="J70" s="192"/>
    </row>
    <row r="71">
      <c r="A71" s="104" t="s">
        <v>89</v>
      </c>
      <c r="B71" s="104" t="s">
        <v>313</v>
      </c>
      <c r="C71" s="221"/>
      <c r="D71" s="221"/>
      <c r="E71" s="221"/>
      <c r="F71" s="221"/>
      <c r="G71" s="221"/>
      <c r="H71" s="220" t="s">
        <v>314</v>
      </c>
      <c r="I71" s="105"/>
      <c r="J71" s="192"/>
    </row>
    <row r="72">
      <c r="A72" s="104" t="s">
        <v>90</v>
      </c>
      <c r="B72" s="104" t="s">
        <v>315</v>
      </c>
      <c r="C72" s="221"/>
      <c r="D72" s="221"/>
      <c r="E72" s="221"/>
      <c r="F72" s="221"/>
      <c r="G72" s="221"/>
      <c r="H72" s="220" t="s">
        <v>316</v>
      </c>
      <c r="I72" s="105"/>
      <c r="J72" s="192"/>
    </row>
    <row r="73">
      <c r="A73" s="104" t="s">
        <v>317</v>
      </c>
      <c r="B73" s="104" t="s">
        <v>318</v>
      </c>
      <c r="C73" s="221"/>
      <c r="D73" s="221"/>
      <c r="E73" s="221"/>
      <c r="F73" s="221"/>
      <c r="G73" s="221"/>
      <c r="H73" s="221"/>
      <c r="I73" s="105"/>
      <c r="J73" s="192"/>
    </row>
    <row r="74">
      <c r="A74" s="229" t="s">
        <v>319</v>
      </c>
      <c r="B74" s="230"/>
      <c r="C74" s="231"/>
      <c r="D74" s="231"/>
      <c r="E74" s="231"/>
      <c r="F74" s="231"/>
      <c r="G74" s="231"/>
      <c r="H74" s="231"/>
      <c r="I74" s="230"/>
      <c r="J74" s="232"/>
    </row>
    <row r="75">
      <c r="A75" s="104" t="s">
        <v>320</v>
      </c>
      <c r="B75" s="198" t="s">
        <v>321</v>
      </c>
      <c r="C75" s="221"/>
      <c r="D75" s="221"/>
      <c r="E75" s="221"/>
      <c r="F75" s="221"/>
      <c r="G75" s="221"/>
      <c r="H75" s="221"/>
      <c r="I75" s="105"/>
      <c r="J75" s="192"/>
    </row>
    <row r="76">
      <c r="A76" s="104" t="s">
        <v>322</v>
      </c>
      <c r="B76" s="198" t="s">
        <v>323</v>
      </c>
      <c r="C76" s="221"/>
      <c r="D76" s="221"/>
      <c r="E76" s="221"/>
      <c r="F76" s="221"/>
      <c r="G76" s="221"/>
      <c r="H76" s="221"/>
      <c r="I76" s="105"/>
      <c r="J76" s="192"/>
    </row>
    <row r="77">
      <c r="A77" s="104" t="s">
        <v>324</v>
      </c>
      <c r="B77" s="198" t="s">
        <v>325</v>
      </c>
      <c r="C77" s="221"/>
      <c r="D77" s="221"/>
      <c r="E77" s="221"/>
      <c r="F77" s="221"/>
      <c r="G77" s="221"/>
      <c r="H77" s="221"/>
      <c r="I77" s="105"/>
      <c r="J77" s="192"/>
    </row>
    <row r="78">
      <c r="A78" s="104" t="s">
        <v>326</v>
      </c>
      <c r="B78" s="198" t="s">
        <v>327</v>
      </c>
      <c r="C78" s="221"/>
      <c r="D78" s="221"/>
      <c r="E78" s="221"/>
      <c r="F78" s="221"/>
      <c r="G78" s="221"/>
      <c r="H78" s="221"/>
      <c r="I78" s="105"/>
      <c r="J78" s="192"/>
    </row>
    <row r="79">
      <c r="A79" s="104" t="s">
        <v>328</v>
      </c>
      <c r="B79" s="198" t="s">
        <v>329</v>
      </c>
      <c r="C79" s="221"/>
      <c r="D79" s="221"/>
      <c r="E79" s="221"/>
      <c r="F79" s="221"/>
      <c r="G79" s="221"/>
      <c r="H79" s="221"/>
      <c r="I79" s="105"/>
      <c r="J79" s="192"/>
    </row>
    <row r="80">
      <c r="A80" s="104" t="s">
        <v>330</v>
      </c>
      <c r="B80" s="198" t="s">
        <v>331</v>
      </c>
      <c r="C80" s="221"/>
      <c r="D80" s="221"/>
      <c r="E80" s="221"/>
      <c r="F80" s="221"/>
      <c r="G80" s="221"/>
      <c r="H80" s="221"/>
      <c r="I80" s="105"/>
      <c r="J80" s="192"/>
    </row>
    <row r="81">
      <c r="A81" s="104" t="s">
        <v>332</v>
      </c>
      <c r="B81" s="198" t="s">
        <v>333</v>
      </c>
      <c r="C81" s="221"/>
      <c r="D81" s="221"/>
      <c r="E81" s="221"/>
      <c r="F81" s="221"/>
      <c r="G81" s="221"/>
      <c r="H81" s="221"/>
      <c r="I81" s="105"/>
      <c r="J81" s="192"/>
    </row>
    <row r="82">
      <c r="A82" s="104" t="s">
        <v>334</v>
      </c>
      <c r="B82" s="198" t="s">
        <v>335</v>
      </c>
      <c r="C82" s="221"/>
      <c r="D82" s="221"/>
      <c r="E82" s="221"/>
      <c r="F82" s="221"/>
      <c r="G82" s="221"/>
      <c r="H82" s="221"/>
      <c r="I82" s="105"/>
      <c r="J82" s="192"/>
    </row>
    <row r="83">
      <c r="A83" s="104" t="s">
        <v>336</v>
      </c>
      <c r="B83" s="198" t="s">
        <v>337</v>
      </c>
      <c r="C83" s="221"/>
      <c r="D83" s="221"/>
      <c r="E83" s="221"/>
      <c r="F83" s="221"/>
      <c r="G83" s="221"/>
      <c r="H83" s="221"/>
      <c r="I83" s="105"/>
      <c r="J83" s="192"/>
    </row>
    <row r="84">
      <c r="A84" s="104" t="s">
        <v>338</v>
      </c>
      <c r="B84" s="198" t="s">
        <v>339</v>
      </c>
      <c r="C84" s="221"/>
      <c r="D84" s="221"/>
      <c r="E84" s="221"/>
      <c r="F84" s="221"/>
      <c r="G84" s="221"/>
      <c r="H84" s="221"/>
      <c r="I84" s="105"/>
      <c r="J84" s="192"/>
    </row>
    <row r="85">
      <c r="A85" s="104" t="s">
        <v>340</v>
      </c>
      <c r="B85" s="198" t="s">
        <v>341</v>
      </c>
      <c r="C85" s="221"/>
      <c r="D85" s="221"/>
      <c r="E85" s="221"/>
      <c r="F85" s="221"/>
      <c r="G85" s="221"/>
      <c r="H85" s="221"/>
      <c r="I85" s="105"/>
      <c r="J85" s="192"/>
    </row>
    <row r="86">
      <c r="A86" s="104" t="s">
        <v>342</v>
      </c>
      <c r="B86" s="198" t="s">
        <v>343</v>
      </c>
      <c r="C86" s="221"/>
      <c r="D86" s="221"/>
      <c r="E86" s="221"/>
      <c r="F86" s="221"/>
      <c r="G86" s="221"/>
      <c r="H86" s="221"/>
      <c r="I86" s="105"/>
      <c r="J86" s="192"/>
    </row>
    <row r="87">
      <c r="A87" s="104" t="s">
        <v>344</v>
      </c>
      <c r="B87" s="198" t="s">
        <v>345</v>
      </c>
      <c r="C87" s="221"/>
      <c r="D87" s="221"/>
      <c r="E87" s="221"/>
      <c r="F87" s="221"/>
      <c r="G87" s="221"/>
      <c r="H87" s="221"/>
      <c r="I87" s="105"/>
      <c r="J87" s="192"/>
    </row>
    <row r="88">
      <c r="A88" s="104" t="s">
        <v>346</v>
      </c>
      <c r="B88" s="198" t="s">
        <v>347</v>
      </c>
      <c r="C88" s="221"/>
      <c r="D88" s="221"/>
      <c r="E88" s="221"/>
      <c r="F88" s="221"/>
      <c r="G88" s="221"/>
      <c r="H88" s="221"/>
      <c r="I88" s="105"/>
      <c r="J88" s="192"/>
    </row>
    <row r="89">
      <c r="A89" s="104" t="s">
        <v>348</v>
      </c>
      <c r="B89" s="198" t="s">
        <v>349</v>
      </c>
      <c r="C89" s="221"/>
      <c r="D89" s="221"/>
      <c r="E89" s="221"/>
      <c r="F89" s="221"/>
      <c r="G89" s="221"/>
      <c r="H89" s="221"/>
      <c r="I89" s="105"/>
      <c r="J89" s="192"/>
    </row>
    <row r="90">
      <c r="A90" s="105"/>
      <c r="B90" s="233"/>
      <c r="C90" s="221"/>
      <c r="D90" s="221"/>
      <c r="E90" s="221"/>
      <c r="F90" s="221"/>
      <c r="G90" s="221"/>
      <c r="H90" s="221"/>
      <c r="I90" s="105"/>
      <c r="J90" s="192"/>
    </row>
    <row r="91">
      <c r="A91" s="104" t="s">
        <v>350</v>
      </c>
      <c r="B91" s="104" t="s">
        <v>351</v>
      </c>
      <c r="C91" s="221"/>
      <c r="D91" s="221"/>
      <c r="E91" s="221"/>
      <c r="F91" s="221"/>
      <c r="G91" s="221"/>
      <c r="H91" s="221"/>
      <c r="I91" s="105"/>
      <c r="J91" s="192"/>
    </row>
    <row r="92">
      <c r="A92" s="104" t="s">
        <v>352</v>
      </c>
      <c r="B92" s="104" t="s">
        <v>353</v>
      </c>
      <c r="C92" s="221"/>
      <c r="D92" s="221"/>
      <c r="E92" s="221"/>
      <c r="F92" s="221"/>
      <c r="G92" s="221"/>
      <c r="H92" s="221"/>
      <c r="I92" s="105"/>
      <c r="J92" s="192"/>
    </row>
    <row r="93">
      <c r="A93" s="104" t="s">
        <v>354</v>
      </c>
      <c r="B93" s="104" t="s">
        <v>355</v>
      </c>
      <c r="C93" s="221"/>
      <c r="D93" s="221"/>
      <c r="E93" s="221"/>
      <c r="F93" s="221"/>
      <c r="G93" s="221"/>
      <c r="H93" s="221"/>
      <c r="I93" s="105"/>
      <c r="J93" s="192"/>
    </row>
    <row r="94">
      <c r="A94" s="104" t="s">
        <v>356</v>
      </c>
      <c r="B94" s="104" t="s">
        <v>357</v>
      </c>
      <c r="C94" s="221"/>
      <c r="D94" s="221"/>
      <c r="E94" s="221"/>
      <c r="F94" s="221"/>
      <c r="G94" s="221"/>
      <c r="H94" s="221"/>
      <c r="I94" s="105"/>
      <c r="J94" s="192"/>
    </row>
    <row r="95">
      <c r="A95" s="104" t="s">
        <v>358</v>
      </c>
      <c r="B95" s="104" t="s">
        <v>359</v>
      </c>
      <c r="C95" s="221"/>
      <c r="D95" s="221"/>
      <c r="E95" s="221"/>
      <c r="F95" s="221"/>
      <c r="G95" s="221"/>
      <c r="H95" s="221"/>
      <c r="I95" s="105"/>
      <c r="J95" s="192"/>
    </row>
    <row r="96">
      <c r="A96" s="104" t="s">
        <v>360</v>
      </c>
      <c r="B96" s="104" t="s">
        <v>361</v>
      </c>
      <c r="C96" s="221"/>
      <c r="D96" s="221"/>
      <c r="E96" s="221"/>
      <c r="F96" s="221"/>
      <c r="G96" s="221"/>
      <c r="H96" s="221"/>
      <c r="I96" s="105"/>
      <c r="J96" s="192"/>
    </row>
    <row r="97">
      <c r="A97" s="104" t="s">
        <v>362</v>
      </c>
      <c r="B97" s="104" t="s">
        <v>363</v>
      </c>
      <c r="C97" s="221"/>
      <c r="D97" s="221"/>
      <c r="E97" s="221"/>
      <c r="F97" s="221"/>
      <c r="G97" s="221"/>
      <c r="H97" s="221"/>
      <c r="I97" s="105"/>
      <c r="J97" s="192"/>
    </row>
    <row r="98">
      <c r="A98" s="104" t="s">
        <v>364</v>
      </c>
      <c r="B98" s="104" t="s">
        <v>365</v>
      </c>
      <c r="C98" s="221"/>
      <c r="D98" s="221"/>
      <c r="E98" s="221"/>
      <c r="F98" s="221"/>
      <c r="G98" s="221"/>
      <c r="H98" s="221"/>
      <c r="I98" s="105"/>
      <c r="J98" s="192"/>
    </row>
    <row r="99">
      <c r="A99" s="104" t="s">
        <v>366</v>
      </c>
      <c r="B99" s="104" t="s">
        <v>367</v>
      </c>
      <c r="C99" s="221"/>
      <c r="D99" s="221"/>
      <c r="E99" s="221"/>
      <c r="F99" s="221"/>
      <c r="G99" s="221"/>
      <c r="H99" s="221"/>
      <c r="I99" s="105"/>
      <c r="J99" s="192"/>
    </row>
    <row r="100">
      <c r="A100" s="104" t="s">
        <v>368</v>
      </c>
      <c r="B100" s="104" t="s">
        <v>369</v>
      </c>
      <c r="C100" s="221"/>
      <c r="D100" s="221"/>
      <c r="E100" s="221"/>
      <c r="F100" s="221"/>
      <c r="G100" s="221"/>
      <c r="H100" s="221"/>
      <c r="I100" s="105"/>
      <c r="J100" s="192"/>
    </row>
    <row r="101">
      <c r="A101" s="104" t="s">
        <v>370</v>
      </c>
      <c r="B101" s="104" t="s">
        <v>371</v>
      </c>
      <c r="C101" s="221"/>
      <c r="D101" s="221"/>
      <c r="E101" s="221"/>
      <c r="F101" s="221"/>
      <c r="G101" s="221"/>
      <c r="H101" s="221"/>
      <c r="I101" s="105"/>
      <c r="J101" s="192"/>
    </row>
    <row r="102">
      <c r="A102" s="104" t="s">
        <v>372</v>
      </c>
      <c r="B102" s="104" t="s">
        <v>373</v>
      </c>
      <c r="C102" s="221"/>
      <c r="D102" s="221"/>
      <c r="E102" s="221"/>
      <c r="F102" s="221"/>
      <c r="G102" s="221"/>
      <c r="H102" s="221"/>
      <c r="I102" s="105"/>
      <c r="J102" s="192"/>
    </row>
    <row r="103">
      <c r="A103" s="104" t="s">
        <v>374</v>
      </c>
      <c r="B103" s="104" t="s">
        <v>375</v>
      </c>
      <c r="C103" s="221"/>
      <c r="D103" s="221"/>
      <c r="E103" s="221"/>
      <c r="F103" s="221"/>
      <c r="G103" s="221"/>
      <c r="H103" s="221"/>
      <c r="I103" s="105"/>
      <c r="J103" s="192"/>
    </row>
    <row r="104">
      <c r="A104" s="104" t="s">
        <v>376</v>
      </c>
      <c r="B104" s="104" t="s">
        <v>377</v>
      </c>
      <c r="C104" s="221"/>
      <c r="D104" s="221"/>
      <c r="E104" s="221"/>
      <c r="F104" s="221"/>
      <c r="G104" s="221"/>
      <c r="H104" s="221"/>
      <c r="I104" s="105"/>
      <c r="J104" s="192"/>
    </row>
    <row r="105">
      <c r="A105" s="104" t="s">
        <v>378</v>
      </c>
      <c r="B105" s="104" t="s">
        <v>379</v>
      </c>
      <c r="C105" s="221"/>
      <c r="D105" s="221"/>
      <c r="E105" s="221"/>
      <c r="F105" s="221"/>
      <c r="G105" s="221"/>
      <c r="H105" s="221"/>
      <c r="I105" s="105"/>
      <c r="J105" s="192"/>
    </row>
    <row r="106">
      <c r="A106" s="104" t="s">
        <v>380</v>
      </c>
      <c r="B106" s="104" t="s">
        <v>381</v>
      </c>
      <c r="C106" s="221"/>
      <c r="D106" s="221"/>
      <c r="E106" s="221"/>
      <c r="F106" s="221"/>
      <c r="G106" s="221"/>
      <c r="H106" s="221"/>
      <c r="I106" s="105"/>
      <c r="J106" s="192"/>
    </row>
    <row r="107">
      <c r="A107" s="104" t="s">
        <v>382</v>
      </c>
      <c r="B107" s="104" t="s">
        <v>383</v>
      </c>
      <c r="C107" s="221"/>
      <c r="D107" s="221"/>
      <c r="E107" s="221"/>
      <c r="F107" s="221"/>
      <c r="G107" s="221"/>
      <c r="H107" s="221"/>
      <c r="I107" s="105"/>
      <c r="J107" s="192"/>
    </row>
    <row r="108">
      <c r="A108" s="104" t="s">
        <v>384</v>
      </c>
      <c r="B108" s="104" t="s">
        <v>385</v>
      </c>
      <c r="C108" s="221"/>
      <c r="D108" s="221"/>
      <c r="E108" s="221"/>
      <c r="F108" s="221"/>
      <c r="G108" s="221"/>
      <c r="H108" s="221"/>
      <c r="I108" s="105"/>
      <c r="J108" s="192"/>
    </row>
    <row r="109">
      <c r="A109" s="104" t="s">
        <v>386</v>
      </c>
      <c r="B109" s="104" t="s">
        <v>387</v>
      </c>
      <c r="C109" s="221"/>
      <c r="D109" s="221"/>
      <c r="E109" s="221"/>
      <c r="F109" s="221"/>
      <c r="G109" s="221"/>
      <c r="H109" s="221"/>
      <c r="I109" s="105"/>
      <c r="J109" s="192"/>
    </row>
    <row r="110">
      <c r="A110" s="104" t="s">
        <v>388</v>
      </c>
      <c r="B110" s="104" t="s">
        <v>389</v>
      </c>
      <c r="C110" s="221"/>
      <c r="D110" s="221"/>
      <c r="E110" s="221"/>
      <c r="F110" s="221"/>
      <c r="G110" s="221"/>
      <c r="H110" s="221"/>
      <c r="I110" s="105"/>
      <c r="J110" s="192"/>
    </row>
    <row r="111">
      <c r="A111" s="104" t="s">
        <v>390</v>
      </c>
      <c r="B111" s="104" t="s">
        <v>391</v>
      </c>
      <c r="C111" s="221"/>
      <c r="D111" s="221"/>
      <c r="E111" s="221"/>
      <c r="F111" s="221"/>
      <c r="G111" s="221"/>
      <c r="H111" s="221"/>
      <c r="I111" s="105"/>
      <c r="J111" s="192"/>
    </row>
    <row r="112">
      <c r="A112" s="229" t="s">
        <v>392</v>
      </c>
      <c r="B112" s="230"/>
      <c r="C112" s="231"/>
      <c r="D112" s="231"/>
      <c r="E112" s="231"/>
      <c r="F112" s="231"/>
      <c r="G112" s="231"/>
      <c r="H112" s="231"/>
      <c r="I112" s="230"/>
      <c r="J112" s="232"/>
    </row>
    <row r="113">
      <c r="A113" s="106" t="s">
        <v>393</v>
      </c>
      <c r="B113" s="104" t="s">
        <v>394</v>
      </c>
      <c r="C113" s="221"/>
      <c r="D113" s="221"/>
      <c r="E113" s="221"/>
      <c r="F113" s="221"/>
      <c r="G113" s="221"/>
      <c r="H113" s="221"/>
      <c r="I113" s="105"/>
      <c r="J113" s="192"/>
    </row>
    <row r="114">
      <c r="A114" s="106" t="s">
        <v>395</v>
      </c>
      <c r="B114" s="104" t="s">
        <v>396</v>
      </c>
      <c r="C114" s="221"/>
      <c r="D114" s="221"/>
      <c r="E114" s="221"/>
      <c r="F114" s="221"/>
      <c r="G114" s="221"/>
      <c r="H114" s="221"/>
      <c r="I114" s="105"/>
      <c r="J114" s="192"/>
    </row>
    <row r="115">
      <c r="A115" s="106" t="s">
        <v>397</v>
      </c>
      <c r="B115" s="104" t="s">
        <v>398</v>
      </c>
      <c r="C115" s="221"/>
      <c r="D115" s="221"/>
      <c r="E115" s="221"/>
      <c r="F115" s="221"/>
      <c r="G115" s="221"/>
      <c r="H115" s="221"/>
      <c r="I115" s="105"/>
      <c r="J115" s="192"/>
    </row>
    <row r="116">
      <c r="A116" s="106" t="s">
        <v>399</v>
      </c>
      <c r="B116" s="104" t="s">
        <v>400</v>
      </c>
      <c r="C116" s="221"/>
      <c r="D116" s="221"/>
      <c r="E116" s="221"/>
      <c r="F116" s="221"/>
      <c r="G116" s="221"/>
      <c r="H116" s="221"/>
      <c r="I116" s="105"/>
      <c r="J116" s="192"/>
    </row>
    <row r="117">
      <c r="A117" s="130" t="s">
        <v>97</v>
      </c>
      <c r="B117" s="234"/>
      <c r="C117" s="235"/>
      <c r="D117" s="235"/>
      <c r="E117" s="235"/>
      <c r="F117" s="235"/>
      <c r="G117" s="235"/>
      <c r="H117" s="235"/>
      <c r="I117" s="234"/>
      <c r="J117" s="192"/>
    </row>
    <row r="118">
      <c r="A118" s="104" t="s">
        <v>98</v>
      </c>
      <c r="B118" s="104" t="s">
        <v>401</v>
      </c>
      <c r="C118" s="221"/>
      <c r="D118" s="221"/>
      <c r="E118" s="221"/>
      <c r="F118" s="221"/>
      <c r="G118" s="221"/>
      <c r="H118" s="221"/>
      <c r="I118" s="104" t="s">
        <v>402</v>
      </c>
      <c r="J118" s="153" t="s">
        <v>174</v>
      </c>
    </row>
    <row r="119">
      <c r="A119" s="104" t="s">
        <v>99</v>
      </c>
      <c r="B119" s="104" t="s">
        <v>403</v>
      </c>
      <c r="C119" s="221"/>
      <c r="D119" s="221"/>
      <c r="E119" s="221"/>
      <c r="F119" s="221"/>
      <c r="G119" s="221"/>
      <c r="H119" s="221"/>
      <c r="I119" s="104" t="s">
        <v>404</v>
      </c>
      <c r="J119" s="153" t="s">
        <v>174</v>
      </c>
    </row>
    <row r="120">
      <c r="A120" s="104" t="s">
        <v>100</v>
      </c>
      <c r="B120" s="104" t="s">
        <v>405</v>
      </c>
      <c r="C120" s="221"/>
      <c r="D120" s="221"/>
      <c r="E120" s="221"/>
      <c r="F120" s="221"/>
      <c r="G120" s="221"/>
      <c r="H120" s="221"/>
      <c r="I120" s="104" t="s">
        <v>406</v>
      </c>
      <c r="J120" s="153" t="s">
        <v>174</v>
      </c>
    </row>
    <row r="121">
      <c r="A121" s="104" t="s">
        <v>102</v>
      </c>
      <c r="B121" s="104" t="s">
        <v>407</v>
      </c>
      <c r="C121" s="221"/>
      <c r="D121" s="221"/>
      <c r="E121" s="221"/>
      <c r="F121" s="221"/>
      <c r="G121" s="221"/>
      <c r="H121" s="221"/>
      <c r="I121" s="104" t="s">
        <v>408</v>
      </c>
      <c r="J121" s="236" t="s">
        <v>174</v>
      </c>
    </row>
    <row r="122">
      <c r="A122" s="104" t="s">
        <v>103</v>
      </c>
      <c r="B122" s="104" t="s">
        <v>409</v>
      </c>
      <c r="C122" s="104" t="s">
        <v>409</v>
      </c>
      <c r="D122" s="221"/>
      <c r="E122" s="221"/>
      <c r="F122" s="221"/>
      <c r="G122" s="221"/>
      <c r="H122" s="221"/>
      <c r="I122" s="104" t="s">
        <v>410</v>
      </c>
      <c r="J122" s="153" t="s">
        <v>174</v>
      </c>
    </row>
    <row r="123">
      <c r="A123" s="104" t="s">
        <v>411</v>
      </c>
      <c r="B123" s="104" t="s">
        <v>412</v>
      </c>
      <c r="C123" s="221"/>
      <c r="D123" s="221"/>
      <c r="E123" s="221"/>
      <c r="F123" s="221"/>
      <c r="G123" s="221"/>
      <c r="H123" s="221"/>
      <c r="I123" s="105"/>
      <c r="J123" s="178"/>
    </row>
    <row r="124">
      <c r="A124" s="104" t="s">
        <v>413</v>
      </c>
      <c r="B124" s="104" t="s">
        <v>414</v>
      </c>
      <c r="C124" s="221"/>
      <c r="D124" s="221"/>
      <c r="E124" s="221"/>
      <c r="F124" s="221"/>
      <c r="G124" s="221"/>
      <c r="H124" s="221"/>
      <c r="I124" s="105"/>
      <c r="J124" s="178"/>
    </row>
    <row r="125">
      <c r="A125" s="104" t="s">
        <v>415</v>
      </c>
      <c r="B125" s="104" t="s">
        <v>416</v>
      </c>
      <c r="C125" s="221"/>
      <c r="D125" s="221"/>
      <c r="E125" s="221"/>
      <c r="F125" s="221"/>
      <c r="G125" s="221"/>
      <c r="H125" s="221"/>
      <c r="I125" s="105"/>
      <c r="J125" s="178"/>
    </row>
    <row r="126">
      <c r="A126" s="104" t="s">
        <v>417</v>
      </c>
      <c r="B126" s="104" t="s">
        <v>418</v>
      </c>
      <c r="C126" s="221"/>
      <c r="D126" s="221"/>
      <c r="E126" s="221"/>
      <c r="F126" s="221"/>
      <c r="G126" s="221"/>
      <c r="H126" s="221"/>
      <c r="I126" s="105"/>
      <c r="J126" s="178"/>
    </row>
    <row r="127">
      <c r="A127" s="104" t="s">
        <v>419</v>
      </c>
      <c r="B127" s="104" t="s">
        <v>420</v>
      </c>
      <c r="C127" s="221"/>
      <c r="D127" s="221"/>
      <c r="E127" s="221"/>
      <c r="F127" s="221"/>
      <c r="G127" s="221"/>
      <c r="H127" s="221"/>
      <c r="I127" s="105"/>
      <c r="J127" s="178"/>
    </row>
    <row r="128">
      <c r="A128" s="104" t="s">
        <v>421</v>
      </c>
      <c r="B128" s="104" t="s">
        <v>422</v>
      </c>
      <c r="C128" s="221"/>
      <c r="D128" s="221"/>
      <c r="E128" s="221"/>
      <c r="F128" s="221"/>
      <c r="G128" s="221"/>
      <c r="H128" s="221"/>
      <c r="I128" s="105"/>
      <c r="J128" s="178"/>
    </row>
    <row r="129">
      <c r="A129" s="104" t="s">
        <v>423</v>
      </c>
      <c r="B129" s="104" t="s">
        <v>424</v>
      </c>
      <c r="C129" s="221"/>
      <c r="D129" s="221"/>
      <c r="E129" s="221"/>
      <c r="F129" s="221"/>
      <c r="G129" s="221"/>
      <c r="H129" s="221"/>
      <c r="I129" s="105"/>
      <c r="J129" s="178"/>
    </row>
    <row r="130">
      <c r="A130" s="104" t="s">
        <v>425</v>
      </c>
      <c r="B130" s="104" t="s">
        <v>426</v>
      </c>
      <c r="C130" s="221"/>
      <c r="D130" s="221"/>
      <c r="E130" s="221"/>
      <c r="F130" s="221"/>
      <c r="G130" s="221"/>
      <c r="H130" s="221"/>
      <c r="I130" s="105"/>
      <c r="J130" s="178"/>
    </row>
    <row r="131">
      <c r="A131" s="146" t="s">
        <v>427</v>
      </c>
      <c r="B131" s="222"/>
      <c r="C131" s="223"/>
      <c r="D131" s="223"/>
      <c r="E131" s="223"/>
      <c r="F131" s="223"/>
      <c r="G131" s="223"/>
      <c r="H131" s="223"/>
      <c r="I131" s="222"/>
      <c r="J131" s="178"/>
    </row>
    <row r="132">
      <c r="A132" s="104" t="s">
        <v>428</v>
      </c>
      <c r="B132" s="104" t="s">
        <v>429</v>
      </c>
      <c r="C132" s="221"/>
      <c r="D132" s="221"/>
      <c r="E132" s="221"/>
      <c r="F132" s="221"/>
      <c r="G132" s="221"/>
      <c r="H132" s="221"/>
      <c r="I132" s="105"/>
      <c r="J132" s="178"/>
    </row>
    <row r="133">
      <c r="A133" s="104" t="s">
        <v>430</v>
      </c>
      <c r="B133" s="104" t="s">
        <v>431</v>
      </c>
      <c r="C133" s="221"/>
      <c r="D133" s="221"/>
      <c r="E133" s="221"/>
      <c r="F133" s="221"/>
      <c r="G133" s="221"/>
      <c r="H133" s="221"/>
      <c r="I133" s="105"/>
      <c r="J133" s="178"/>
    </row>
    <row r="134">
      <c r="A134" s="104" t="s">
        <v>432</v>
      </c>
      <c r="B134" s="104" t="s">
        <v>433</v>
      </c>
      <c r="C134" s="221"/>
      <c r="D134" s="221"/>
      <c r="E134" s="221"/>
      <c r="F134" s="221"/>
      <c r="G134" s="221"/>
      <c r="H134" s="221"/>
      <c r="I134" s="105"/>
      <c r="J134" s="178"/>
    </row>
    <row r="135">
      <c r="A135" s="104" t="s">
        <v>434</v>
      </c>
      <c r="B135" s="104" t="s">
        <v>435</v>
      </c>
      <c r="C135" s="224"/>
      <c r="D135" s="224"/>
      <c r="E135" s="224"/>
      <c r="F135" s="224"/>
      <c r="G135" s="224"/>
      <c r="H135" s="220" t="s">
        <v>436</v>
      </c>
      <c r="I135" s="105"/>
      <c r="J135" s="178"/>
    </row>
    <row r="136">
      <c r="A136" s="104" t="s">
        <v>437</v>
      </c>
      <c r="B136" s="104" t="s">
        <v>438</v>
      </c>
      <c r="C136" s="226"/>
      <c r="D136" s="226"/>
      <c r="E136" s="226"/>
      <c r="F136" s="226"/>
      <c r="G136" s="226"/>
      <c r="H136" s="220" t="s">
        <v>439</v>
      </c>
      <c r="I136" s="105"/>
      <c r="J136" s="178"/>
    </row>
    <row r="137">
      <c r="A137" s="104" t="s">
        <v>440</v>
      </c>
      <c r="B137" s="104" t="s">
        <v>441</v>
      </c>
      <c r="C137" s="224"/>
      <c r="D137" s="224"/>
      <c r="E137" s="224"/>
      <c r="F137" s="224"/>
      <c r="G137" s="224"/>
      <c r="H137" s="220" t="s">
        <v>442</v>
      </c>
      <c r="I137" s="105"/>
      <c r="J137" s="178"/>
    </row>
    <row r="138">
      <c r="A138" s="104" t="s">
        <v>443</v>
      </c>
      <c r="B138" s="104" t="s">
        <v>444</v>
      </c>
      <c r="C138" s="226"/>
      <c r="D138" s="226"/>
      <c r="E138" s="226"/>
      <c r="F138" s="226"/>
      <c r="G138" s="226"/>
      <c r="H138" s="220" t="s">
        <v>445</v>
      </c>
      <c r="I138" s="105"/>
      <c r="J138" s="178"/>
    </row>
    <row r="139">
      <c r="A139" s="104" t="s">
        <v>446</v>
      </c>
      <c r="B139" s="104" t="s">
        <v>447</v>
      </c>
      <c r="C139" s="226"/>
      <c r="D139" s="226"/>
      <c r="E139" s="226"/>
      <c r="F139" s="226"/>
      <c r="G139" s="226"/>
      <c r="H139" s="220" t="s">
        <v>448</v>
      </c>
      <c r="I139" s="105"/>
      <c r="J139" s="178"/>
    </row>
    <row r="140">
      <c r="A140" s="104" t="s">
        <v>449</v>
      </c>
      <c r="B140" s="202" t="s">
        <v>450</v>
      </c>
      <c r="C140" s="203"/>
      <c r="D140" s="203"/>
      <c r="E140" s="203"/>
      <c r="F140" s="203"/>
      <c r="G140" s="203"/>
      <c r="H140" s="203"/>
      <c r="I140" s="207"/>
      <c r="J140" s="192"/>
    </row>
    <row r="141">
      <c r="A141" s="104" t="s">
        <v>451</v>
      </c>
      <c r="B141" s="104" t="s">
        <v>452</v>
      </c>
      <c r="C141" s="221"/>
      <c r="D141" s="221"/>
      <c r="E141" s="221"/>
      <c r="F141" s="221"/>
      <c r="G141" s="221"/>
      <c r="H141" s="221"/>
      <c r="I141" s="105"/>
      <c r="J141" s="192"/>
    </row>
    <row r="142">
      <c r="A142" s="104" t="s">
        <v>116</v>
      </c>
      <c r="B142" s="104" t="s">
        <v>453</v>
      </c>
      <c r="C142" s="221"/>
      <c r="D142" s="221"/>
      <c r="E142" s="221"/>
      <c r="F142" s="221"/>
      <c r="G142" s="221"/>
      <c r="H142" s="221"/>
      <c r="I142" s="105"/>
      <c r="J142" s="192"/>
    </row>
    <row r="143">
      <c r="A143" s="104" t="s">
        <v>114</v>
      </c>
      <c r="B143" s="104" t="s">
        <v>454</v>
      </c>
      <c r="C143" s="221"/>
      <c r="D143" s="221"/>
      <c r="E143" s="221"/>
      <c r="F143" s="221"/>
      <c r="G143" s="221"/>
      <c r="H143" s="221"/>
      <c r="I143" s="105"/>
      <c r="J143" s="192"/>
    </row>
    <row r="144">
      <c r="A144" s="104" t="s">
        <v>455</v>
      </c>
      <c r="B144" s="104" t="s">
        <v>456</v>
      </c>
      <c r="C144" s="221"/>
      <c r="D144" s="221"/>
      <c r="E144" s="221"/>
      <c r="F144" s="221"/>
      <c r="G144" s="221"/>
      <c r="H144" s="221"/>
      <c r="I144" s="105"/>
      <c r="J144" s="192"/>
    </row>
    <row r="145">
      <c r="A145" s="104" t="s">
        <v>457</v>
      </c>
      <c r="B145" s="104" t="s">
        <v>458</v>
      </c>
      <c r="C145" s="221"/>
      <c r="D145" s="221"/>
      <c r="E145" s="221"/>
      <c r="F145" s="221"/>
      <c r="G145" s="221"/>
      <c r="H145" s="221"/>
      <c r="I145" s="105"/>
      <c r="J145" s="192"/>
    </row>
    <row r="146">
      <c r="A146" s="105"/>
      <c r="B146" s="105"/>
      <c r="C146" s="221"/>
      <c r="D146" s="221"/>
      <c r="E146" s="221"/>
      <c r="F146" s="221"/>
      <c r="G146" s="221"/>
      <c r="H146" s="221"/>
      <c r="I146" s="105"/>
      <c r="J146" s="192"/>
    </row>
    <row r="147">
      <c r="A147" s="105"/>
      <c r="B147" s="105"/>
      <c r="C147" s="221"/>
      <c r="D147" s="221"/>
      <c r="E147" s="221"/>
      <c r="F147" s="221"/>
      <c r="G147" s="221"/>
      <c r="H147" s="221"/>
      <c r="I147" s="105"/>
      <c r="J147" s="192"/>
    </row>
    <row r="148">
      <c r="A148" s="237" t="s">
        <v>117</v>
      </c>
      <c r="B148" s="238"/>
      <c r="C148" s="239"/>
      <c r="D148" s="239"/>
      <c r="E148" s="239"/>
      <c r="F148" s="239"/>
      <c r="G148" s="239"/>
      <c r="H148" s="239"/>
      <c r="I148" s="238"/>
      <c r="J148" s="240"/>
    </row>
    <row r="149">
      <c r="A149" s="106" t="s">
        <v>118</v>
      </c>
      <c r="B149" s="104" t="s">
        <v>459</v>
      </c>
      <c r="C149" s="221"/>
      <c r="D149" s="221"/>
      <c r="E149" s="221"/>
      <c r="F149" s="221"/>
      <c r="G149" s="221"/>
      <c r="H149" s="221"/>
      <c r="I149" s="104" t="s">
        <v>460</v>
      </c>
      <c r="J149" s="153" t="s">
        <v>174</v>
      </c>
    </row>
    <row r="150">
      <c r="A150" s="104" t="s">
        <v>120</v>
      </c>
      <c r="B150" s="122" t="s">
        <v>461</v>
      </c>
      <c r="C150" s="221"/>
      <c r="D150" s="221"/>
      <c r="E150" s="221"/>
      <c r="F150" s="221"/>
      <c r="G150" s="221"/>
      <c r="H150" s="221"/>
      <c r="I150" s="104" t="s">
        <v>462</v>
      </c>
      <c r="J150" s="153" t="s">
        <v>174</v>
      </c>
    </row>
    <row r="151">
      <c r="A151" s="104" t="s">
        <v>121</v>
      </c>
      <c r="B151" s="104" t="s">
        <v>463</v>
      </c>
      <c r="C151" s="221"/>
      <c r="D151" s="221"/>
      <c r="E151" s="221"/>
      <c r="F151" s="221"/>
      <c r="G151" s="221"/>
      <c r="H151" s="221"/>
      <c r="I151" s="104" t="s">
        <v>464</v>
      </c>
      <c r="J151" s="153" t="s">
        <v>174</v>
      </c>
    </row>
    <row r="152">
      <c r="A152" s="104" t="s">
        <v>465</v>
      </c>
      <c r="B152" s="104" t="s">
        <v>466</v>
      </c>
      <c r="C152" s="221"/>
      <c r="D152" s="221"/>
      <c r="E152" s="221"/>
      <c r="F152" s="221"/>
      <c r="G152" s="221"/>
      <c r="H152" s="221"/>
      <c r="I152" s="104" t="s">
        <v>467</v>
      </c>
      <c r="J152" s="192"/>
    </row>
    <row r="153">
      <c r="A153" s="104" t="s">
        <v>122</v>
      </c>
      <c r="B153" s="104" t="s">
        <v>468</v>
      </c>
      <c r="C153" s="221"/>
      <c r="D153" s="221"/>
      <c r="E153" s="221"/>
      <c r="F153" s="221"/>
      <c r="G153" s="221"/>
      <c r="H153" s="221"/>
      <c r="I153" s="104" t="s">
        <v>469</v>
      </c>
      <c r="J153" s="192"/>
    </row>
    <row r="154">
      <c r="A154" s="104" t="s">
        <v>470</v>
      </c>
      <c r="B154" s="104" t="s">
        <v>471</v>
      </c>
      <c r="C154" s="221"/>
      <c r="D154" s="221"/>
      <c r="E154" s="221"/>
      <c r="F154" s="221"/>
      <c r="G154" s="221"/>
      <c r="H154" s="221"/>
      <c r="I154" s="104" t="s">
        <v>472</v>
      </c>
      <c r="J154" s="192"/>
    </row>
    <row r="155">
      <c r="A155" s="104" t="s">
        <v>123</v>
      </c>
      <c r="B155" s="104" t="s">
        <v>473</v>
      </c>
      <c r="C155" s="221"/>
      <c r="D155" s="221"/>
      <c r="E155" s="221"/>
      <c r="F155" s="221"/>
      <c r="G155" s="221"/>
      <c r="H155" s="221"/>
      <c r="I155" s="104" t="s">
        <v>474</v>
      </c>
      <c r="J155" s="153" t="s">
        <v>174</v>
      </c>
    </row>
    <row r="156">
      <c r="A156" s="104" t="s">
        <v>475</v>
      </c>
      <c r="B156" s="104" t="s">
        <v>476</v>
      </c>
      <c r="C156" s="221"/>
      <c r="D156" s="221"/>
      <c r="E156" s="221"/>
      <c r="F156" s="221"/>
      <c r="G156" s="221"/>
      <c r="H156" s="221"/>
      <c r="I156" s="104" t="s">
        <v>477</v>
      </c>
      <c r="J156" s="233"/>
    </row>
    <row r="157">
      <c r="A157" s="106" t="s">
        <v>124</v>
      </c>
      <c r="B157" s="104" t="s">
        <v>478</v>
      </c>
      <c r="C157" s="221"/>
      <c r="D157" s="221"/>
      <c r="E157" s="221"/>
      <c r="F157" s="221"/>
      <c r="G157" s="221"/>
      <c r="H157" s="221"/>
      <c r="I157" s="104" t="s">
        <v>479</v>
      </c>
      <c r="J157" s="153" t="s">
        <v>174</v>
      </c>
    </row>
    <row r="158">
      <c r="A158" s="106" t="s">
        <v>125</v>
      </c>
      <c r="B158" s="104" t="s">
        <v>480</v>
      </c>
      <c r="C158" s="221"/>
      <c r="D158" s="221"/>
      <c r="E158" s="221"/>
      <c r="F158" s="221"/>
      <c r="G158" s="221"/>
      <c r="H158" s="221"/>
      <c r="I158" s="104" t="s">
        <v>481</v>
      </c>
      <c r="J158" s="153" t="s">
        <v>174</v>
      </c>
    </row>
    <row r="159">
      <c r="A159" s="104" t="s">
        <v>482</v>
      </c>
      <c r="B159" s="104" t="s">
        <v>483</v>
      </c>
      <c r="C159" s="221"/>
      <c r="D159" s="221"/>
      <c r="E159" s="221"/>
      <c r="F159" s="221"/>
      <c r="G159" s="221"/>
      <c r="H159" s="221"/>
      <c r="I159" s="105"/>
      <c r="J159" s="178"/>
    </row>
    <row r="160">
      <c r="A160" s="104" t="s">
        <v>484</v>
      </c>
      <c r="B160" s="104" t="s">
        <v>485</v>
      </c>
      <c r="C160" s="221"/>
      <c r="D160" s="221"/>
      <c r="E160" s="221"/>
      <c r="F160" s="221"/>
      <c r="G160" s="221"/>
      <c r="H160" s="221"/>
      <c r="I160" s="105"/>
      <c r="J160" s="178"/>
    </row>
    <row r="161">
      <c r="A161" s="202" t="s">
        <v>486</v>
      </c>
      <c r="B161" s="202" t="s">
        <v>487</v>
      </c>
      <c r="C161" s="221"/>
      <c r="D161" s="221"/>
      <c r="E161" s="221"/>
      <c r="F161" s="221"/>
      <c r="G161" s="221"/>
      <c r="H161" s="221"/>
      <c r="I161" s="105"/>
      <c r="J161" s="178"/>
    </row>
    <row r="162">
      <c r="A162" s="202" t="s">
        <v>488</v>
      </c>
      <c r="B162" s="202" t="s">
        <v>489</v>
      </c>
      <c r="C162" s="221"/>
      <c r="D162" s="221"/>
      <c r="E162" s="221"/>
      <c r="F162" s="221"/>
      <c r="G162" s="221"/>
      <c r="H162" s="221"/>
      <c r="I162" s="105"/>
      <c r="J162" s="178"/>
    </row>
    <row r="163">
      <c r="A163" s="208" t="s">
        <v>490</v>
      </c>
      <c r="B163" s="209"/>
      <c r="C163" s="210"/>
      <c r="D163" s="210"/>
      <c r="E163" s="210"/>
      <c r="F163" s="210"/>
      <c r="G163" s="210"/>
      <c r="H163" s="210"/>
      <c r="I163" s="209"/>
      <c r="J163" s="211"/>
    </row>
    <row r="164">
      <c r="A164" s="104" t="s">
        <v>491</v>
      </c>
      <c r="B164" s="104" t="s">
        <v>492</v>
      </c>
      <c r="C164" s="221"/>
      <c r="D164" s="221"/>
      <c r="E164" s="221"/>
      <c r="F164" s="221"/>
      <c r="G164" s="221"/>
      <c r="H164" s="221"/>
      <c r="I164" s="105"/>
      <c r="J164" s="178"/>
    </row>
    <row r="165">
      <c r="A165" s="104" t="s">
        <v>482</v>
      </c>
      <c r="B165" s="104" t="s">
        <v>493</v>
      </c>
      <c r="C165" s="221"/>
      <c r="D165" s="221"/>
      <c r="E165" s="221"/>
      <c r="F165" s="221"/>
      <c r="G165" s="221"/>
      <c r="H165" s="221"/>
      <c r="I165" s="105"/>
      <c r="J165" s="178"/>
    </row>
    <row r="166">
      <c r="A166" s="104" t="s">
        <v>484</v>
      </c>
      <c r="B166" s="104" t="s">
        <v>494</v>
      </c>
      <c r="C166" s="221"/>
      <c r="D166" s="221"/>
      <c r="E166" s="221"/>
      <c r="F166" s="221"/>
      <c r="G166" s="221"/>
      <c r="H166" s="221"/>
      <c r="I166" s="105"/>
      <c r="J166" s="178"/>
    </row>
    <row r="167">
      <c r="A167" s="104" t="s">
        <v>495</v>
      </c>
      <c r="B167" s="104" t="s">
        <v>496</v>
      </c>
      <c r="C167" s="221"/>
      <c r="D167" s="221"/>
      <c r="E167" s="221"/>
      <c r="F167" s="221"/>
      <c r="G167" s="221"/>
      <c r="H167" s="221"/>
      <c r="I167" s="105"/>
      <c r="J167" s="178"/>
    </row>
    <row r="168">
      <c r="A168" s="104" t="s">
        <v>123</v>
      </c>
      <c r="B168" s="104" t="s">
        <v>497</v>
      </c>
      <c r="C168" s="221"/>
      <c r="D168" s="221"/>
      <c r="E168" s="221"/>
      <c r="F168" s="221"/>
      <c r="G168" s="221"/>
      <c r="H168" s="221"/>
      <c r="I168" s="105"/>
      <c r="J168" s="178"/>
    </row>
    <row r="169">
      <c r="A169" s="104" t="s">
        <v>498</v>
      </c>
      <c r="B169" s="104" t="s">
        <v>499</v>
      </c>
      <c r="C169" s="221"/>
      <c r="D169" s="221"/>
      <c r="E169" s="221"/>
      <c r="F169" s="221"/>
      <c r="G169" s="221"/>
      <c r="H169" s="221"/>
      <c r="I169" s="105"/>
      <c r="J169" s="178"/>
    </row>
    <row r="170">
      <c r="A170" s="104" t="s">
        <v>120</v>
      </c>
      <c r="B170" s="122" t="s">
        <v>500</v>
      </c>
      <c r="C170" s="221"/>
      <c r="D170" s="221"/>
      <c r="E170" s="221"/>
      <c r="F170" s="221"/>
      <c r="G170" s="221"/>
      <c r="H170" s="221"/>
      <c r="I170" s="105"/>
      <c r="J170" s="178"/>
    </row>
    <row r="171">
      <c r="A171" s="146" t="s">
        <v>128</v>
      </c>
      <c r="B171" s="222"/>
      <c r="C171" s="223"/>
      <c r="D171" s="223"/>
      <c r="E171" s="223"/>
      <c r="F171" s="223"/>
      <c r="G171" s="223"/>
      <c r="H171" s="223"/>
      <c r="I171" s="222"/>
      <c r="J171" s="241"/>
    </row>
    <row r="172">
      <c r="A172" s="104" t="s">
        <v>129</v>
      </c>
      <c r="B172" s="104" t="s">
        <v>501</v>
      </c>
      <c r="C172" s="221"/>
      <c r="D172" s="221"/>
      <c r="E172" s="221"/>
      <c r="F172" s="221"/>
      <c r="G172" s="221"/>
      <c r="H172" s="221"/>
      <c r="I172" s="105"/>
      <c r="J172" s="192"/>
    </row>
    <row r="173">
      <c r="A173" s="104" t="s">
        <v>130</v>
      </c>
      <c r="B173" s="104" t="s">
        <v>502</v>
      </c>
      <c r="C173" s="221"/>
      <c r="D173" s="221"/>
      <c r="E173" s="221"/>
      <c r="F173" s="221"/>
      <c r="G173" s="221"/>
      <c r="H173" s="221"/>
      <c r="I173" s="105"/>
      <c r="J173" s="192"/>
    </row>
    <row r="174">
      <c r="A174" s="104" t="s">
        <v>132</v>
      </c>
      <c r="B174" s="104" t="s">
        <v>503</v>
      </c>
      <c r="C174" s="221"/>
      <c r="D174" s="221"/>
      <c r="E174" s="221"/>
      <c r="F174" s="221"/>
      <c r="G174" s="221"/>
      <c r="H174" s="221"/>
      <c r="I174" s="105"/>
      <c r="J174" s="192"/>
    </row>
    <row r="175">
      <c r="A175" s="104" t="s">
        <v>504</v>
      </c>
      <c r="B175" s="104" t="s">
        <v>505</v>
      </c>
      <c r="C175" s="221"/>
      <c r="D175" s="221"/>
      <c r="E175" s="221"/>
      <c r="F175" s="221"/>
      <c r="G175" s="221"/>
      <c r="H175" s="221"/>
      <c r="I175" s="105"/>
      <c r="J175" s="192"/>
    </row>
    <row r="176">
      <c r="A176" s="104" t="s">
        <v>506</v>
      </c>
      <c r="B176" s="104" t="s">
        <v>507</v>
      </c>
      <c r="C176" s="224"/>
      <c r="D176" s="224"/>
      <c r="E176" s="224"/>
      <c r="F176" s="224"/>
      <c r="G176" s="224"/>
      <c r="H176" s="220" t="s">
        <v>508</v>
      </c>
      <c r="I176" s="105"/>
      <c r="J176" s="192"/>
    </row>
    <row r="177">
      <c r="A177" s="104" t="s">
        <v>509</v>
      </c>
      <c r="B177" s="242" t="s">
        <v>510</v>
      </c>
      <c r="C177" s="243"/>
      <c r="D177" s="243"/>
      <c r="E177" s="243"/>
      <c r="F177" s="243"/>
      <c r="G177" s="243"/>
      <c r="H177" s="244" t="s">
        <v>511</v>
      </c>
      <c r="I177" s="245"/>
      <c r="J177" s="192"/>
    </row>
    <row r="178">
      <c r="A178" s="104" t="s">
        <v>512</v>
      </c>
      <c r="B178" s="104" t="s">
        <v>513</v>
      </c>
      <c r="C178" s="221"/>
      <c r="D178" s="221"/>
      <c r="E178" s="221"/>
      <c r="F178" s="221"/>
      <c r="G178" s="221"/>
      <c r="H178" s="221"/>
      <c r="I178" s="105"/>
      <c r="J178" s="192"/>
    </row>
    <row r="179">
      <c r="A179" s="242" t="s">
        <v>514</v>
      </c>
      <c r="B179" s="104" t="s">
        <v>515</v>
      </c>
      <c r="C179" s="221"/>
      <c r="D179" s="221"/>
      <c r="E179" s="221"/>
      <c r="F179" s="221"/>
      <c r="G179" s="221"/>
      <c r="H179" s="221"/>
      <c r="I179" s="105"/>
      <c r="J179" s="192"/>
    </row>
    <row r="180">
      <c r="A180" s="153" t="s">
        <v>516</v>
      </c>
      <c r="B180" s="104" t="s">
        <v>517</v>
      </c>
      <c r="C180" s="224"/>
      <c r="D180" s="224"/>
      <c r="E180" s="224"/>
      <c r="F180" s="224"/>
      <c r="G180" s="224"/>
      <c r="H180" s="220" t="s">
        <v>518</v>
      </c>
      <c r="I180" s="105"/>
      <c r="J180" s="192"/>
    </row>
    <row r="181">
      <c r="A181" s="104" t="s">
        <v>519</v>
      </c>
      <c r="B181" s="104" t="s">
        <v>520</v>
      </c>
      <c r="C181" s="226"/>
      <c r="D181" s="226"/>
      <c r="E181" s="226"/>
      <c r="F181" s="226"/>
      <c r="G181" s="226"/>
      <c r="H181" s="220" t="s">
        <v>521</v>
      </c>
      <c r="I181" s="105"/>
      <c r="J181" s="192"/>
    </row>
    <row r="182">
      <c r="A182" s="104" t="s">
        <v>522</v>
      </c>
      <c r="B182" s="242" t="s">
        <v>523</v>
      </c>
      <c r="C182" s="243"/>
      <c r="D182" s="243"/>
      <c r="E182" s="243"/>
      <c r="F182" s="243"/>
      <c r="G182" s="243"/>
      <c r="H182" s="244" t="s">
        <v>524</v>
      </c>
      <c r="I182" s="245"/>
      <c r="J182" s="192"/>
    </row>
    <row r="183">
      <c r="A183" s="104" t="s">
        <v>525</v>
      </c>
      <c r="B183" s="104" t="s">
        <v>526</v>
      </c>
      <c r="C183" s="226"/>
      <c r="D183" s="226"/>
      <c r="E183" s="226"/>
      <c r="F183" s="226"/>
      <c r="G183" s="226"/>
      <c r="H183" s="220" t="s">
        <v>527</v>
      </c>
      <c r="I183" s="105"/>
      <c r="J183" s="192"/>
    </row>
    <row r="184">
      <c r="A184" s="104" t="s">
        <v>528</v>
      </c>
      <c r="B184" s="104" t="s">
        <v>529</v>
      </c>
      <c r="C184" s="226"/>
      <c r="D184" s="226"/>
      <c r="E184" s="226"/>
      <c r="F184" s="226"/>
      <c r="G184" s="226"/>
      <c r="H184" s="220" t="s">
        <v>530</v>
      </c>
      <c r="I184" s="105"/>
      <c r="J184" s="192"/>
    </row>
    <row r="185">
      <c r="A185" s="104" t="s">
        <v>531</v>
      </c>
      <c r="B185" s="104" t="s">
        <v>532</v>
      </c>
      <c r="C185" s="224"/>
      <c r="D185" s="224"/>
      <c r="E185" s="224"/>
      <c r="F185" s="224"/>
      <c r="G185" s="224"/>
      <c r="H185" s="220" t="s">
        <v>533</v>
      </c>
      <c r="I185" s="105"/>
      <c r="J185" s="192"/>
    </row>
    <row r="186">
      <c r="A186" s="242" t="s">
        <v>534</v>
      </c>
      <c r="B186" s="242" t="s">
        <v>535</v>
      </c>
      <c r="C186" s="243"/>
      <c r="D186" s="243"/>
      <c r="E186" s="243"/>
      <c r="F186" s="243"/>
      <c r="G186" s="243"/>
      <c r="H186" s="244" t="s">
        <v>536</v>
      </c>
      <c r="I186" s="245"/>
      <c r="J186" s="192"/>
    </row>
    <row r="187">
      <c r="A187" s="242" t="s">
        <v>133</v>
      </c>
      <c r="B187" s="104" t="s">
        <v>537</v>
      </c>
      <c r="C187" s="226"/>
      <c r="D187" s="226"/>
      <c r="E187" s="226"/>
      <c r="F187" s="226"/>
      <c r="G187" s="226"/>
      <c r="H187" s="221"/>
      <c r="I187" s="105"/>
      <c r="J187" s="192"/>
    </row>
    <row r="188">
      <c r="A188" s="105"/>
      <c r="B188" s="105"/>
      <c r="C188" s="226"/>
      <c r="D188" s="226"/>
      <c r="E188" s="226"/>
      <c r="F188" s="226"/>
      <c r="G188" s="226"/>
      <c r="H188" s="221"/>
      <c r="I188" s="105"/>
      <c r="J188" s="192"/>
    </row>
    <row r="189">
      <c r="A189" s="173" t="s">
        <v>538</v>
      </c>
      <c r="B189" s="173" t="s">
        <v>539</v>
      </c>
      <c r="C189" s="226"/>
      <c r="D189" s="226"/>
      <c r="E189" s="226"/>
      <c r="F189" s="226"/>
      <c r="G189" s="226"/>
      <c r="H189" s="221"/>
      <c r="I189" s="105"/>
      <c r="J189" s="192"/>
    </row>
    <row r="190">
      <c r="A190" s="229" t="s">
        <v>126</v>
      </c>
      <c r="B190" s="230"/>
      <c r="C190" s="231"/>
      <c r="D190" s="231"/>
      <c r="E190" s="231"/>
      <c r="F190" s="231"/>
      <c r="G190" s="231"/>
      <c r="H190" s="231"/>
      <c r="I190" s="230"/>
      <c r="J190" s="232"/>
    </row>
    <row r="191">
      <c r="A191" s="104" t="s">
        <v>540</v>
      </c>
      <c r="B191" s="104" t="s">
        <v>541</v>
      </c>
      <c r="C191" s="226"/>
      <c r="D191" s="226"/>
      <c r="E191" s="226"/>
      <c r="F191" s="226"/>
      <c r="G191" s="226"/>
      <c r="H191" s="221"/>
      <c r="I191" s="105"/>
      <c r="J191" s="192"/>
    </row>
    <row r="192">
      <c r="A192" s="104" t="s">
        <v>542</v>
      </c>
      <c r="B192" s="104" t="s">
        <v>543</v>
      </c>
      <c r="C192" s="226"/>
      <c r="D192" s="226"/>
      <c r="E192" s="226"/>
      <c r="F192" s="226"/>
      <c r="G192" s="226"/>
      <c r="H192" s="221"/>
      <c r="I192" s="105"/>
      <c r="J192" s="192"/>
    </row>
    <row r="193">
      <c r="A193" s="104" t="s">
        <v>544</v>
      </c>
      <c r="B193" s="104" t="s">
        <v>545</v>
      </c>
      <c r="C193" s="226"/>
      <c r="D193" s="226"/>
      <c r="E193" s="226"/>
      <c r="F193" s="226"/>
      <c r="G193" s="226"/>
      <c r="H193" s="221"/>
      <c r="I193" s="105"/>
      <c r="J193" s="192"/>
    </row>
    <row r="194">
      <c r="A194" s="104" t="s">
        <v>546</v>
      </c>
      <c r="B194" s="104" t="s">
        <v>547</v>
      </c>
      <c r="C194" s="226"/>
      <c r="D194" s="226"/>
      <c r="E194" s="226"/>
      <c r="F194" s="226"/>
      <c r="G194" s="226"/>
      <c r="H194" s="221"/>
      <c r="I194" s="105"/>
      <c r="J194" s="192"/>
    </row>
    <row r="195">
      <c r="A195" s="104" t="s">
        <v>548</v>
      </c>
      <c r="B195" s="104" t="s">
        <v>549</v>
      </c>
      <c r="C195" s="226"/>
      <c r="D195" s="226"/>
      <c r="E195" s="226"/>
      <c r="F195" s="226"/>
      <c r="G195" s="226"/>
      <c r="H195" s="221"/>
      <c r="I195" s="105"/>
      <c r="J195" s="192"/>
    </row>
    <row r="196">
      <c r="A196" s="104" t="s">
        <v>550</v>
      </c>
      <c r="B196" s="104" t="s">
        <v>551</v>
      </c>
      <c r="C196" s="226"/>
      <c r="D196" s="226"/>
      <c r="E196" s="226"/>
      <c r="F196" s="226"/>
      <c r="G196" s="226"/>
      <c r="H196" s="221"/>
      <c r="I196" s="105"/>
      <c r="J196" s="192"/>
    </row>
    <row r="197">
      <c r="A197" s="104" t="s">
        <v>552</v>
      </c>
      <c r="B197" s="104" t="s">
        <v>553</v>
      </c>
      <c r="C197" s="226"/>
      <c r="D197" s="226"/>
      <c r="E197" s="226"/>
      <c r="F197" s="226"/>
      <c r="G197" s="226"/>
      <c r="H197" s="221"/>
      <c r="I197" s="105"/>
      <c r="J197" s="192"/>
    </row>
    <row r="198">
      <c r="A198" s="104" t="s">
        <v>554</v>
      </c>
      <c r="B198" s="104" t="s">
        <v>555</v>
      </c>
      <c r="C198" s="226"/>
      <c r="D198" s="226"/>
      <c r="E198" s="226"/>
      <c r="F198" s="226"/>
      <c r="G198" s="226"/>
      <c r="H198" s="221"/>
      <c r="I198" s="105"/>
      <c r="J198" s="192"/>
    </row>
    <row r="199">
      <c r="A199" s="104" t="s">
        <v>556</v>
      </c>
      <c r="B199" s="104" t="s">
        <v>557</v>
      </c>
      <c r="C199" s="226"/>
      <c r="D199" s="226"/>
      <c r="E199" s="226"/>
      <c r="F199" s="226"/>
      <c r="G199" s="226"/>
      <c r="H199" s="221"/>
      <c r="I199" s="105"/>
      <c r="J199" s="192"/>
    </row>
    <row r="200">
      <c r="A200" s="104" t="s">
        <v>558</v>
      </c>
      <c r="B200" s="104" t="s">
        <v>559</v>
      </c>
      <c r="C200" s="226"/>
      <c r="D200" s="226"/>
      <c r="E200" s="226"/>
      <c r="F200" s="226"/>
      <c r="G200" s="226"/>
      <c r="H200" s="221"/>
      <c r="I200" s="105"/>
      <c r="J200" s="192"/>
    </row>
    <row r="201">
      <c r="A201" s="104" t="s">
        <v>560</v>
      </c>
      <c r="B201" s="104" t="s">
        <v>561</v>
      </c>
      <c r="C201" s="226"/>
      <c r="D201" s="226"/>
      <c r="E201" s="226"/>
      <c r="F201" s="226"/>
      <c r="G201" s="226"/>
      <c r="H201" s="221"/>
      <c r="I201" s="105"/>
      <c r="J201" s="192"/>
    </row>
    <row r="202">
      <c r="A202" s="104" t="s">
        <v>562</v>
      </c>
      <c r="B202" s="104" t="s">
        <v>563</v>
      </c>
      <c r="C202" s="226"/>
      <c r="D202" s="226"/>
      <c r="E202" s="226"/>
      <c r="F202" s="226"/>
      <c r="G202" s="226"/>
      <c r="H202" s="221"/>
      <c r="I202" s="105"/>
      <c r="J202" s="192"/>
    </row>
    <row r="203">
      <c r="A203" s="104" t="s">
        <v>564</v>
      </c>
      <c r="B203" s="104" t="s">
        <v>565</v>
      </c>
      <c r="C203" s="226"/>
      <c r="D203" s="226"/>
      <c r="E203" s="226"/>
      <c r="F203" s="226"/>
      <c r="G203" s="226"/>
      <c r="H203" s="221"/>
      <c r="I203" s="105"/>
      <c r="J203" s="192"/>
    </row>
    <row r="204">
      <c r="A204" s="104" t="s">
        <v>566</v>
      </c>
      <c r="B204" s="104" t="s">
        <v>567</v>
      </c>
      <c r="C204" s="226"/>
      <c r="D204" s="226"/>
      <c r="E204" s="226"/>
      <c r="F204" s="226"/>
      <c r="G204" s="226"/>
      <c r="H204" s="221"/>
      <c r="I204" s="105"/>
      <c r="J204" s="192"/>
    </row>
    <row r="205">
      <c r="A205" s="104" t="s">
        <v>568</v>
      </c>
      <c r="B205" s="104" t="s">
        <v>569</v>
      </c>
      <c r="C205" s="226"/>
      <c r="D205" s="226"/>
      <c r="E205" s="226"/>
      <c r="F205" s="226"/>
      <c r="G205" s="226"/>
      <c r="H205" s="221"/>
      <c r="I205" s="105"/>
      <c r="J205" s="192"/>
    </row>
    <row r="206">
      <c r="A206" s="104" t="s">
        <v>570</v>
      </c>
      <c r="B206" s="104" t="s">
        <v>571</v>
      </c>
      <c r="C206" s="226"/>
      <c r="D206" s="226"/>
      <c r="E206" s="226"/>
      <c r="F206" s="226"/>
      <c r="G206" s="226"/>
      <c r="H206" s="221"/>
      <c r="I206" s="105"/>
      <c r="J206" s="192"/>
    </row>
    <row r="207">
      <c r="A207" s="104" t="s">
        <v>572</v>
      </c>
      <c r="B207" s="104" t="s">
        <v>573</v>
      </c>
      <c r="C207" s="226"/>
      <c r="D207" s="226"/>
      <c r="E207" s="226"/>
      <c r="F207" s="226"/>
      <c r="G207" s="226"/>
      <c r="H207" s="221"/>
      <c r="I207" s="105"/>
      <c r="J207" s="192"/>
    </row>
    <row r="208">
      <c r="A208" s="104" t="s">
        <v>574</v>
      </c>
      <c r="B208" s="104" t="s">
        <v>575</v>
      </c>
      <c r="C208" s="226"/>
      <c r="D208" s="226"/>
      <c r="E208" s="226"/>
      <c r="F208" s="226"/>
      <c r="G208" s="226"/>
      <c r="H208" s="221"/>
      <c r="I208" s="105"/>
      <c r="J208" s="192"/>
    </row>
    <row r="209">
      <c r="A209" s="104" t="s">
        <v>576</v>
      </c>
      <c r="B209" s="104" t="s">
        <v>577</v>
      </c>
      <c r="C209" s="226"/>
      <c r="D209" s="226"/>
      <c r="E209" s="226"/>
      <c r="F209" s="226"/>
      <c r="G209" s="226"/>
      <c r="H209" s="221"/>
      <c r="I209" s="105"/>
      <c r="J209" s="192"/>
    </row>
    <row r="210">
      <c r="A210" s="104" t="s">
        <v>578</v>
      </c>
      <c r="B210" s="104" t="s">
        <v>579</v>
      </c>
      <c r="C210" s="226"/>
      <c r="D210" s="226"/>
      <c r="E210" s="226"/>
      <c r="F210" s="226"/>
      <c r="G210" s="226"/>
      <c r="H210" s="221"/>
      <c r="I210" s="105"/>
      <c r="J210" s="192"/>
    </row>
    <row r="211">
      <c r="A211" s="104" t="s">
        <v>580</v>
      </c>
      <c r="B211" s="104" t="s">
        <v>581</v>
      </c>
      <c r="C211" s="226"/>
      <c r="D211" s="226"/>
      <c r="E211" s="226"/>
      <c r="F211" s="226"/>
      <c r="G211" s="226"/>
      <c r="H211" s="221"/>
      <c r="I211" s="105"/>
      <c r="J211" s="192"/>
    </row>
    <row r="212">
      <c r="A212" s="246" t="s">
        <v>582</v>
      </c>
      <c r="B212" s="247"/>
      <c r="C212" s="248"/>
      <c r="D212" s="248"/>
      <c r="E212" s="248"/>
      <c r="F212" s="248"/>
      <c r="G212" s="248"/>
      <c r="H212" s="249"/>
      <c r="I212" s="247"/>
      <c r="J212" s="250"/>
    </row>
    <row r="213">
      <c r="A213" s="104" t="s">
        <v>583</v>
      </c>
      <c r="B213" s="104" t="s">
        <v>584</v>
      </c>
      <c r="C213" s="226"/>
      <c r="D213" s="226"/>
      <c r="E213" s="226"/>
      <c r="F213" s="226"/>
      <c r="G213" s="226"/>
      <c r="H213" s="221"/>
      <c r="I213" s="105"/>
      <c r="J213" s="192"/>
    </row>
    <row r="214">
      <c r="A214" s="104" t="s">
        <v>585</v>
      </c>
      <c r="B214" s="104" t="s">
        <v>586</v>
      </c>
      <c r="C214" s="226"/>
      <c r="D214" s="226"/>
      <c r="E214" s="226"/>
      <c r="F214" s="226"/>
      <c r="G214" s="226"/>
      <c r="H214" s="221"/>
      <c r="I214" s="105"/>
      <c r="J214" s="192"/>
    </row>
    <row r="215">
      <c r="A215" s="104" t="s">
        <v>587</v>
      </c>
      <c r="B215" s="104" t="s">
        <v>588</v>
      </c>
      <c r="C215" s="226"/>
      <c r="D215" s="226"/>
      <c r="E215" s="226"/>
      <c r="F215" s="226"/>
      <c r="G215" s="226"/>
      <c r="H215" s="221"/>
      <c r="I215" s="105"/>
      <c r="J215" s="192"/>
    </row>
    <row r="216">
      <c r="A216" s="104" t="s">
        <v>589</v>
      </c>
      <c r="B216" s="104" t="s">
        <v>590</v>
      </c>
      <c r="C216" s="226"/>
      <c r="D216" s="226"/>
      <c r="E216" s="226"/>
      <c r="F216" s="226"/>
      <c r="G216" s="226"/>
      <c r="H216" s="221"/>
      <c r="I216" s="105"/>
      <c r="J216" s="192"/>
    </row>
    <row r="217">
      <c r="A217" s="104" t="s">
        <v>591</v>
      </c>
      <c r="B217" s="104" t="s">
        <v>592</v>
      </c>
      <c r="C217" s="226"/>
      <c r="D217" s="226"/>
      <c r="E217" s="226"/>
      <c r="F217" s="226"/>
      <c r="G217" s="226"/>
      <c r="H217" s="221"/>
      <c r="I217" s="105"/>
      <c r="J217" s="192"/>
    </row>
    <row r="218">
      <c r="A218" s="104" t="s">
        <v>593</v>
      </c>
      <c r="B218" s="104" t="s">
        <v>594</v>
      </c>
      <c r="C218" s="226"/>
      <c r="D218" s="226"/>
      <c r="E218" s="226"/>
      <c r="F218" s="226"/>
      <c r="G218" s="226"/>
      <c r="H218" s="221"/>
      <c r="I218" s="105"/>
      <c r="J218" s="192"/>
    </row>
    <row r="219">
      <c r="A219" s="251" t="s">
        <v>149</v>
      </c>
      <c r="B219" s="252"/>
      <c r="C219" s="253"/>
      <c r="D219" s="253"/>
      <c r="E219" s="253"/>
      <c r="F219" s="253"/>
      <c r="G219" s="253"/>
      <c r="H219" s="254"/>
      <c r="I219" s="252"/>
      <c r="J219" s="255"/>
    </row>
    <row r="220">
      <c r="A220" s="104" t="s">
        <v>150</v>
      </c>
      <c r="B220" s="106" t="s">
        <v>595</v>
      </c>
      <c r="C220" s="226"/>
      <c r="D220" s="226"/>
      <c r="E220" s="226"/>
      <c r="F220" s="226"/>
      <c r="G220" s="226"/>
      <c r="H220" s="221"/>
      <c r="I220" s="105"/>
      <c r="J220" s="192"/>
    </row>
    <row r="221">
      <c r="A221" s="104" t="s">
        <v>151</v>
      </c>
      <c r="B221" s="106" t="s">
        <v>596</v>
      </c>
      <c r="C221" s="226"/>
      <c r="D221" s="226"/>
      <c r="E221" s="226"/>
      <c r="F221" s="226"/>
      <c r="G221" s="226"/>
      <c r="H221" s="221"/>
      <c r="I221" s="105"/>
      <c r="J221" s="192"/>
    </row>
    <row r="222">
      <c r="A222" s="104" t="s">
        <v>152</v>
      </c>
      <c r="B222" s="106" t="s">
        <v>597</v>
      </c>
      <c r="C222" s="226"/>
      <c r="D222" s="226"/>
      <c r="E222" s="226"/>
      <c r="F222" s="226"/>
      <c r="G222" s="226"/>
      <c r="H222" s="221"/>
      <c r="I222" s="105"/>
      <c r="J222" s="192"/>
    </row>
    <row r="223">
      <c r="A223" s="104" t="s">
        <v>598</v>
      </c>
      <c r="B223" s="106" t="s">
        <v>599</v>
      </c>
      <c r="C223" s="226"/>
      <c r="D223" s="226"/>
      <c r="E223" s="226"/>
      <c r="F223" s="226"/>
      <c r="G223" s="226"/>
      <c r="H223" s="221"/>
      <c r="I223" s="105"/>
      <c r="J223" s="192"/>
    </row>
    <row r="224">
      <c r="A224" s="104" t="s">
        <v>600</v>
      </c>
      <c r="B224" s="106" t="s">
        <v>601</v>
      </c>
      <c r="C224" s="226"/>
      <c r="D224" s="226"/>
      <c r="E224" s="226"/>
      <c r="F224" s="226"/>
      <c r="G224" s="226"/>
      <c r="H224" s="221"/>
      <c r="I224" s="105"/>
      <c r="J224" s="192"/>
    </row>
    <row r="225">
      <c r="A225" s="104" t="s">
        <v>602</v>
      </c>
      <c r="B225" s="106" t="s">
        <v>603</v>
      </c>
      <c r="C225" s="226"/>
      <c r="D225" s="226"/>
      <c r="E225" s="226"/>
      <c r="F225" s="226"/>
      <c r="G225" s="226"/>
      <c r="H225" s="221"/>
      <c r="I225" s="105"/>
      <c r="J225" s="192"/>
    </row>
    <row r="226">
      <c r="A226" s="104" t="s">
        <v>604</v>
      </c>
      <c r="B226" s="104" t="s">
        <v>605</v>
      </c>
      <c r="C226" s="226"/>
      <c r="D226" s="226"/>
      <c r="E226" s="226"/>
      <c r="F226" s="226"/>
      <c r="G226" s="226"/>
      <c r="H226" s="221"/>
      <c r="I226" s="105"/>
      <c r="J226" s="192"/>
    </row>
    <row r="227">
      <c r="A227" s="104" t="s">
        <v>606</v>
      </c>
      <c r="B227" s="104" t="s">
        <v>607</v>
      </c>
      <c r="C227" s="226"/>
      <c r="D227" s="226"/>
      <c r="E227" s="226"/>
      <c r="F227" s="226"/>
      <c r="G227" s="226"/>
      <c r="H227" s="221"/>
      <c r="I227" s="105"/>
      <c r="J227" s="192"/>
    </row>
    <row r="228">
      <c r="A228" s="104" t="s">
        <v>608</v>
      </c>
      <c r="B228" s="104" t="s">
        <v>609</v>
      </c>
      <c r="C228" s="226"/>
      <c r="D228" s="226"/>
      <c r="E228" s="226"/>
      <c r="F228" s="226"/>
      <c r="G228" s="226"/>
      <c r="H228" s="221"/>
      <c r="I228" s="105"/>
      <c r="J228" s="192"/>
    </row>
    <row r="229">
      <c r="A229" s="105"/>
      <c r="B229" s="105"/>
      <c r="C229" s="226"/>
      <c r="D229" s="226"/>
      <c r="E229" s="226"/>
      <c r="F229" s="226"/>
      <c r="G229" s="226"/>
      <c r="H229" s="221"/>
      <c r="I229" s="105"/>
      <c r="J229" s="192"/>
    </row>
    <row r="230">
      <c r="A230" s="103" t="s">
        <v>610</v>
      </c>
      <c r="B230" s="103" t="s">
        <v>611</v>
      </c>
      <c r="C230" s="226"/>
      <c r="D230" s="226"/>
      <c r="E230" s="226"/>
      <c r="F230" s="226"/>
      <c r="G230" s="226"/>
      <c r="H230" s="221"/>
      <c r="I230" s="105"/>
      <c r="J230" s="192"/>
    </row>
    <row r="231">
      <c r="A231" s="103" t="s">
        <v>612</v>
      </c>
      <c r="B231" s="103" t="s">
        <v>613</v>
      </c>
      <c r="C231" s="226"/>
      <c r="D231" s="226"/>
      <c r="E231" s="226"/>
      <c r="F231" s="226"/>
      <c r="G231" s="226"/>
      <c r="H231" s="221"/>
      <c r="I231" s="105"/>
      <c r="J231" s="192"/>
    </row>
    <row r="232">
      <c r="A232" s="103" t="s">
        <v>614</v>
      </c>
      <c r="B232" s="103" t="s">
        <v>615</v>
      </c>
      <c r="C232" s="226"/>
      <c r="D232" s="226"/>
      <c r="E232" s="226"/>
      <c r="F232" s="226"/>
      <c r="G232" s="226"/>
      <c r="H232" s="221"/>
      <c r="I232" s="105"/>
      <c r="J232" s="192"/>
    </row>
    <row r="233">
      <c r="A233" s="103" t="s">
        <v>616</v>
      </c>
      <c r="B233" s="103" t="s">
        <v>617</v>
      </c>
      <c r="C233" s="226"/>
      <c r="D233" s="226"/>
      <c r="E233" s="226"/>
      <c r="F233" s="226"/>
      <c r="G233" s="226"/>
      <c r="H233" s="221"/>
      <c r="I233" s="105"/>
      <c r="J233" s="192"/>
    </row>
    <row r="234">
      <c r="A234" s="103" t="s">
        <v>618</v>
      </c>
      <c r="B234" s="103" t="s">
        <v>619</v>
      </c>
      <c r="C234" s="226"/>
      <c r="D234" s="226"/>
      <c r="E234" s="226"/>
      <c r="F234" s="226"/>
      <c r="G234" s="226"/>
      <c r="H234" s="221"/>
      <c r="I234" s="105"/>
      <c r="J234" s="192"/>
    </row>
    <row r="235">
      <c r="A235" s="103" t="s">
        <v>620</v>
      </c>
      <c r="B235" s="103" t="s">
        <v>621</v>
      </c>
      <c r="C235" s="221"/>
      <c r="D235" s="221"/>
      <c r="E235" s="221"/>
      <c r="F235" s="221"/>
      <c r="G235" s="221"/>
      <c r="H235" s="221"/>
      <c r="I235" s="105"/>
      <c r="J235" s="233"/>
    </row>
    <row r="236">
      <c r="A236" s="256"/>
      <c r="B236" s="256"/>
      <c r="C236" s="221"/>
      <c r="D236" s="221"/>
      <c r="E236" s="221"/>
      <c r="F236" s="221"/>
      <c r="G236" s="221"/>
      <c r="H236" s="221"/>
      <c r="I236" s="105"/>
      <c r="J236" s="233"/>
    </row>
    <row r="237">
      <c r="A237" s="256"/>
      <c r="B237" s="256"/>
      <c r="C237" s="221"/>
      <c r="D237" s="221"/>
      <c r="E237" s="221"/>
      <c r="F237" s="221"/>
      <c r="G237" s="221"/>
      <c r="H237" s="221"/>
      <c r="I237" s="105"/>
      <c r="J237" s="233"/>
    </row>
    <row r="238">
      <c r="A238" s="173" t="s">
        <v>622</v>
      </c>
      <c r="B238" s="173" t="s">
        <v>623</v>
      </c>
      <c r="C238" s="221"/>
      <c r="D238" s="221"/>
      <c r="E238" s="221"/>
      <c r="F238" s="221"/>
      <c r="G238" s="221"/>
      <c r="H238" s="221"/>
      <c r="I238" s="105"/>
      <c r="J238" s="233"/>
    </row>
    <row r="239">
      <c r="A239" s="256"/>
      <c r="B239" s="256"/>
      <c r="C239" s="221"/>
      <c r="D239" s="221"/>
      <c r="E239" s="221"/>
      <c r="F239" s="221"/>
      <c r="G239" s="221"/>
      <c r="H239" s="221"/>
      <c r="I239" s="105"/>
      <c r="J239" s="233"/>
    </row>
    <row r="240">
      <c r="A240" s="256"/>
      <c r="B240" s="256"/>
      <c r="C240" s="221"/>
      <c r="D240" s="221"/>
      <c r="E240" s="221"/>
      <c r="F240" s="221"/>
      <c r="G240" s="221"/>
      <c r="H240" s="221"/>
      <c r="I240" s="105"/>
      <c r="J240" s="233"/>
    </row>
    <row r="241">
      <c r="A241" s="257"/>
      <c r="B241" s="257"/>
      <c r="C241" s="258"/>
      <c r="D241" s="258"/>
      <c r="E241" s="258"/>
      <c r="F241" s="258"/>
      <c r="G241" s="258"/>
      <c r="H241" s="258"/>
      <c r="I241" s="257"/>
      <c r="J241" s="259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</row>
    <row r="242">
      <c r="A242" s="261" t="s">
        <v>624</v>
      </c>
      <c r="B242" s="261" t="s">
        <v>625</v>
      </c>
      <c r="C242" s="221"/>
      <c r="D242" s="221"/>
      <c r="E242" s="221"/>
      <c r="F242" s="221"/>
      <c r="G242" s="221"/>
      <c r="H242" s="221"/>
      <c r="I242" s="105"/>
      <c r="J242" s="233"/>
    </row>
    <row r="243">
      <c r="A243" s="261" t="s">
        <v>626</v>
      </c>
      <c r="B243" s="261" t="s">
        <v>627</v>
      </c>
      <c r="C243" s="221"/>
      <c r="D243" s="221"/>
      <c r="E243" s="221"/>
      <c r="F243" s="221"/>
      <c r="G243" s="221"/>
      <c r="H243" s="221"/>
      <c r="I243" s="105"/>
      <c r="J243" s="233"/>
    </row>
    <row r="244">
      <c r="A244" s="261" t="s">
        <v>628</v>
      </c>
      <c r="B244" s="261" t="s">
        <v>629</v>
      </c>
      <c r="C244" s="221"/>
      <c r="D244" s="221"/>
      <c r="E244" s="221"/>
      <c r="F244" s="221"/>
      <c r="G244" s="221"/>
      <c r="H244" s="221"/>
      <c r="I244" s="105"/>
      <c r="J244" s="233"/>
    </row>
    <row r="245">
      <c r="A245" s="256"/>
      <c r="B245" s="256"/>
      <c r="C245" s="221"/>
      <c r="D245" s="221"/>
      <c r="E245" s="221"/>
      <c r="F245" s="221"/>
      <c r="G245" s="221"/>
      <c r="H245" s="221"/>
      <c r="I245" s="105"/>
      <c r="J245" s="233"/>
    </row>
    <row r="246">
      <c r="A246" s="261" t="s">
        <v>630</v>
      </c>
      <c r="B246" s="261" t="s">
        <v>631</v>
      </c>
      <c r="C246" s="221"/>
      <c r="D246" s="221"/>
      <c r="E246" s="221"/>
      <c r="F246" s="221"/>
      <c r="G246" s="221"/>
      <c r="H246" s="221"/>
      <c r="I246" s="105"/>
      <c r="J246" s="233"/>
    </row>
    <row r="247">
      <c r="A247" s="261" t="s">
        <v>632</v>
      </c>
      <c r="B247" s="261" t="s">
        <v>633</v>
      </c>
      <c r="C247" s="221"/>
      <c r="D247" s="221"/>
      <c r="E247" s="221"/>
      <c r="F247" s="221"/>
      <c r="G247" s="221"/>
      <c r="H247" s="221"/>
      <c r="I247" s="105"/>
      <c r="J247" s="233"/>
    </row>
    <row r="248">
      <c r="A248" s="256"/>
      <c r="B248" s="256"/>
      <c r="C248" s="221"/>
      <c r="D248" s="221"/>
      <c r="E248" s="221"/>
      <c r="F248" s="221"/>
      <c r="G248" s="221"/>
      <c r="H248" s="221"/>
      <c r="I248" s="105"/>
      <c r="J248" s="233"/>
    </row>
    <row r="249">
      <c r="A249" s="256"/>
      <c r="B249" s="256"/>
      <c r="C249" s="221"/>
      <c r="D249" s="221"/>
      <c r="E249" s="221"/>
      <c r="F249" s="221"/>
      <c r="G249" s="221"/>
      <c r="H249" s="221"/>
      <c r="I249" s="105"/>
      <c r="J249" s="233"/>
    </row>
    <row r="250">
      <c r="A250" s="256"/>
      <c r="B250" s="256"/>
      <c r="C250" s="221"/>
      <c r="D250" s="221"/>
      <c r="E250" s="221"/>
      <c r="F250" s="221"/>
      <c r="G250" s="221"/>
      <c r="H250" s="221"/>
      <c r="I250" s="105"/>
      <c r="J250" s="233"/>
    </row>
    <row r="251">
      <c r="A251" s="256"/>
      <c r="B251" s="256"/>
      <c r="C251" s="221"/>
      <c r="D251" s="221"/>
      <c r="E251" s="221"/>
      <c r="F251" s="221"/>
      <c r="G251" s="221"/>
      <c r="H251" s="221"/>
      <c r="I251" s="105"/>
      <c r="J251" s="233"/>
    </row>
    <row r="252">
      <c r="A252" s="256"/>
      <c r="B252" s="256"/>
      <c r="C252" s="221"/>
      <c r="D252" s="221"/>
      <c r="E252" s="221"/>
      <c r="F252" s="221"/>
      <c r="G252" s="221"/>
      <c r="H252" s="221"/>
      <c r="I252" s="105"/>
      <c r="J252" s="233"/>
    </row>
    <row r="253">
      <c r="A253" s="256"/>
      <c r="B253" s="256"/>
      <c r="C253" s="221"/>
      <c r="D253" s="221"/>
      <c r="E253" s="221"/>
      <c r="F253" s="221"/>
      <c r="G253" s="221"/>
      <c r="H253" s="221"/>
      <c r="I253" s="105"/>
      <c r="J253" s="233"/>
    </row>
    <row r="254">
      <c r="A254" s="256"/>
      <c r="B254" s="256"/>
      <c r="C254" s="221"/>
      <c r="D254" s="221"/>
      <c r="E254" s="221"/>
      <c r="F254" s="221"/>
      <c r="G254" s="221"/>
      <c r="H254" s="221"/>
      <c r="I254" s="105"/>
      <c r="J254" s="233"/>
    </row>
    <row r="255">
      <c r="A255" s="256"/>
      <c r="B255" s="256"/>
      <c r="C255" s="221"/>
      <c r="D255" s="221"/>
      <c r="E255" s="221"/>
      <c r="F255" s="221"/>
      <c r="G255" s="221"/>
      <c r="H255" s="221"/>
      <c r="I255" s="105"/>
      <c r="J255" s="233"/>
    </row>
    <row r="256">
      <c r="A256" s="256"/>
      <c r="B256" s="256"/>
      <c r="C256" s="221"/>
      <c r="D256" s="221"/>
      <c r="E256" s="221"/>
      <c r="F256" s="221"/>
      <c r="G256" s="221"/>
      <c r="H256" s="221"/>
      <c r="I256" s="105"/>
      <c r="J256" s="233"/>
    </row>
    <row r="257">
      <c r="A257" s="256"/>
      <c r="B257" s="256"/>
      <c r="C257" s="221"/>
      <c r="D257" s="221"/>
      <c r="E257" s="221"/>
      <c r="F257" s="221"/>
      <c r="G257" s="221"/>
      <c r="H257" s="221"/>
      <c r="I257" s="105"/>
      <c r="J257" s="233"/>
    </row>
    <row r="258">
      <c r="A258" s="256"/>
      <c r="B258" s="256"/>
      <c r="C258" s="221"/>
      <c r="D258" s="221"/>
      <c r="E258" s="221"/>
      <c r="F258" s="221"/>
      <c r="G258" s="221"/>
      <c r="H258" s="221"/>
      <c r="I258" s="105"/>
      <c r="J258" s="233"/>
    </row>
    <row r="259">
      <c r="A259" s="256"/>
      <c r="B259" s="256"/>
      <c r="C259" s="221"/>
      <c r="D259" s="221"/>
      <c r="E259" s="221"/>
      <c r="F259" s="221"/>
      <c r="G259" s="221"/>
      <c r="H259" s="221"/>
      <c r="I259" s="105"/>
      <c r="J259" s="233"/>
    </row>
    <row r="260">
      <c r="A260" s="256"/>
      <c r="B260" s="256"/>
      <c r="C260" s="221"/>
      <c r="D260" s="221"/>
      <c r="E260" s="221"/>
      <c r="F260" s="221"/>
      <c r="G260" s="221"/>
      <c r="H260" s="221"/>
      <c r="I260" s="105"/>
      <c r="J260" s="233"/>
    </row>
    <row r="261">
      <c r="A261" s="256"/>
      <c r="B261" s="256"/>
      <c r="C261" s="221"/>
      <c r="D261" s="221"/>
      <c r="E261" s="221"/>
      <c r="F261" s="221"/>
      <c r="G261" s="221"/>
      <c r="H261" s="221"/>
      <c r="I261" s="105"/>
      <c r="J261" s="233"/>
    </row>
    <row r="262">
      <c r="A262" s="256"/>
      <c r="B262" s="256"/>
      <c r="C262" s="221"/>
      <c r="D262" s="221"/>
      <c r="E262" s="221"/>
      <c r="F262" s="221"/>
      <c r="G262" s="221"/>
      <c r="H262" s="221"/>
      <c r="I262" s="105"/>
      <c r="J262" s="233"/>
    </row>
    <row r="263">
      <c r="A263" s="256"/>
      <c r="B263" s="256"/>
      <c r="C263" s="221"/>
      <c r="D263" s="221"/>
      <c r="E263" s="221"/>
      <c r="F263" s="221"/>
      <c r="G263" s="221"/>
      <c r="H263" s="221"/>
      <c r="I263" s="105"/>
      <c r="J263" s="233"/>
    </row>
    <row r="264">
      <c r="A264" s="256"/>
      <c r="B264" s="256"/>
      <c r="C264" s="221"/>
      <c r="D264" s="221"/>
      <c r="E264" s="221"/>
      <c r="F264" s="221"/>
      <c r="G264" s="221"/>
      <c r="H264" s="221"/>
      <c r="I264" s="105"/>
      <c r="J264" s="233"/>
    </row>
    <row r="265">
      <c r="A265" s="256"/>
      <c r="B265" s="256"/>
      <c r="C265" s="221"/>
      <c r="D265" s="221"/>
      <c r="E265" s="221"/>
      <c r="F265" s="221"/>
      <c r="G265" s="221"/>
      <c r="H265" s="221"/>
      <c r="I265" s="105"/>
      <c r="J265" s="233"/>
    </row>
    <row r="266">
      <c r="A266" s="256"/>
      <c r="B266" s="256"/>
      <c r="C266" s="221"/>
      <c r="D266" s="221"/>
      <c r="E266" s="221"/>
      <c r="F266" s="221"/>
      <c r="G266" s="221"/>
      <c r="H266" s="221"/>
      <c r="I266" s="105"/>
      <c r="J266" s="233"/>
    </row>
    <row r="267">
      <c r="A267" s="256"/>
      <c r="B267" s="256"/>
      <c r="C267" s="221"/>
      <c r="D267" s="221"/>
      <c r="E267" s="221"/>
      <c r="F267" s="221"/>
      <c r="G267" s="221"/>
      <c r="H267" s="221"/>
      <c r="I267" s="105"/>
      <c r="J267" s="233"/>
    </row>
    <row r="268">
      <c r="A268" s="256"/>
      <c r="B268" s="256"/>
      <c r="C268" s="221"/>
      <c r="D268" s="221"/>
      <c r="E268" s="221"/>
      <c r="F268" s="221"/>
      <c r="G268" s="221"/>
      <c r="H268" s="221"/>
      <c r="I268" s="105"/>
      <c r="J268" s="233"/>
    </row>
    <row r="269">
      <c r="A269" s="256"/>
      <c r="B269" s="256"/>
      <c r="C269" s="221"/>
      <c r="D269" s="221"/>
      <c r="E269" s="221"/>
      <c r="F269" s="221"/>
      <c r="G269" s="221"/>
      <c r="H269" s="221"/>
      <c r="I269" s="105"/>
      <c r="J269" s="233"/>
    </row>
    <row r="270">
      <c r="A270" s="256"/>
      <c r="B270" s="256"/>
      <c r="C270" s="221"/>
      <c r="D270" s="221"/>
      <c r="E270" s="221"/>
      <c r="F270" s="221"/>
      <c r="G270" s="221"/>
      <c r="H270" s="221"/>
      <c r="I270" s="105"/>
      <c r="J270" s="233"/>
    </row>
    <row r="271">
      <c r="A271" s="256"/>
      <c r="B271" s="256"/>
      <c r="C271" s="221"/>
      <c r="D271" s="221"/>
      <c r="E271" s="221"/>
      <c r="F271" s="221"/>
      <c r="G271" s="221"/>
      <c r="H271" s="221"/>
      <c r="I271" s="105"/>
      <c r="J271" s="233"/>
    </row>
  </sheetData>
  <mergeCells count="5">
    <mergeCell ref="A1:A3"/>
    <mergeCell ref="B1:B3"/>
    <mergeCell ref="C1:G2"/>
    <mergeCell ref="H1:H3"/>
    <mergeCell ref="I1:I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hidden="1" min="1" max="1" width="12.63"/>
    <col customWidth="1" min="2" max="2" width="52.88"/>
    <col customWidth="1" min="6" max="6" width="13.88"/>
    <col hidden="1" min="8" max="8" width="12.63"/>
  </cols>
  <sheetData>
    <row r="1">
      <c r="A1" s="262" t="s">
        <v>634</v>
      </c>
      <c r="B1" s="263" t="s">
        <v>635</v>
      </c>
      <c r="C1" s="264" t="s">
        <v>636</v>
      </c>
      <c r="D1" s="4"/>
      <c r="E1" s="4"/>
      <c r="F1" s="5"/>
      <c r="G1" s="265"/>
      <c r="H1" s="266" t="s">
        <v>637</v>
      </c>
      <c r="I1" s="267" t="s">
        <v>638</v>
      </c>
      <c r="J1" s="4"/>
      <c r="K1" s="4"/>
      <c r="L1" s="5"/>
    </row>
    <row r="2">
      <c r="A2" s="13"/>
      <c r="B2" s="13"/>
      <c r="C2" s="268" t="s">
        <v>639</v>
      </c>
      <c r="D2" s="268" t="s">
        <v>640</v>
      </c>
      <c r="E2" s="268" t="s">
        <v>641</v>
      </c>
      <c r="F2" s="268" t="s">
        <v>642</v>
      </c>
      <c r="G2" s="269"/>
      <c r="H2" s="13"/>
      <c r="I2" s="270" t="s">
        <v>639</v>
      </c>
      <c r="J2" s="270" t="s">
        <v>640</v>
      </c>
      <c r="K2" s="270" t="s">
        <v>641</v>
      </c>
      <c r="L2" s="270" t="s">
        <v>642</v>
      </c>
    </row>
    <row r="3">
      <c r="A3" s="14"/>
      <c r="B3" s="14"/>
      <c r="C3" s="271"/>
      <c r="D3" s="271"/>
      <c r="E3" s="272"/>
      <c r="F3" s="273" t="s">
        <v>643</v>
      </c>
      <c r="G3" s="269"/>
      <c r="H3" s="14"/>
      <c r="I3" s="274"/>
      <c r="J3" s="274"/>
      <c r="K3" s="275"/>
      <c r="L3" s="276" t="s">
        <v>643</v>
      </c>
    </row>
    <row r="4">
      <c r="A4" s="277"/>
      <c r="B4" s="278" t="s">
        <v>644</v>
      </c>
      <c r="C4" s="279"/>
      <c r="D4" s="279"/>
      <c r="E4" s="279"/>
      <c r="F4" s="280"/>
      <c r="G4" s="269"/>
      <c r="H4" s="277"/>
      <c r="I4" s="279"/>
      <c r="J4" s="279"/>
      <c r="K4" s="279"/>
      <c r="L4" s="279"/>
    </row>
    <row r="5">
      <c r="A5" s="281" t="s">
        <v>171</v>
      </c>
      <c r="B5" s="64" t="s">
        <v>29</v>
      </c>
      <c r="C5" s="282">
        <v>5000.0</v>
      </c>
      <c r="D5" s="282"/>
      <c r="E5" s="283"/>
      <c r="F5" s="284">
        <f>'HPP MALL'!Q5</f>
        <v>4875</v>
      </c>
      <c r="G5" s="269"/>
      <c r="H5" s="281" t="s">
        <v>645</v>
      </c>
      <c r="I5" s="282">
        <v>5000.0</v>
      </c>
      <c r="J5" s="285"/>
      <c r="K5" s="286"/>
      <c r="L5" s="287">
        <f>'HPP STAR'!Q5</f>
        <v>5000</v>
      </c>
    </row>
    <row r="6">
      <c r="A6" s="288" t="s">
        <v>175</v>
      </c>
      <c r="B6" s="64" t="s">
        <v>30</v>
      </c>
      <c r="C6" s="282">
        <v>5500.0</v>
      </c>
      <c r="D6" s="282"/>
      <c r="E6" s="283"/>
      <c r="F6" s="287">
        <f>'HPP MALL'!Q6</f>
        <v>5500</v>
      </c>
      <c r="G6" s="269"/>
      <c r="H6" s="281" t="s">
        <v>646</v>
      </c>
      <c r="I6" s="282">
        <v>5900.0</v>
      </c>
      <c r="J6" s="289"/>
      <c r="K6" s="286"/>
      <c r="L6" s="287">
        <f>'HPP STAR'!Q6</f>
        <v>5266.666667</v>
      </c>
    </row>
    <row r="7">
      <c r="A7" s="288"/>
      <c r="B7" s="77" t="s">
        <v>31</v>
      </c>
      <c r="C7" s="282">
        <v>6000.0</v>
      </c>
      <c r="D7" s="282"/>
      <c r="E7" s="286"/>
      <c r="F7" s="287">
        <f>'HPP MALL'!Q7</f>
        <v>5875</v>
      </c>
      <c r="G7" s="269"/>
      <c r="H7" s="281"/>
      <c r="I7" s="282">
        <v>6500.0</v>
      </c>
      <c r="J7" s="285"/>
      <c r="K7" s="286"/>
      <c r="L7" s="287">
        <f>'HPP STAR'!Q7</f>
        <v>5666.666667</v>
      </c>
    </row>
    <row r="8">
      <c r="A8" s="290" t="s">
        <v>207</v>
      </c>
      <c r="B8" s="77" t="s">
        <v>32</v>
      </c>
      <c r="C8" s="282">
        <v>45000.0</v>
      </c>
      <c r="D8" s="282">
        <v>37500.0</v>
      </c>
      <c r="E8" s="286"/>
      <c r="F8" s="287">
        <f>'HPP MALL'!Q8</f>
        <v>35000</v>
      </c>
      <c r="G8" s="269"/>
      <c r="H8" s="281" t="s">
        <v>647</v>
      </c>
      <c r="I8" s="282">
        <v>45000.0</v>
      </c>
      <c r="J8" s="291">
        <v>34000.0</v>
      </c>
      <c r="K8" s="286"/>
      <c r="L8" s="287">
        <f>'HPP STAR'!Q8</f>
        <v>32600</v>
      </c>
    </row>
    <row r="9">
      <c r="A9" s="290" t="s">
        <v>216</v>
      </c>
      <c r="B9" s="77" t="s">
        <v>33</v>
      </c>
      <c r="C9" s="282">
        <v>18000.0</v>
      </c>
      <c r="D9" s="286"/>
      <c r="E9" s="283"/>
      <c r="F9" s="287">
        <f>'HPP MALL'!Q9</f>
        <v>15345</v>
      </c>
      <c r="G9" s="269"/>
      <c r="H9" s="281" t="s">
        <v>648</v>
      </c>
      <c r="I9" s="282">
        <v>18000.0</v>
      </c>
      <c r="J9" s="289"/>
      <c r="K9" s="286"/>
      <c r="L9" s="287">
        <f>'HPP STAR'!Q9</f>
        <v>14500</v>
      </c>
    </row>
    <row r="10">
      <c r="A10" s="290" t="s">
        <v>215</v>
      </c>
      <c r="B10" s="77" t="s">
        <v>34</v>
      </c>
      <c r="C10" s="282">
        <v>37500.0</v>
      </c>
      <c r="D10" s="286"/>
      <c r="E10" s="283"/>
      <c r="F10" s="287">
        <f>'HPP MALL'!Q10</f>
        <v>22000</v>
      </c>
      <c r="G10" s="269"/>
      <c r="H10" s="281" t="s">
        <v>649</v>
      </c>
      <c r="I10" s="282"/>
      <c r="J10" s="289"/>
      <c r="K10" s="286"/>
      <c r="L10" s="287">
        <f>'HPP STAR'!Q10</f>
        <v>20500</v>
      </c>
    </row>
    <row r="11">
      <c r="A11" s="290" t="s">
        <v>178</v>
      </c>
      <c r="B11" s="77" t="s">
        <v>35</v>
      </c>
      <c r="C11" s="282">
        <v>50000.0</v>
      </c>
      <c r="D11" s="292">
        <v>30000.0</v>
      </c>
      <c r="E11" s="283"/>
      <c r="F11" s="287">
        <f>'HPP MALL'!Q11</f>
        <v>25650</v>
      </c>
      <c r="G11" s="269"/>
      <c r="H11" s="281" t="s">
        <v>650</v>
      </c>
      <c r="I11" s="282">
        <v>50000.0</v>
      </c>
      <c r="J11" s="289"/>
      <c r="K11" s="286"/>
      <c r="L11" s="287">
        <f>'HPP STAR'!Q11</f>
        <v>24000</v>
      </c>
    </row>
    <row r="12">
      <c r="A12" s="290" t="s">
        <v>181</v>
      </c>
      <c r="B12" s="77" t="s">
        <v>36</v>
      </c>
      <c r="C12" s="282">
        <v>130000.0</v>
      </c>
      <c r="D12" s="291">
        <v>103000.0</v>
      </c>
      <c r="E12" s="283"/>
      <c r="F12" s="287">
        <f>'HPP MALL'!Q12</f>
        <v>97000</v>
      </c>
      <c r="G12" s="269"/>
      <c r="H12" s="281" t="s">
        <v>651</v>
      </c>
      <c r="I12" s="282">
        <v>130000.0</v>
      </c>
      <c r="J12" s="291">
        <v>100000.0</v>
      </c>
      <c r="K12" s="286"/>
      <c r="L12" s="287">
        <f>'HPP STAR'!Q12</f>
        <v>90500</v>
      </c>
    </row>
    <row r="13">
      <c r="A13" s="290" t="s">
        <v>190</v>
      </c>
      <c r="B13" s="77" t="s">
        <v>37</v>
      </c>
      <c r="C13" s="282">
        <v>13000.0</v>
      </c>
      <c r="D13" s="285"/>
      <c r="E13" s="283"/>
      <c r="F13" s="293">
        <f>'HPP MALL'!Q13</f>
        <v>10500</v>
      </c>
      <c r="G13" s="269"/>
      <c r="H13" s="281" t="s">
        <v>652</v>
      </c>
      <c r="I13" s="282">
        <v>13000.0</v>
      </c>
      <c r="J13" s="291">
        <v>9900.0</v>
      </c>
      <c r="K13" s="286"/>
      <c r="L13" s="287">
        <f>'HPP STAR'!Q13</f>
        <v>9900</v>
      </c>
    </row>
    <row r="14">
      <c r="A14" s="290" t="s">
        <v>197</v>
      </c>
      <c r="B14" s="77" t="s">
        <v>38</v>
      </c>
      <c r="C14" s="282">
        <v>5200.0</v>
      </c>
      <c r="D14" s="285"/>
      <c r="E14" s="283"/>
      <c r="F14" s="293">
        <f>'HPP MALL'!Q14</f>
        <v>5200</v>
      </c>
      <c r="G14" s="269"/>
      <c r="H14" s="281" t="s">
        <v>653</v>
      </c>
      <c r="I14" s="282">
        <v>5000.0</v>
      </c>
      <c r="J14" s="285"/>
      <c r="K14" s="286"/>
      <c r="L14" s="287">
        <f>'HPP STAR'!Q14</f>
        <v>5000</v>
      </c>
    </row>
    <row r="15">
      <c r="A15" s="290" t="s">
        <v>200</v>
      </c>
      <c r="B15" s="77" t="s">
        <v>39</v>
      </c>
      <c r="C15" s="282">
        <v>5500.0</v>
      </c>
      <c r="D15" s="285"/>
      <c r="E15" s="286"/>
      <c r="F15" s="287">
        <f>'HPP MALL'!Q15</f>
        <v>5500</v>
      </c>
      <c r="G15" s="269"/>
      <c r="H15" s="281" t="s">
        <v>654</v>
      </c>
      <c r="I15" s="282">
        <v>5500.0</v>
      </c>
      <c r="J15" s="285"/>
      <c r="K15" s="286"/>
      <c r="L15" s="287">
        <f>'HPP STAR'!Q15</f>
        <v>5300</v>
      </c>
    </row>
    <row r="16">
      <c r="A16" s="290" t="s">
        <v>188</v>
      </c>
      <c r="B16" s="80" t="s">
        <v>40</v>
      </c>
      <c r="C16" s="282">
        <v>15000.0</v>
      </c>
      <c r="D16" s="294">
        <v>11500.0</v>
      </c>
      <c r="E16" s="286"/>
      <c r="F16" s="287">
        <f>'HPP MALL'!Q16</f>
        <v>9100</v>
      </c>
      <c r="G16" s="269"/>
      <c r="H16" s="281" t="s">
        <v>655</v>
      </c>
      <c r="I16" s="282">
        <v>15000.0</v>
      </c>
      <c r="J16" s="292">
        <v>10800.0</v>
      </c>
      <c r="K16" s="286"/>
      <c r="L16" s="287">
        <f>'HPP STAR'!Q16</f>
        <v>10500</v>
      </c>
    </row>
    <row r="17">
      <c r="A17" s="281" t="s">
        <v>656</v>
      </c>
      <c r="B17" s="83" t="s">
        <v>657</v>
      </c>
      <c r="C17" s="282">
        <v>35000.0</v>
      </c>
      <c r="D17" s="282">
        <v>29900.0</v>
      </c>
      <c r="E17" s="283"/>
      <c r="F17" s="293">
        <f>'HPP MALL'!P17</f>
        <v>28000</v>
      </c>
      <c r="G17" s="269"/>
      <c r="H17" s="281" t="s">
        <v>658</v>
      </c>
      <c r="I17" s="282">
        <v>35000.0</v>
      </c>
      <c r="J17" s="291"/>
      <c r="K17" s="286"/>
      <c r="L17" s="287">
        <f>'HPP STAR'!P17</f>
        <v>26000</v>
      </c>
    </row>
    <row r="18">
      <c r="A18" s="286"/>
      <c r="B18" s="83" t="s">
        <v>659</v>
      </c>
      <c r="C18" s="295">
        <v>44900.0</v>
      </c>
      <c r="D18" s="295">
        <v>42500.0</v>
      </c>
      <c r="E18" s="286"/>
      <c r="F18" s="287">
        <f>'HPP MALL'!P18</f>
        <v>39400</v>
      </c>
      <c r="G18" s="269"/>
      <c r="H18" s="286"/>
      <c r="I18" s="282">
        <v>44900.0</v>
      </c>
      <c r="J18" s="296">
        <v>37500.0</v>
      </c>
      <c r="K18" s="286"/>
      <c r="L18" s="287">
        <f>'HPP STAR'!P18</f>
        <v>33000</v>
      </c>
    </row>
    <row r="19">
      <c r="A19" s="286"/>
      <c r="B19" s="77" t="s">
        <v>43</v>
      </c>
      <c r="C19" s="295">
        <v>65000.0</v>
      </c>
      <c r="D19" s="297"/>
      <c r="E19" s="286"/>
      <c r="F19" s="287">
        <f>'HPP MALL'!Q19</f>
        <v>67000</v>
      </c>
      <c r="G19" s="269"/>
      <c r="H19" s="286"/>
      <c r="I19" s="282">
        <v>60000.0</v>
      </c>
      <c r="J19" s="289"/>
      <c r="K19" s="286"/>
      <c r="L19" s="287">
        <f>'HPP STAR'!Q19</f>
        <v>61500</v>
      </c>
    </row>
    <row r="20">
      <c r="A20" s="286"/>
      <c r="B20" s="83" t="s">
        <v>44</v>
      </c>
      <c r="C20" s="294">
        <v>68000.0</v>
      </c>
      <c r="D20" s="286"/>
      <c r="E20" s="286"/>
      <c r="F20" s="287">
        <f>'HPP MALL'!P20</f>
        <v>68000</v>
      </c>
      <c r="G20" s="269"/>
      <c r="H20" s="286"/>
      <c r="I20" s="282"/>
      <c r="J20" s="289"/>
      <c r="K20" s="286"/>
      <c r="L20" s="287" t="str">
        <f>'HPP STAR'!Q21</f>
        <v/>
      </c>
    </row>
    <row r="21">
      <c r="A21" s="298"/>
      <c r="B21" s="299" t="s">
        <v>45</v>
      </c>
      <c r="C21" s="298"/>
      <c r="D21" s="298"/>
      <c r="E21" s="298"/>
      <c r="F21" s="298"/>
      <c r="G21" s="300"/>
      <c r="H21" s="298"/>
      <c r="I21" s="298"/>
      <c r="J21" s="298"/>
      <c r="K21" s="298"/>
      <c r="L21" s="298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</row>
    <row r="22">
      <c r="A22" s="290" t="s">
        <v>223</v>
      </c>
      <c r="B22" s="97" t="s">
        <v>47</v>
      </c>
      <c r="C22" s="282">
        <v>42500.0</v>
      </c>
      <c r="D22" s="285"/>
      <c r="E22" s="286"/>
      <c r="F22" s="287">
        <f>'HPP MALL'!Q22</f>
        <v>36000</v>
      </c>
      <c r="G22" s="269"/>
      <c r="H22" s="281" t="s">
        <v>660</v>
      </c>
      <c r="I22" s="282">
        <v>42000.0</v>
      </c>
      <c r="J22" s="292">
        <v>36000.0</v>
      </c>
      <c r="K22" s="286"/>
      <c r="L22" s="287">
        <f>'HPP STAR'!P22</f>
        <v>33000</v>
      </c>
    </row>
    <row r="23">
      <c r="A23" s="290" t="s">
        <v>227</v>
      </c>
      <c r="B23" s="97" t="s">
        <v>48</v>
      </c>
      <c r="C23" s="282">
        <v>52500.0</v>
      </c>
      <c r="D23" s="283"/>
      <c r="E23" s="286"/>
      <c r="F23" s="287">
        <f>'HPP MALL'!Q23</f>
        <v>44000</v>
      </c>
      <c r="G23" s="269"/>
      <c r="H23" s="281" t="s">
        <v>661</v>
      </c>
      <c r="I23" s="282">
        <v>52000.0</v>
      </c>
      <c r="J23" s="292">
        <v>42000.0</v>
      </c>
      <c r="K23" s="286"/>
      <c r="L23" s="287">
        <f>'HPP STAR'!P23</f>
        <v>40000</v>
      </c>
    </row>
    <row r="24">
      <c r="A24" s="302" t="s">
        <v>225</v>
      </c>
      <c r="B24" s="97" t="s">
        <v>49</v>
      </c>
      <c r="C24" s="282">
        <v>47000.0</v>
      </c>
      <c r="D24" s="285"/>
      <c r="E24" s="286"/>
      <c r="F24" s="287">
        <f>'HPP MALL'!Q24</f>
        <v>42500</v>
      </c>
      <c r="G24" s="269"/>
      <c r="H24" s="281" t="s">
        <v>662</v>
      </c>
      <c r="I24" s="282">
        <v>47000.0</v>
      </c>
      <c r="J24" s="292">
        <v>43000.0</v>
      </c>
      <c r="K24" s="286"/>
      <c r="L24" s="287">
        <f>'HPP STAR'!P24</f>
        <v>39500</v>
      </c>
    </row>
    <row r="25">
      <c r="A25" s="290" t="s">
        <v>229</v>
      </c>
      <c r="B25" s="97" t="s">
        <v>50</v>
      </c>
      <c r="C25" s="282">
        <v>85000.0</v>
      </c>
      <c r="D25" s="283"/>
      <c r="E25" s="286"/>
      <c r="F25" s="287">
        <f>'HPP MALL'!Q25</f>
        <v>83000</v>
      </c>
      <c r="G25" s="269"/>
      <c r="H25" s="281" t="s">
        <v>663</v>
      </c>
      <c r="I25" s="283"/>
      <c r="J25" s="289"/>
      <c r="K25" s="286"/>
      <c r="L25" s="287">
        <f>'HPP STAR'!P25</f>
        <v>76000</v>
      </c>
    </row>
    <row r="26">
      <c r="A26" s="303" t="s">
        <v>315</v>
      </c>
      <c r="B26" s="97" t="s">
        <v>51</v>
      </c>
      <c r="C26" s="282">
        <v>145000.0</v>
      </c>
      <c r="D26" s="285"/>
      <c r="E26" s="286"/>
      <c r="F26" s="287">
        <f>'HPP MALL'!Q26</f>
        <v>140000</v>
      </c>
      <c r="G26" s="269"/>
      <c r="H26" s="281" t="s">
        <v>664</v>
      </c>
      <c r="I26" s="283"/>
      <c r="J26" s="289"/>
      <c r="K26" s="286"/>
      <c r="L26" s="287">
        <f>'HPP STAR'!P26</f>
        <v>126500</v>
      </c>
    </row>
    <row r="27">
      <c r="A27" s="303" t="s">
        <v>313</v>
      </c>
      <c r="B27" s="97" t="s">
        <v>52</v>
      </c>
      <c r="C27" s="282">
        <v>153000.0</v>
      </c>
      <c r="D27" s="285"/>
      <c r="E27" s="286"/>
      <c r="F27" s="287">
        <f>'HPP MALL'!Q27</f>
        <v>147500</v>
      </c>
      <c r="G27" s="269"/>
      <c r="H27" s="281" t="s">
        <v>665</v>
      </c>
      <c r="I27" s="283"/>
      <c r="J27" s="289"/>
      <c r="K27" s="286"/>
      <c r="L27" s="287">
        <f>'HPP STAR'!P27</f>
        <v>133200</v>
      </c>
    </row>
    <row r="28">
      <c r="A28" s="303" t="s">
        <v>303</v>
      </c>
      <c r="B28" s="97"/>
      <c r="C28" s="283"/>
      <c r="D28" s="283"/>
      <c r="E28" s="286"/>
      <c r="F28" s="287" t="str">
        <f>'HPP MALL'!Q28</f>
        <v/>
      </c>
      <c r="G28" s="269"/>
      <c r="H28" s="281" t="s">
        <v>666</v>
      </c>
      <c r="I28" s="283"/>
      <c r="J28" s="289"/>
      <c r="K28" s="286"/>
      <c r="L28" s="287" t="str">
        <f>'HPP STAR'!P28</f>
        <v/>
      </c>
    </row>
    <row r="29">
      <c r="A29" s="303" t="s">
        <v>305</v>
      </c>
      <c r="B29" s="97" t="s">
        <v>53</v>
      </c>
      <c r="C29" s="282">
        <v>110000.0</v>
      </c>
      <c r="D29" s="285"/>
      <c r="E29" s="286"/>
      <c r="F29" s="287">
        <f>'HPP MALL'!Q29</f>
        <v>105000</v>
      </c>
      <c r="G29" s="269"/>
      <c r="H29" s="281" t="s">
        <v>667</v>
      </c>
      <c r="I29" s="282">
        <v>130000.0</v>
      </c>
      <c r="J29" s="289"/>
      <c r="K29" s="286"/>
      <c r="L29" s="287">
        <f>'HPP STAR'!P29</f>
        <v>94500</v>
      </c>
    </row>
    <row r="30">
      <c r="A30" s="304"/>
      <c r="B30" s="97" t="s">
        <v>54</v>
      </c>
      <c r="C30" s="282">
        <v>220000.0</v>
      </c>
      <c r="D30" s="283"/>
      <c r="E30" s="286"/>
      <c r="F30" s="287">
        <f>'HPP MALL'!Q30</f>
        <v>206900</v>
      </c>
      <c r="G30" s="269"/>
      <c r="H30" s="286"/>
      <c r="I30" s="282">
        <v>220000.0</v>
      </c>
      <c r="J30" s="289"/>
      <c r="K30" s="286"/>
      <c r="L30" s="287">
        <f>'HPP STAR'!P30</f>
        <v>187200</v>
      </c>
    </row>
    <row r="31">
      <c r="A31" s="286"/>
      <c r="B31" s="97" t="s">
        <v>55</v>
      </c>
      <c r="C31" s="282">
        <v>25000.0</v>
      </c>
      <c r="D31" s="283"/>
      <c r="E31" s="286"/>
      <c r="F31" s="287">
        <f>'HPP MALL'!Q31</f>
        <v>23500</v>
      </c>
      <c r="G31" s="269"/>
      <c r="H31" s="286"/>
      <c r="I31" s="282">
        <v>25000.0</v>
      </c>
      <c r="J31" s="289"/>
      <c r="K31" s="286"/>
      <c r="L31" s="287">
        <f>'HPP STAR'!P31</f>
        <v>22000</v>
      </c>
    </row>
    <row r="32">
      <c r="A32" s="286"/>
      <c r="B32" s="97" t="s">
        <v>56</v>
      </c>
      <c r="C32" s="282">
        <v>50000.0</v>
      </c>
      <c r="D32" s="283"/>
      <c r="E32" s="286"/>
      <c r="F32" s="287">
        <f>'HPP MALL'!Q32</f>
        <v>44550</v>
      </c>
      <c r="G32" s="269"/>
      <c r="H32" s="286"/>
      <c r="I32" s="282">
        <v>50000.0</v>
      </c>
      <c r="J32" s="289"/>
      <c r="K32" s="286"/>
      <c r="L32" s="287">
        <f>'HPP STAR'!P32</f>
        <v>40000</v>
      </c>
    </row>
    <row r="33">
      <c r="A33" s="286"/>
      <c r="B33" s="97" t="s">
        <v>57</v>
      </c>
      <c r="C33" s="283"/>
      <c r="D33" s="283"/>
      <c r="E33" s="286"/>
      <c r="F33" s="287" t="str">
        <f>'HPP MALL'!Q33</f>
        <v/>
      </c>
      <c r="G33" s="269"/>
      <c r="H33" s="286"/>
      <c r="I33" s="283"/>
      <c r="J33" s="286"/>
      <c r="K33" s="286"/>
      <c r="L33" s="287" t="str">
        <f>'HPP STAR'!P33</f>
        <v/>
      </c>
    </row>
    <row r="34">
      <c r="A34" s="286"/>
      <c r="B34" s="98" t="s">
        <v>58</v>
      </c>
      <c r="C34" s="282">
        <v>36000.0</v>
      </c>
      <c r="D34" s="283"/>
      <c r="E34" s="286"/>
      <c r="F34" s="287">
        <f>'HPP MALL'!Q34</f>
        <v>33500</v>
      </c>
      <c r="G34" s="269"/>
      <c r="H34" s="286"/>
      <c r="I34" s="282">
        <v>36000.0</v>
      </c>
      <c r="J34" s="286"/>
      <c r="K34" s="286"/>
      <c r="L34" s="287">
        <f>'HPP STAR'!P34</f>
        <v>30000</v>
      </c>
    </row>
    <row r="35">
      <c r="A35" s="286"/>
      <c r="B35" s="98" t="s">
        <v>59</v>
      </c>
      <c r="C35" s="282">
        <v>72000.0</v>
      </c>
      <c r="D35" s="283"/>
      <c r="E35" s="286"/>
      <c r="F35" s="287">
        <f>'HPP MALL'!Q35</f>
        <v>63855</v>
      </c>
      <c r="G35" s="269"/>
      <c r="H35" s="286"/>
      <c r="I35" s="282">
        <v>72000.0</v>
      </c>
      <c r="J35" s="286"/>
      <c r="K35" s="286"/>
      <c r="L35" s="287">
        <f>'HPP STAR'!P35</f>
        <v>58000</v>
      </c>
    </row>
    <row r="36">
      <c r="A36" s="286"/>
      <c r="B36" s="98" t="s">
        <v>60</v>
      </c>
      <c r="C36" s="282">
        <v>75000.0</v>
      </c>
      <c r="D36" s="283"/>
      <c r="E36" s="286"/>
      <c r="F36" s="287">
        <f>'HPP MALL'!Q36</f>
        <v>73500</v>
      </c>
      <c r="G36" s="269"/>
      <c r="H36" s="286"/>
      <c r="I36" s="283"/>
      <c r="J36" s="286"/>
      <c r="K36" s="286"/>
      <c r="L36" s="287">
        <f>'HPP STAR'!P36</f>
        <v>66800</v>
      </c>
    </row>
    <row r="37">
      <c r="A37" s="286"/>
      <c r="B37" s="98" t="s">
        <v>61</v>
      </c>
      <c r="C37" s="282">
        <v>6500.0</v>
      </c>
      <c r="D37" s="283"/>
      <c r="E37" s="286"/>
      <c r="F37" s="287">
        <f>'HPP MALL'!Q37</f>
        <v>6400</v>
      </c>
      <c r="G37" s="269"/>
      <c r="H37" s="286"/>
      <c r="I37" s="294">
        <v>7500.0</v>
      </c>
      <c r="J37" s="286"/>
      <c r="K37" s="286"/>
      <c r="L37" s="287">
        <f>'HPP STAR'!P37</f>
        <v>6000</v>
      </c>
    </row>
    <row r="38" hidden="1">
      <c r="A38" s="305"/>
      <c r="B38" s="98" t="s">
        <v>62</v>
      </c>
      <c r="C38" s="286"/>
      <c r="D38" s="286"/>
      <c r="E38" s="286"/>
      <c r="F38" s="287">
        <f>'HPP MALL'!Q38</f>
        <v>9900</v>
      </c>
      <c r="G38" s="269"/>
      <c r="H38" s="305"/>
      <c r="I38" s="286"/>
      <c r="J38" s="286"/>
      <c r="K38" s="286"/>
      <c r="L38" s="287">
        <f>'HPP STAR'!P38</f>
        <v>9900</v>
      </c>
    </row>
    <row r="39">
      <c r="A39" s="306"/>
      <c r="B39" s="98" t="s">
        <v>63</v>
      </c>
      <c r="C39" s="294">
        <v>35000.0</v>
      </c>
      <c r="D39" s="286"/>
      <c r="E39" s="286"/>
      <c r="F39" s="287">
        <f>'HPP MALL'!Q39</f>
        <v>31000</v>
      </c>
      <c r="G39" s="269"/>
      <c r="H39" s="307" t="s">
        <v>668</v>
      </c>
      <c r="I39" s="294">
        <v>35000.0</v>
      </c>
      <c r="J39" s="286"/>
      <c r="K39" s="286"/>
      <c r="L39" s="287">
        <f>'HPP STAR'!P39</f>
        <v>30000</v>
      </c>
    </row>
    <row r="40">
      <c r="A40" s="303" t="s">
        <v>295</v>
      </c>
      <c r="B40" s="98" t="s">
        <v>64</v>
      </c>
      <c r="C40" s="282">
        <v>7500.0</v>
      </c>
      <c r="D40" s="286"/>
      <c r="E40" s="286"/>
      <c r="F40" s="287">
        <f>'HPP MALL'!Q40</f>
        <v>7400</v>
      </c>
      <c r="G40" s="269"/>
      <c r="H40" s="13"/>
      <c r="I40" s="282">
        <v>7500.0</v>
      </c>
      <c r="J40" s="286"/>
      <c r="K40" s="286"/>
      <c r="L40" s="287">
        <f>'HPP STAR'!P40</f>
        <v>7125</v>
      </c>
    </row>
    <row r="41" hidden="1">
      <c r="A41" s="303" t="s">
        <v>298</v>
      </c>
      <c r="B41" s="98" t="s">
        <v>65</v>
      </c>
      <c r="C41" s="285"/>
      <c r="D41" s="286"/>
      <c r="E41" s="286"/>
      <c r="F41" s="287">
        <f>'HPP MALL'!Q41</f>
        <v>9000</v>
      </c>
      <c r="G41" s="269"/>
      <c r="H41" s="13"/>
      <c r="I41" s="285"/>
      <c r="J41" s="289"/>
      <c r="K41" s="286"/>
      <c r="L41" s="287">
        <f>'HPP STAR'!P41</f>
        <v>9000</v>
      </c>
    </row>
    <row r="42" hidden="1">
      <c r="A42" s="303" t="s">
        <v>301</v>
      </c>
      <c r="B42" s="98" t="s">
        <v>66</v>
      </c>
      <c r="C42" s="283"/>
      <c r="D42" s="286"/>
      <c r="E42" s="286"/>
      <c r="F42" s="287">
        <f>'HPP MALL'!Q42</f>
        <v>12500</v>
      </c>
      <c r="G42" s="269"/>
      <c r="H42" s="14"/>
      <c r="I42" s="283"/>
      <c r="J42" s="289"/>
      <c r="K42" s="286"/>
      <c r="L42" s="287">
        <f>'HPP STAR'!P42</f>
        <v>12500</v>
      </c>
    </row>
    <row r="43" hidden="1">
      <c r="A43" s="306"/>
      <c r="B43" s="98" t="s">
        <v>67</v>
      </c>
      <c r="C43" s="308"/>
      <c r="D43" s="308"/>
      <c r="E43" s="286"/>
      <c r="F43" s="287">
        <f>'HPP MALL'!Q43</f>
        <v>13500</v>
      </c>
      <c r="G43" s="269"/>
      <c r="H43" s="307" t="s">
        <v>669</v>
      </c>
      <c r="I43" s="308"/>
      <c r="J43" s="289"/>
      <c r="K43" s="286"/>
      <c r="L43" s="287">
        <f>'HPP STAR'!P43</f>
        <v>13500</v>
      </c>
    </row>
    <row r="44">
      <c r="A44" s="303" t="s">
        <v>253</v>
      </c>
      <c r="B44" s="98" t="s">
        <v>68</v>
      </c>
      <c r="C44" s="282">
        <v>37000.0</v>
      </c>
      <c r="D44" s="286"/>
      <c r="E44" s="286"/>
      <c r="F44" s="287">
        <f>'HPP MALL'!P44</f>
        <v>33297</v>
      </c>
      <c r="G44" s="269"/>
      <c r="H44" s="13"/>
      <c r="I44" s="283"/>
      <c r="J44" s="289"/>
      <c r="K44" s="286"/>
      <c r="L44" s="287">
        <f>'HPP STAR'!P44</f>
        <v>35000</v>
      </c>
    </row>
    <row r="45" hidden="1">
      <c r="A45" s="303" t="s">
        <v>254</v>
      </c>
      <c r="B45" s="98" t="s">
        <v>69</v>
      </c>
      <c r="C45" s="283"/>
      <c r="D45" s="286"/>
      <c r="E45" s="286"/>
      <c r="F45" s="287">
        <f>'HPP MALL'!Q45</f>
        <v>35150</v>
      </c>
      <c r="G45" s="269"/>
      <c r="H45" s="13"/>
      <c r="I45" s="283"/>
      <c r="J45" s="289"/>
      <c r="K45" s="286"/>
      <c r="L45" s="287"/>
    </row>
    <row r="46">
      <c r="A46" s="309" t="s">
        <v>255</v>
      </c>
      <c r="B46" s="99" t="s">
        <v>70</v>
      </c>
      <c r="C46" s="310"/>
      <c r="D46" s="311"/>
      <c r="E46" s="311"/>
      <c r="F46" s="311"/>
      <c r="G46" s="312"/>
      <c r="H46" s="13"/>
      <c r="I46" s="310"/>
      <c r="J46" s="311"/>
      <c r="K46" s="311"/>
      <c r="L46" s="311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</row>
    <row r="47">
      <c r="A47" s="303" t="s">
        <v>256</v>
      </c>
      <c r="B47" s="97" t="s">
        <v>71</v>
      </c>
      <c r="C47" s="282">
        <v>28000.0</v>
      </c>
      <c r="D47" s="286"/>
      <c r="E47" s="286"/>
      <c r="F47" s="287">
        <f>'HPP MALL'!P47</f>
        <v>28000</v>
      </c>
      <c r="G47" s="269"/>
      <c r="H47" s="14"/>
      <c r="I47" s="282">
        <v>28500.0</v>
      </c>
      <c r="J47" s="289"/>
      <c r="K47" s="286"/>
      <c r="L47" s="287">
        <f>'HPP STAR'!P47</f>
        <v>26000</v>
      </c>
    </row>
    <row r="48">
      <c r="A48" s="286"/>
      <c r="B48" s="97" t="s">
        <v>72</v>
      </c>
      <c r="C48" s="282">
        <v>37000.0</v>
      </c>
      <c r="D48" s="285"/>
      <c r="E48" s="286"/>
      <c r="F48" s="287">
        <f>'HPP MALL'!P48</f>
        <v>29500</v>
      </c>
      <c r="G48" s="269"/>
      <c r="H48" s="313" t="s">
        <v>670</v>
      </c>
      <c r="I48" s="282">
        <v>34000.0</v>
      </c>
      <c r="J48" s="289"/>
      <c r="K48" s="286"/>
      <c r="L48" s="287">
        <f>'HPP STAR'!P48</f>
        <v>29400</v>
      </c>
    </row>
    <row r="49">
      <c r="A49" s="313" t="s">
        <v>671</v>
      </c>
      <c r="B49" s="97" t="s">
        <v>73</v>
      </c>
      <c r="C49" s="282">
        <v>34000.0</v>
      </c>
      <c r="D49" s="283"/>
      <c r="E49" s="286"/>
      <c r="F49" s="287">
        <f>'HPP MALL'!P49</f>
        <v>34155</v>
      </c>
      <c r="G49" s="269"/>
      <c r="H49" s="313" t="s">
        <v>671</v>
      </c>
      <c r="I49" s="282">
        <v>35000.0</v>
      </c>
      <c r="J49" s="292"/>
      <c r="K49" s="286"/>
      <c r="L49" s="287">
        <f>'HPP STAR'!P49</f>
        <v>34500</v>
      </c>
    </row>
    <row r="50">
      <c r="A50" s="307" t="s">
        <v>672</v>
      </c>
      <c r="B50" s="97" t="s">
        <v>74</v>
      </c>
      <c r="C50" s="294">
        <v>37000.0</v>
      </c>
      <c r="D50" s="294">
        <v>35000.0</v>
      </c>
      <c r="E50" s="286"/>
      <c r="F50" s="287">
        <f>'HPP MALL'!P50</f>
        <v>32500</v>
      </c>
      <c r="G50" s="269"/>
      <c r="H50" s="307" t="s">
        <v>672</v>
      </c>
      <c r="I50" s="294">
        <v>37000.0</v>
      </c>
      <c r="J50" s="289"/>
      <c r="K50" s="286"/>
      <c r="L50" s="287">
        <f>'HPP STAR'!P50</f>
        <v>30500</v>
      </c>
    </row>
    <row r="51">
      <c r="A51" s="13"/>
      <c r="B51" s="103" t="s">
        <v>75</v>
      </c>
      <c r="C51" s="283"/>
      <c r="D51" s="286"/>
      <c r="E51" s="286"/>
      <c r="F51" s="287" t="str">
        <f>'HPP MALL'!P51</f>
        <v/>
      </c>
      <c r="G51" s="269"/>
      <c r="H51" s="13"/>
      <c r="I51" s="294"/>
      <c r="J51" s="289"/>
      <c r="K51" s="286"/>
      <c r="L51" s="287">
        <f>'HPP STAR'!P51</f>
        <v>27000</v>
      </c>
    </row>
    <row r="52">
      <c r="A52" s="13"/>
      <c r="B52" s="104" t="s">
        <v>76</v>
      </c>
      <c r="C52" s="283"/>
      <c r="D52" s="286"/>
      <c r="E52" s="286"/>
      <c r="F52" s="287" t="str">
        <f>'HPP MALL'!P52</f>
        <v/>
      </c>
      <c r="G52" s="269"/>
      <c r="H52" s="13"/>
      <c r="I52" s="294"/>
      <c r="J52" s="289"/>
      <c r="K52" s="286"/>
      <c r="L52" s="287">
        <f>'HPP STAR'!P52</f>
        <v>26000</v>
      </c>
    </row>
    <row r="53">
      <c r="A53" s="14"/>
      <c r="B53" s="104" t="s">
        <v>77</v>
      </c>
      <c r="C53" s="285"/>
      <c r="D53" s="286"/>
      <c r="E53" s="286"/>
      <c r="F53" s="287" t="str">
        <f>'HPP MALL'!P53</f>
        <v/>
      </c>
      <c r="G53" s="269"/>
      <c r="H53" s="14"/>
      <c r="I53" s="285"/>
      <c r="J53" s="289"/>
      <c r="K53" s="286"/>
      <c r="L53" s="287" t="str">
        <f>'HPP STAR'!P53</f>
        <v/>
      </c>
    </row>
    <row r="54">
      <c r="A54" s="313" t="s">
        <v>673</v>
      </c>
      <c r="B54" s="104" t="s">
        <v>78</v>
      </c>
      <c r="C54" s="282">
        <v>58000.0</v>
      </c>
      <c r="D54" s="283"/>
      <c r="E54" s="286"/>
      <c r="F54" s="287">
        <f>'HPP MALL'!P54</f>
        <v>53500</v>
      </c>
      <c r="G54" s="269"/>
      <c r="H54" s="313" t="s">
        <v>673</v>
      </c>
      <c r="I54" s="282">
        <v>50000.0</v>
      </c>
      <c r="J54" s="289"/>
      <c r="K54" s="283"/>
      <c r="L54" s="287" t="str">
        <f>'HPP STAR'!P54</f>
        <v/>
      </c>
    </row>
    <row r="55">
      <c r="A55" s="313" t="s">
        <v>674</v>
      </c>
      <c r="B55" s="104" t="s">
        <v>79</v>
      </c>
      <c r="C55" s="282">
        <v>59000.0</v>
      </c>
      <c r="D55" s="283"/>
      <c r="E55" s="286"/>
      <c r="F55" s="287">
        <f>'HPP MALL'!P55</f>
        <v>54500</v>
      </c>
      <c r="G55" s="269"/>
      <c r="H55" s="313" t="s">
        <v>674</v>
      </c>
      <c r="I55" s="282">
        <v>50000.0</v>
      </c>
      <c r="J55" s="289"/>
      <c r="K55" s="283"/>
      <c r="L55" s="287" t="str">
        <f>'HPP STAR'!P55</f>
        <v/>
      </c>
    </row>
    <row r="56">
      <c r="A56" s="313" t="s">
        <v>675</v>
      </c>
      <c r="B56" s="104" t="s">
        <v>80</v>
      </c>
      <c r="C56" s="282">
        <v>61500.0</v>
      </c>
      <c r="D56" s="314"/>
      <c r="E56" s="286"/>
      <c r="F56" s="287">
        <f>'HPP MALL'!P56</f>
        <v>57200</v>
      </c>
      <c r="G56" s="269"/>
      <c r="H56" s="313" t="s">
        <v>675</v>
      </c>
      <c r="I56" s="282">
        <v>55000.0</v>
      </c>
      <c r="J56" s="289"/>
      <c r="K56" s="283"/>
      <c r="L56" s="287" t="str">
        <f>'HPP STAR'!P56</f>
        <v/>
      </c>
    </row>
    <row r="57">
      <c r="A57" s="313" t="s">
        <v>676</v>
      </c>
      <c r="B57" s="104" t="s">
        <v>81</v>
      </c>
      <c r="C57" s="282">
        <v>66000.0</v>
      </c>
      <c r="D57" s="286"/>
      <c r="E57" s="286"/>
      <c r="F57" s="287">
        <f>'HPP MALL'!P57</f>
        <v>61500</v>
      </c>
      <c r="G57" s="269"/>
      <c r="H57" s="313" t="s">
        <v>676</v>
      </c>
      <c r="I57" s="282">
        <v>59000.0</v>
      </c>
      <c r="J57" s="289"/>
      <c r="K57" s="286"/>
      <c r="L57" s="287" t="str">
        <f>'HPP STAR'!P57</f>
        <v/>
      </c>
    </row>
    <row r="58">
      <c r="A58" s="313" t="s">
        <v>677</v>
      </c>
      <c r="B58" s="104" t="s">
        <v>82</v>
      </c>
      <c r="C58" s="283"/>
      <c r="D58" s="286"/>
      <c r="E58" s="286"/>
      <c r="F58" s="287" t="str">
        <f>'HPP MALL'!P58</f>
        <v/>
      </c>
      <c r="G58" s="269"/>
      <c r="H58" s="313" t="s">
        <v>677</v>
      </c>
      <c r="I58" s="283"/>
      <c r="J58" s="289"/>
      <c r="K58" s="286"/>
      <c r="L58" s="287" t="str">
        <f>'HPP STAR'!P58</f>
        <v/>
      </c>
    </row>
    <row r="59">
      <c r="A59" s="307" t="s">
        <v>678</v>
      </c>
      <c r="B59" s="105"/>
      <c r="C59" s="286"/>
      <c r="D59" s="286"/>
      <c r="E59" s="286"/>
      <c r="F59" s="287" t="str">
        <f>'HPP MALL'!P59</f>
        <v/>
      </c>
      <c r="G59" s="269"/>
      <c r="H59" s="307" t="s">
        <v>678</v>
      </c>
      <c r="I59" s="286"/>
      <c r="J59" s="289"/>
      <c r="K59" s="286"/>
      <c r="L59" s="287" t="str">
        <f>'HPP STAR'!P59</f>
        <v/>
      </c>
    </row>
    <row r="60">
      <c r="A60" s="13"/>
      <c r="B60" s="104" t="s">
        <v>83</v>
      </c>
      <c r="C60" s="283"/>
      <c r="D60" s="283"/>
      <c r="E60" s="286"/>
      <c r="F60" s="287" t="str">
        <f>'HPP MALL'!P60</f>
        <v/>
      </c>
      <c r="G60" s="269"/>
      <c r="H60" s="13"/>
      <c r="I60" s="283"/>
      <c r="J60" s="289"/>
      <c r="K60" s="283"/>
      <c r="L60" s="287" t="str">
        <f>'HPP STAR'!P60</f>
        <v/>
      </c>
    </row>
    <row r="61">
      <c r="A61" s="14"/>
      <c r="B61" s="104" t="s">
        <v>84</v>
      </c>
      <c r="C61" s="283"/>
      <c r="D61" s="283"/>
      <c r="E61" s="286"/>
      <c r="F61" s="287" t="str">
        <f>'HPP MALL'!P61</f>
        <v/>
      </c>
      <c r="G61" s="269"/>
      <c r="H61" s="14"/>
      <c r="I61" s="283"/>
      <c r="J61" s="289"/>
      <c r="K61" s="283"/>
      <c r="L61" s="287" t="str">
        <f>'HPP STAR'!P61</f>
        <v/>
      </c>
    </row>
    <row r="62">
      <c r="A62" s="313" t="s">
        <v>679</v>
      </c>
      <c r="B62" s="104" t="s">
        <v>85</v>
      </c>
      <c r="C62" s="283"/>
      <c r="D62" s="283"/>
      <c r="E62" s="286"/>
      <c r="F62" s="287" t="str">
        <f>'HPP MALL'!P62</f>
        <v/>
      </c>
      <c r="G62" s="269"/>
      <c r="H62" s="313" t="s">
        <v>679</v>
      </c>
      <c r="I62" s="283"/>
      <c r="J62" s="289"/>
      <c r="K62" s="286"/>
      <c r="L62" s="287" t="str">
        <f>'HPP STAR'!P62</f>
        <v/>
      </c>
    </row>
    <row r="63">
      <c r="A63" s="306"/>
      <c r="B63" s="104" t="s">
        <v>86</v>
      </c>
      <c r="C63" s="286"/>
      <c r="D63" s="286"/>
      <c r="E63" s="286"/>
      <c r="F63" s="287" t="str">
        <f>'HPP MALL'!P63</f>
        <v/>
      </c>
      <c r="G63" s="269"/>
      <c r="H63" s="286"/>
      <c r="I63" s="286"/>
      <c r="J63" s="289"/>
      <c r="K63" s="286"/>
      <c r="L63" s="287" t="str">
        <f>'HPP STAR'!P63</f>
        <v/>
      </c>
    </row>
    <row r="64">
      <c r="A64" s="13"/>
      <c r="B64" s="104"/>
      <c r="C64" s="286"/>
      <c r="D64" s="286"/>
      <c r="E64" s="286"/>
      <c r="F64" s="287" t="str">
        <f>'HPP MALL'!P64</f>
        <v/>
      </c>
      <c r="G64" s="269"/>
      <c r="H64" s="286"/>
      <c r="I64" s="283"/>
      <c r="J64" s="289"/>
      <c r="K64" s="286"/>
      <c r="L64" s="287" t="str">
        <f>'HPP STAR'!P64</f>
        <v/>
      </c>
    </row>
    <row r="65" ht="23.25" customHeight="1">
      <c r="A65" s="13"/>
      <c r="B65" s="315" t="s">
        <v>680</v>
      </c>
      <c r="C65" s="316"/>
      <c r="D65" s="316"/>
      <c r="E65" s="316"/>
      <c r="F65" s="316" t="str">
        <f>'HPP MALL'!P65</f>
        <v/>
      </c>
      <c r="G65" s="317"/>
      <c r="H65" s="316"/>
      <c r="I65" s="318"/>
      <c r="J65" s="316"/>
      <c r="K65" s="316"/>
      <c r="L65" s="316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</row>
    <row r="66">
      <c r="A66" s="13"/>
      <c r="B66" s="320" t="s">
        <v>29</v>
      </c>
      <c r="C66" s="294">
        <v>218000.0</v>
      </c>
      <c r="D66" s="294"/>
      <c r="E66" s="286"/>
      <c r="F66" s="287">
        <f>'HPP MALL'!AD5</f>
        <v>220000</v>
      </c>
      <c r="G66" s="269"/>
      <c r="H66" s="286"/>
      <c r="I66" s="282">
        <v>210000.0</v>
      </c>
      <c r="J66" s="292"/>
      <c r="K66" s="286"/>
      <c r="L66" s="287">
        <f>'HPP STAR'!AD5</f>
        <v>205000</v>
      </c>
    </row>
    <row r="67">
      <c r="A67" s="13"/>
      <c r="B67" s="320" t="s">
        <v>30</v>
      </c>
      <c r="C67" s="294">
        <v>239000.0</v>
      </c>
      <c r="D67" s="286"/>
      <c r="E67" s="286"/>
      <c r="F67" s="287">
        <f>'HPP MALL'!AD6</f>
        <v>230000</v>
      </c>
      <c r="G67" s="269"/>
      <c r="H67" s="286"/>
      <c r="I67" s="282">
        <v>230000.0</v>
      </c>
      <c r="J67" s="292"/>
      <c r="K67" s="286"/>
      <c r="L67" s="287">
        <f>'HPP STAR'!AD6</f>
        <v>214000</v>
      </c>
    </row>
    <row r="68">
      <c r="A68" s="13"/>
      <c r="B68" s="321" t="s">
        <v>31</v>
      </c>
      <c r="C68" s="294">
        <v>162500.0</v>
      </c>
      <c r="D68" s="294">
        <v>142500.0</v>
      </c>
      <c r="E68" s="294">
        <v>137000.0</v>
      </c>
      <c r="F68" s="287">
        <f>'HPP MALL'!AD7</f>
        <v>135375</v>
      </c>
      <c r="G68" s="269"/>
      <c r="H68" s="286"/>
      <c r="I68" s="282">
        <v>162000.0</v>
      </c>
      <c r="J68" s="282"/>
      <c r="K68" s="286"/>
      <c r="L68" s="287">
        <f>'HPP STAR'!AD7</f>
        <v>126000</v>
      </c>
    </row>
    <row r="69">
      <c r="A69" s="13"/>
      <c r="B69" s="322" t="s">
        <v>33</v>
      </c>
      <c r="C69" s="294">
        <v>208000.0</v>
      </c>
      <c r="D69" s="286"/>
      <c r="E69" s="286"/>
      <c r="F69" s="287">
        <f>'HPP MALL'!AD9</f>
        <v>211000</v>
      </c>
      <c r="G69" s="269"/>
      <c r="H69" s="286"/>
      <c r="I69" s="294">
        <v>208000.0</v>
      </c>
      <c r="J69" s="292"/>
      <c r="K69" s="286"/>
      <c r="L69" s="287">
        <f>'HPP STAR'!AD9</f>
        <v>195000</v>
      </c>
    </row>
    <row r="70">
      <c r="A70" s="13"/>
      <c r="B70" s="322" t="s">
        <v>37</v>
      </c>
      <c r="C70" s="294">
        <v>300000.0</v>
      </c>
      <c r="D70" s="286"/>
      <c r="E70" s="286"/>
      <c r="F70" s="287">
        <f>'HPP MALL'!AD13</f>
        <v>194000</v>
      </c>
      <c r="G70" s="269"/>
      <c r="H70" s="286"/>
      <c r="I70" s="282">
        <v>300000.0</v>
      </c>
      <c r="J70" s="292"/>
      <c r="K70" s="286"/>
      <c r="L70" s="287">
        <f>'HPP STAR'!AD13</f>
        <v>182000</v>
      </c>
    </row>
    <row r="71">
      <c r="A71" s="13"/>
      <c r="B71" s="322" t="s">
        <v>38</v>
      </c>
      <c r="C71" s="286"/>
      <c r="D71" s="286"/>
      <c r="E71" s="286"/>
      <c r="F71" s="287" t="str">
        <f>'HPP MALL'!AD14</f>
        <v/>
      </c>
      <c r="G71" s="269"/>
      <c r="H71" s="286"/>
      <c r="I71" s="282">
        <v>270000.0</v>
      </c>
      <c r="J71" s="289"/>
      <c r="K71" s="286"/>
      <c r="L71" s="287">
        <f>'HPP STAR'!AD14</f>
        <v>213000</v>
      </c>
    </row>
    <row r="72">
      <c r="A72" s="13"/>
      <c r="B72" s="322" t="s">
        <v>39</v>
      </c>
      <c r="C72" s="286"/>
      <c r="D72" s="286"/>
      <c r="E72" s="286"/>
      <c r="F72" s="287" t="str">
        <f>'HPP MALL'!AD15</f>
        <v/>
      </c>
      <c r="G72" s="269"/>
      <c r="H72" s="286"/>
      <c r="I72" s="283"/>
      <c r="J72" s="289"/>
      <c r="K72" s="286"/>
      <c r="L72" s="287">
        <f>'HPP STAR'!AD15</f>
        <v>213000</v>
      </c>
    </row>
    <row r="73">
      <c r="A73" s="13"/>
      <c r="B73" s="98" t="s">
        <v>40</v>
      </c>
      <c r="C73" s="294"/>
      <c r="D73" s="294"/>
      <c r="E73" s="286"/>
      <c r="F73" s="287"/>
      <c r="G73" s="269"/>
      <c r="H73" s="286"/>
      <c r="I73" s="282"/>
      <c r="J73" s="292"/>
      <c r="K73" s="286"/>
      <c r="L73" s="287">
        <f>'HPP STAR'!AD16</f>
        <v>380000</v>
      </c>
    </row>
    <row r="74">
      <c r="A74" s="13"/>
      <c r="B74" s="323" t="s">
        <v>681</v>
      </c>
      <c r="C74" s="294">
        <v>349000.0</v>
      </c>
      <c r="D74" s="294">
        <v>255000.0</v>
      </c>
      <c r="E74" s="286"/>
      <c r="F74" s="287">
        <f>'HPP MALL'!AD17</f>
        <v>252450</v>
      </c>
      <c r="G74" s="269"/>
      <c r="H74" s="286"/>
      <c r="I74" s="282">
        <v>349000.0</v>
      </c>
      <c r="J74" s="292">
        <v>255000.0</v>
      </c>
      <c r="K74" s="286"/>
      <c r="L74" s="287">
        <f>'HPP STAR'!AD17</f>
        <v>239000</v>
      </c>
    </row>
    <row r="75">
      <c r="A75" s="13"/>
      <c r="B75" s="323" t="s">
        <v>42</v>
      </c>
      <c r="C75" s="294">
        <v>450000.0</v>
      </c>
      <c r="D75" s="294">
        <v>295000.0</v>
      </c>
      <c r="E75" s="286"/>
      <c r="F75" s="287">
        <f>'HPP MALL'!AD18</f>
        <v>286000</v>
      </c>
      <c r="G75" s="269"/>
      <c r="H75" s="286"/>
      <c r="I75" s="282">
        <v>450000.0</v>
      </c>
      <c r="J75" s="292">
        <v>280000.0</v>
      </c>
      <c r="K75" s="286"/>
      <c r="L75" s="287">
        <f>'HPP STAR'!AD18</f>
        <v>269000</v>
      </c>
    </row>
    <row r="76">
      <c r="A76" s="13"/>
      <c r="B76" s="122" t="s">
        <v>682</v>
      </c>
      <c r="C76" s="294">
        <v>170000.0</v>
      </c>
      <c r="D76" s="294">
        <v>137500.0</v>
      </c>
      <c r="E76" s="286"/>
      <c r="F76" s="287">
        <f>'HPP MALL'!AD8</f>
        <v>134000</v>
      </c>
      <c r="G76" s="269"/>
      <c r="H76" s="286"/>
      <c r="I76" s="282">
        <v>170000.0</v>
      </c>
      <c r="J76" s="292">
        <v>130000.0</v>
      </c>
      <c r="K76" s="286"/>
      <c r="L76" s="287">
        <f>'HPP STAR'!AD8</f>
        <v>124500</v>
      </c>
    </row>
    <row r="77">
      <c r="A77" s="13"/>
      <c r="B77" s="122" t="s">
        <v>683</v>
      </c>
      <c r="C77" s="294">
        <v>150000.0</v>
      </c>
      <c r="D77" s="294"/>
      <c r="E77" s="286"/>
      <c r="F77" s="287">
        <f>'HPP MALL'!AD10</f>
        <v>83000</v>
      </c>
      <c r="G77" s="269"/>
      <c r="H77" s="286"/>
      <c r="I77" s="283"/>
      <c r="J77" s="289"/>
      <c r="K77" s="286"/>
      <c r="L77" s="287">
        <f>'HPP STAR'!AD10</f>
        <v>74500</v>
      </c>
    </row>
    <row r="78">
      <c r="A78" s="13"/>
      <c r="B78" s="324"/>
      <c r="C78" s="325"/>
      <c r="D78" s="325"/>
      <c r="E78" s="286"/>
      <c r="F78" s="287"/>
      <c r="G78" s="269"/>
      <c r="H78" s="286"/>
      <c r="I78" s="283"/>
      <c r="J78" s="289"/>
      <c r="K78" s="286"/>
      <c r="L78" s="287"/>
    </row>
    <row r="79">
      <c r="A79" s="13"/>
      <c r="B79" s="106" t="s">
        <v>87</v>
      </c>
      <c r="C79" s="325">
        <v>290000.0</v>
      </c>
      <c r="D79" s="325">
        <v>262000.0</v>
      </c>
      <c r="E79" s="286"/>
      <c r="F79" s="287">
        <f>'HPP MALL'!P66</f>
        <v>253500</v>
      </c>
      <c r="G79" s="269"/>
      <c r="H79" s="286"/>
      <c r="I79" s="282">
        <v>290000.0</v>
      </c>
      <c r="J79" s="292">
        <v>260000.0</v>
      </c>
      <c r="K79" s="286"/>
      <c r="L79" s="287">
        <f>'HPP STAR'!Q66</f>
        <v>249300</v>
      </c>
    </row>
    <row r="80">
      <c r="A80" s="13"/>
      <c r="B80" s="106" t="s">
        <v>88</v>
      </c>
      <c r="C80" s="326">
        <v>350000.0</v>
      </c>
      <c r="D80" s="326">
        <v>155000.0</v>
      </c>
      <c r="E80" s="286"/>
      <c r="F80" s="287">
        <f>'HPP MALL'!P67</f>
        <v>152000</v>
      </c>
      <c r="G80" s="269"/>
      <c r="H80" s="286"/>
      <c r="I80" s="282">
        <v>350000.0</v>
      </c>
      <c r="J80" s="292">
        <v>240000.0</v>
      </c>
      <c r="K80" s="286"/>
      <c r="L80" s="287">
        <f>'HPP STAR'!Q67</f>
        <v>144000</v>
      </c>
    </row>
    <row r="81">
      <c r="A81" s="13"/>
      <c r="B81" s="106" t="s">
        <v>89</v>
      </c>
      <c r="C81" s="325">
        <v>270000.0</v>
      </c>
      <c r="D81" s="325">
        <v>263000.0</v>
      </c>
      <c r="E81" s="286"/>
      <c r="F81" s="287">
        <f>'HPP MALL'!P68</f>
        <v>253500</v>
      </c>
      <c r="G81" s="269"/>
      <c r="H81" s="286"/>
      <c r="I81" s="282">
        <v>270000.0</v>
      </c>
      <c r="J81" s="292">
        <v>261000.0</v>
      </c>
      <c r="K81" s="286"/>
      <c r="L81" s="287">
        <f>'HPP STAR'!Q68</f>
        <v>254300</v>
      </c>
    </row>
    <row r="82">
      <c r="A82" s="13"/>
      <c r="B82" s="106" t="s">
        <v>90</v>
      </c>
      <c r="C82" s="325">
        <v>275000.0</v>
      </c>
      <c r="D82" s="325">
        <v>263000.0</v>
      </c>
      <c r="E82" s="286"/>
      <c r="F82" s="287">
        <f>'HPP MALL'!P69</f>
        <v>253500</v>
      </c>
      <c r="G82" s="269"/>
      <c r="H82" s="286"/>
      <c r="I82" s="283"/>
      <c r="J82" s="289"/>
      <c r="K82" s="286"/>
      <c r="L82" s="287">
        <f>'HPP STAR'!Q69</f>
        <v>254300</v>
      </c>
    </row>
    <row r="83">
      <c r="A83" s="14"/>
      <c r="B83" s="324"/>
      <c r="C83" s="325">
        <v>350000.0</v>
      </c>
      <c r="D83" s="286"/>
      <c r="E83" s="286"/>
      <c r="F83" s="287"/>
      <c r="G83" s="269"/>
      <c r="H83" s="286"/>
      <c r="I83" s="282">
        <v>350000.0</v>
      </c>
      <c r="J83" s="294">
        <v>155000.0</v>
      </c>
      <c r="K83" s="286"/>
      <c r="L83" s="287"/>
    </row>
    <row r="84">
      <c r="A84" s="277"/>
      <c r="B84" s="104"/>
      <c r="C84" s="286"/>
      <c r="D84" s="286"/>
      <c r="E84" s="286"/>
      <c r="F84" s="287"/>
      <c r="G84" s="269"/>
      <c r="H84" s="277"/>
      <c r="I84" s="286"/>
      <c r="J84" s="286"/>
      <c r="K84" s="286"/>
      <c r="L84" s="287"/>
    </row>
    <row r="85">
      <c r="A85" s="281" t="s">
        <v>684</v>
      </c>
      <c r="B85" s="104"/>
      <c r="C85" s="283"/>
      <c r="D85" s="286"/>
      <c r="E85" s="286"/>
      <c r="F85" s="287"/>
      <c r="G85" s="269"/>
      <c r="H85" s="281"/>
      <c r="I85" s="283"/>
      <c r="J85" s="286"/>
      <c r="K85" s="286"/>
      <c r="L85" s="287"/>
    </row>
    <row r="86">
      <c r="A86" s="281" t="s">
        <v>685</v>
      </c>
      <c r="B86" s="110" t="s">
        <v>91</v>
      </c>
      <c r="C86" s="283"/>
      <c r="D86" s="286"/>
      <c r="E86" s="286"/>
      <c r="F86" s="287">
        <f>'HPP MALL'!P70</f>
        <v>5000</v>
      </c>
      <c r="G86" s="269"/>
      <c r="H86" s="281"/>
      <c r="I86" s="283"/>
      <c r="J86" s="286"/>
      <c r="K86" s="286"/>
      <c r="L86" s="287"/>
    </row>
    <row r="87" ht="14.25" customHeight="1">
      <c r="A87" s="281"/>
      <c r="B87" s="327" t="s">
        <v>686</v>
      </c>
      <c r="C87" s="283"/>
      <c r="D87" s="286"/>
      <c r="E87" s="283"/>
      <c r="F87" s="287">
        <f>'HPP MALL'!AR5</f>
        <v>2050000</v>
      </c>
      <c r="G87" s="269"/>
      <c r="H87" s="281"/>
      <c r="I87" s="282">
        <v>2300000.0</v>
      </c>
      <c r="J87" s="294">
        <v>2050000.0</v>
      </c>
      <c r="K87" s="286"/>
      <c r="L87" s="287">
        <f>'HPP STAR'!AR5</f>
        <v>1968000</v>
      </c>
    </row>
    <row r="88" ht="14.25" customHeight="1">
      <c r="A88" s="281"/>
      <c r="B88" s="327" t="s">
        <v>687</v>
      </c>
      <c r="C88" s="283"/>
      <c r="D88" s="286"/>
      <c r="E88" s="283"/>
      <c r="F88" s="287">
        <f>'HPP MALL'!AR6</f>
        <v>2150000</v>
      </c>
      <c r="G88" s="269"/>
      <c r="H88" s="281"/>
      <c r="I88" s="282">
        <v>2300000.0</v>
      </c>
      <c r="J88" s="294">
        <v>2100000.0</v>
      </c>
      <c r="K88" s="286"/>
      <c r="L88" s="287">
        <f>'HPP STAR'!AR6</f>
        <v>2057000</v>
      </c>
    </row>
    <row r="89" ht="14.25" customHeight="1">
      <c r="A89" s="281"/>
      <c r="B89" s="83" t="s">
        <v>688</v>
      </c>
      <c r="C89" s="283"/>
      <c r="D89" s="286"/>
      <c r="E89" s="283"/>
      <c r="F89" s="287" t="str">
        <f>'HPP MALL'!AR7</f>
        <v/>
      </c>
      <c r="G89" s="269"/>
      <c r="H89" s="281"/>
      <c r="I89" s="282"/>
      <c r="J89" s="294"/>
      <c r="K89" s="286"/>
      <c r="L89" s="287">
        <f>'HPP STAR'!AR7</f>
        <v>2390000</v>
      </c>
    </row>
    <row r="90" ht="14.25" customHeight="1">
      <c r="A90" s="281"/>
      <c r="B90" s="77" t="s">
        <v>37</v>
      </c>
      <c r="C90" s="283"/>
      <c r="D90" s="286"/>
      <c r="E90" s="283"/>
      <c r="F90" s="287">
        <f>'HPP MALL'!AR13</f>
        <v>2210000</v>
      </c>
      <c r="G90" s="269"/>
      <c r="H90" s="281"/>
      <c r="I90" s="282">
        <v>2190000.0</v>
      </c>
      <c r="J90" s="294"/>
      <c r="K90" s="286"/>
      <c r="L90" s="287">
        <f>'HPP STAR'!AR13</f>
        <v>2100000</v>
      </c>
    </row>
    <row r="91" ht="14.25" customHeight="1">
      <c r="A91" s="281"/>
      <c r="B91" s="77" t="s">
        <v>38</v>
      </c>
      <c r="C91" s="283"/>
      <c r="D91" s="286"/>
      <c r="E91" s="283"/>
      <c r="F91" s="287">
        <f>'HPP MALL'!AR14</f>
        <v>2080500</v>
      </c>
      <c r="G91" s="269"/>
      <c r="H91" s="281"/>
      <c r="I91" s="282"/>
      <c r="J91" s="294"/>
      <c r="K91" s="286"/>
      <c r="L91" s="287" t="str">
        <f>'HPP STAR'!AR14</f>
        <v/>
      </c>
    </row>
    <row r="92" ht="14.25" customHeight="1">
      <c r="A92" s="281"/>
      <c r="B92" s="77" t="s">
        <v>39</v>
      </c>
      <c r="C92" s="283"/>
      <c r="D92" s="286"/>
      <c r="E92" s="283"/>
      <c r="F92" s="287">
        <f>'HPP MALL'!AR15</f>
        <v>2185000</v>
      </c>
      <c r="G92" s="269"/>
      <c r="H92" s="281"/>
      <c r="I92" s="282"/>
      <c r="J92" s="294"/>
      <c r="K92" s="286"/>
      <c r="L92" s="287" t="str">
        <f>'HPP STAR'!AR15</f>
        <v/>
      </c>
    </row>
    <row r="93" ht="14.25" customHeight="1">
      <c r="A93" s="281"/>
      <c r="B93" s="110"/>
      <c r="C93" s="283"/>
      <c r="D93" s="286"/>
      <c r="E93" s="283"/>
      <c r="F93" s="287"/>
      <c r="G93" s="269"/>
      <c r="H93" s="281"/>
      <c r="I93" s="282"/>
      <c r="J93" s="294"/>
      <c r="K93" s="286"/>
      <c r="L93" s="287"/>
    </row>
    <row r="94" ht="14.25" customHeight="1">
      <c r="A94" s="281"/>
      <c r="B94" s="110"/>
      <c r="C94" s="283"/>
      <c r="D94" s="286"/>
      <c r="E94" s="283"/>
      <c r="F94" s="287"/>
      <c r="G94" s="269"/>
      <c r="H94" s="281"/>
      <c r="I94" s="282"/>
      <c r="J94" s="294"/>
      <c r="K94" s="286"/>
      <c r="L94" s="287"/>
    </row>
    <row r="95">
      <c r="A95" s="328" t="s">
        <v>689</v>
      </c>
      <c r="B95" s="329" t="s">
        <v>92</v>
      </c>
      <c r="C95" s="330"/>
      <c r="D95" s="331"/>
      <c r="E95" s="330"/>
      <c r="F95" s="331"/>
      <c r="G95" s="332"/>
      <c r="H95" s="328"/>
      <c r="I95" s="330"/>
      <c r="J95" s="331"/>
      <c r="K95" s="331"/>
      <c r="L95" s="33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</row>
    <row r="96">
      <c r="A96" s="333"/>
      <c r="B96" s="122"/>
      <c r="C96" s="286"/>
      <c r="D96" s="286"/>
      <c r="E96" s="286"/>
      <c r="F96" s="287"/>
      <c r="G96" s="269"/>
      <c r="H96" s="333"/>
      <c r="I96" s="286"/>
      <c r="J96" s="286"/>
      <c r="K96" s="286"/>
      <c r="L96" s="287"/>
    </row>
    <row r="97">
      <c r="A97" s="281" t="s">
        <v>690</v>
      </c>
      <c r="B97" s="122" t="s">
        <v>93</v>
      </c>
      <c r="C97" s="282">
        <v>15000.0</v>
      </c>
      <c r="D97" s="286"/>
      <c r="E97" s="286"/>
      <c r="F97" s="287">
        <f>'HPP MALL'!Q75</f>
        <v>8300</v>
      </c>
      <c r="G97" s="334" t="s">
        <v>691</v>
      </c>
      <c r="H97" s="281"/>
      <c r="I97" s="283"/>
      <c r="J97" s="283"/>
      <c r="K97" s="286"/>
      <c r="L97" s="287"/>
    </row>
    <row r="98">
      <c r="A98" s="281" t="s">
        <v>692</v>
      </c>
      <c r="B98" s="122" t="s">
        <v>94</v>
      </c>
      <c r="C98" s="282">
        <v>17000.0</v>
      </c>
      <c r="D98" s="335">
        <v>15000.0</v>
      </c>
      <c r="E98" s="286"/>
      <c r="F98" s="287">
        <f>'HPP MALL'!Q76</f>
        <v>13900</v>
      </c>
      <c r="G98" s="334" t="s">
        <v>691</v>
      </c>
      <c r="H98" s="281"/>
      <c r="I98" s="283"/>
      <c r="J98" s="283"/>
      <c r="K98" s="286"/>
      <c r="L98" s="287"/>
    </row>
    <row r="99">
      <c r="A99" s="281" t="s">
        <v>693</v>
      </c>
      <c r="B99" s="110" t="s">
        <v>95</v>
      </c>
      <c r="C99" s="283"/>
      <c r="D99" s="283"/>
      <c r="E99" s="286"/>
      <c r="F99" s="287">
        <f>'HPP MALL'!Q77</f>
        <v>8500</v>
      </c>
      <c r="G99" s="269"/>
      <c r="H99" s="281"/>
      <c r="I99" s="283"/>
      <c r="J99" s="283"/>
      <c r="K99" s="286"/>
      <c r="L99" s="287"/>
    </row>
    <row r="100">
      <c r="A100" s="281" t="s">
        <v>694</v>
      </c>
      <c r="B100" s="110" t="s">
        <v>96</v>
      </c>
      <c r="C100" s="283"/>
      <c r="D100" s="283"/>
      <c r="E100" s="286"/>
      <c r="F100" s="287">
        <f>'HPP MALL'!Q78</f>
        <v>8500</v>
      </c>
      <c r="G100" s="269"/>
      <c r="H100" s="281"/>
      <c r="I100" s="283"/>
      <c r="J100" s="283"/>
      <c r="K100" s="286"/>
      <c r="L100" s="287"/>
    </row>
    <row r="101">
      <c r="A101" s="281" t="s">
        <v>695</v>
      </c>
      <c r="B101" s="336"/>
      <c r="C101" s="283"/>
      <c r="D101" s="283"/>
      <c r="E101" s="286"/>
      <c r="F101" s="293"/>
      <c r="G101" s="269"/>
      <c r="H101" s="281"/>
      <c r="I101" s="283"/>
      <c r="J101" s="283"/>
      <c r="K101" s="286"/>
      <c r="L101" s="287"/>
    </row>
    <row r="102">
      <c r="A102" s="281" t="s">
        <v>696</v>
      </c>
      <c r="B102" s="337"/>
      <c r="C102" s="283"/>
      <c r="D102" s="283"/>
      <c r="E102" s="286"/>
      <c r="F102" s="293"/>
      <c r="G102" s="269"/>
      <c r="H102" s="281"/>
      <c r="I102" s="283"/>
      <c r="J102" s="283"/>
      <c r="K102" s="286"/>
      <c r="L102" s="287"/>
    </row>
    <row r="103">
      <c r="A103" s="281" t="s">
        <v>697</v>
      </c>
      <c r="B103" s="338"/>
      <c r="C103" s="283"/>
      <c r="D103" s="283"/>
      <c r="E103" s="286"/>
      <c r="F103" s="293"/>
      <c r="G103" s="269"/>
      <c r="H103" s="281"/>
      <c r="I103" s="283"/>
      <c r="J103" s="283"/>
      <c r="K103" s="286"/>
      <c r="L103" s="287"/>
    </row>
    <row r="104">
      <c r="A104" s="281" t="s">
        <v>698</v>
      </c>
      <c r="B104" s="110"/>
      <c r="C104" s="283"/>
      <c r="D104" s="283"/>
      <c r="E104" s="286"/>
      <c r="F104" s="293"/>
      <c r="G104" s="269"/>
      <c r="H104" s="281"/>
      <c r="I104" s="283"/>
      <c r="J104" s="283"/>
      <c r="K104" s="286"/>
      <c r="L104" s="287"/>
    </row>
    <row r="105">
      <c r="A105" s="339"/>
      <c r="B105" s="340"/>
      <c r="C105" s="339"/>
      <c r="D105" s="339"/>
      <c r="E105" s="339"/>
      <c r="F105" s="339"/>
      <c r="G105" s="341"/>
      <c r="H105" s="339"/>
      <c r="I105" s="342"/>
      <c r="J105" s="339"/>
      <c r="K105" s="339"/>
      <c r="L105" s="339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</row>
    <row r="106">
      <c r="A106" s="286"/>
      <c r="B106" s="104" t="s">
        <v>98</v>
      </c>
      <c r="C106" s="294">
        <v>3500.0</v>
      </c>
      <c r="D106" s="286"/>
      <c r="E106" s="286"/>
      <c r="F106" s="287">
        <f>'HPP MALL'!Q84</f>
        <v>3200</v>
      </c>
      <c r="G106" s="269"/>
      <c r="H106" s="286"/>
      <c r="I106" s="282">
        <v>3300.0</v>
      </c>
      <c r="J106" s="286"/>
      <c r="K106" s="286"/>
      <c r="L106" s="287">
        <f>'HPP STAR'!Q87</f>
        <v>3200</v>
      </c>
    </row>
    <row r="107">
      <c r="A107" s="286"/>
      <c r="B107" s="104" t="s">
        <v>99</v>
      </c>
      <c r="C107" s="294">
        <v>4900.0</v>
      </c>
      <c r="D107" s="286"/>
      <c r="E107" s="286"/>
      <c r="F107" s="287">
        <f>'HPP MALL'!Q85</f>
        <v>4000</v>
      </c>
      <c r="G107" s="269"/>
      <c r="H107" s="286"/>
      <c r="I107" s="294">
        <v>4500.0</v>
      </c>
      <c r="J107" s="286"/>
      <c r="K107" s="286"/>
      <c r="L107" s="287">
        <f>'HPP STAR'!Q88</f>
        <v>3600</v>
      </c>
    </row>
    <row r="108">
      <c r="A108" s="286"/>
      <c r="B108" s="104" t="s">
        <v>100</v>
      </c>
      <c r="C108" s="294">
        <v>6000.0</v>
      </c>
      <c r="D108" s="286"/>
      <c r="E108" s="286"/>
      <c r="F108" s="287">
        <f>'HPP MALL'!Q86</f>
        <v>5933.333333</v>
      </c>
      <c r="G108" s="269"/>
      <c r="H108" s="286"/>
      <c r="I108" s="294">
        <v>6000.0</v>
      </c>
      <c r="J108" s="286"/>
      <c r="K108" s="286"/>
      <c r="L108" s="287">
        <f>'HPP STAR'!Q89</f>
        <v>5600</v>
      </c>
    </row>
    <row r="109">
      <c r="A109" s="333"/>
      <c r="B109" s="104" t="s">
        <v>101</v>
      </c>
      <c r="C109" s="294">
        <v>10000.0</v>
      </c>
      <c r="D109" s="286"/>
      <c r="E109" s="286"/>
      <c r="F109" s="287">
        <f>'HPP MALL'!Q87</f>
        <v>9000</v>
      </c>
      <c r="G109" s="269"/>
      <c r="H109" s="333"/>
      <c r="I109" s="286"/>
      <c r="J109" s="286"/>
      <c r="K109" s="286"/>
      <c r="L109" s="287">
        <f>'HPP STAR'!Q90</f>
        <v>9000</v>
      </c>
    </row>
    <row r="110">
      <c r="A110" s="281" t="s">
        <v>699</v>
      </c>
      <c r="B110" s="104" t="s">
        <v>102</v>
      </c>
      <c r="C110" s="282">
        <v>13000.0</v>
      </c>
      <c r="D110" s="286"/>
      <c r="E110" s="286"/>
      <c r="F110" s="287">
        <f>'HPP MALL'!Q88</f>
        <v>11500</v>
      </c>
      <c r="G110" s="269"/>
      <c r="H110" s="281" t="s">
        <v>699</v>
      </c>
      <c r="I110" s="283">
        <v>10000.0</v>
      </c>
      <c r="J110" s="326">
        <v>9500.0</v>
      </c>
      <c r="K110" s="286"/>
      <c r="L110" s="287">
        <f>'HPP STAR'!Q91</f>
        <v>9800</v>
      </c>
    </row>
    <row r="111">
      <c r="A111" s="281" t="s">
        <v>700</v>
      </c>
      <c r="B111" s="104" t="s">
        <v>103</v>
      </c>
      <c r="C111" s="282">
        <v>16800.0</v>
      </c>
      <c r="D111" s="286"/>
      <c r="E111" s="286"/>
      <c r="F111" s="287">
        <f>'HPP MALL'!Q89</f>
        <v>17000</v>
      </c>
      <c r="G111" s="269"/>
      <c r="H111" s="281" t="s">
        <v>700</v>
      </c>
      <c r="I111" s="282">
        <v>16500.0</v>
      </c>
      <c r="J111" s="294">
        <v>14500.0</v>
      </c>
      <c r="K111" s="286"/>
      <c r="L111" s="287">
        <f>'HPP STAR'!Q92</f>
        <v>15900</v>
      </c>
    </row>
    <row r="112">
      <c r="A112" s="281" t="s">
        <v>701</v>
      </c>
      <c r="B112" s="343" t="s">
        <v>702</v>
      </c>
      <c r="C112" s="282">
        <v>6000.0</v>
      </c>
      <c r="D112" s="286"/>
      <c r="E112" s="286"/>
      <c r="F112" s="287">
        <f>'HPP MALL'!Q86</f>
        <v>5933.333333</v>
      </c>
      <c r="G112" s="269"/>
      <c r="H112" s="281" t="s">
        <v>701</v>
      </c>
      <c r="I112" s="283"/>
      <c r="J112" s="286"/>
      <c r="K112" s="286"/>
      <c r="L112" s="287" t="str">
        <f>'HPP STAR'!Q93</f>
        <v/>
      </c>
    </row>
    <row r="113">
      <c r="A113" s="281"/>
      <c r="B113" s="153"/>
      <c r="C113" s="294"/>
      <c r="D113" s="286"/>
      <c r="E113" s="286"/>
      <c r="F113" s="287"/>
      <c r="G113" s="269"/>
      <c r="H113" s="281"/>
      <c r="I113" s="286"/>
      <c r="J113" s="286"/>
      <c r="K113" s="286"/>
      <c r="L113" s="287">
        <f>'HPP STAR'!Q94</f>
        <v>2916.666667</v>
      </c>
    </row>
    <row r="114">
      <c r="A114" s="344" t="s">
        <v>703</v>
      </c>
      <c r="B114" s="104" t="s">
        <v>104</v>
      </c>
      <c r="C114" s="294">
        <v>19800.0</v>
      </c>
      <c r="D114" s="286"/>
      <c r="E114" s="286"/>
      <c r="F114" s="287">
        <f>'HPP MALL'!P91</f>
        <v>17700</v>
      </c>
      <c r="G114" s="269"/>
      <c r="H114" s="344" t="s">
        <v>703</v>
      </c>
      <c r="I114" s="294">
        <v>19800.0</v>
      </c>
      <c r="J114" s="294">
        <v>17600.0</v>
      </c>
      <c r="K114" s="286"/>
      <c r="L114" s="287">
        <f>'HPP STAR'!P94</f>
        <v>17500</v>
      </c>
    </row>
    <row r="115">
      <c r="A115" s="13"/>
      <c r="B115" s="104" t="s">
        <v>105</v>
      </c>
      <c r="C115" s="282">
        <v>29000.0</v>
      </c>
      <c r="D115" s="286"/>
      <c r="E115" s="286"/>
      <c r="F115" s="287">
        <f>'HPP MALL'!P92</f>
        <v>25000</v>
      </c>
      <c r="G115" s="269"/>
      <c r="H115" s="13"/>
      <c r="I115" s="282">
        <v>24000.0</v>
      </c>
      <c r="J115" s="294">
        <v>22600.0</v>
      </c>
      <c r="K115" s="286"/>
      <c r="L115" s="287">
        <f>'HPP STAR'!P95</f>
        <v>21000</v>
      </c>
    </row>
    <row r="116">
      <c r="A116" s="14"/>
      <c r="B116" s="104" t="s">
        <v>106</v>
      </c>
      <c r="C116" s="282">
        <v>39000.0</v>
      </c>
      <c r="D116" s="286"/>
      <c r="E116" s="286"/>
      <c r="F116" s="287">
        <f>'HPP MALL'!P93</f>
        <v>32000</v>
      </c>
      <c r="G116" s="269"/>
      <c r="H116" s="14"/>
      <c r="I116" s="282">
        <v>39000.0</v>
      </c>
      <c r="J116" s="294">
        <v>35000.0</v>
      </c>
      <c r="K116" s="286"/>
      <c r="L116" s="287">
        <f>'HPP STAR'!P96</f>
        <v>33000</v>
      </c>
    </row>
    <row r="117">
      <c r="A117" s="344" t="s">
        <v>704</v>
      </c>
      <c r="B117" s="345"/>
      <c r="C117" s="286"/>
      <c r="D117" s="286"/>
      <c r="E117" s="286"/>
      <c r="F117" s="287"/>
      <c r="G117" s="269"/>
      <c r="H117" s="344" t="s">
        <v>704</v>
      </c>
      <c r="I117" s="286"/>
      <c r="J117" s="286"/>
      <c r="K117" s="286"/>
      <c r="L117" s="287" t="str">
        <f>'HPP STAR'!P97</f>
        <v/>
      </c>
    </row>
    <row r="118">
      <c r="A118" s="13"/>
      <c r="B118" s="104" t="s">
        <v>107</v>
      </c>
      <c r="C118" s="283"/>
      <c r="D118" s="286"/>
      <c r="E118" s="286"/>
      <c r="F118" s="287">
        <f>'HPP MALL'!Q95</f>
        <v>0</v>
      </c>
      <c r="G118" s="269"/>
      <c r="H118" s="13"/>
      <c r="I118" s="282">
        <v>65000.0</v>
      </c>
      <c r="J118" s="294">
        <v>60000.0</v>
      </c>
      <c r="K118" s="286"/>
      <c r="L118" s="287">
        <f>'HPP STAR'!P98</f>
        <v>65000</v>
      </c>
    </row>
    <row r="119">
      <c r="A119" s="13"/>
      <c r="B119" s="104" t="s">
        <v>108</v>
      </c>
      <c r="C119" s="283"/>
      <c r="D119" s="286"/>
      <c r="E119" s="286"/>
      <c r="F119" s="287">
        <f>'HPP MALL'!Q96</f>
        <v>0</v>
      </c>
      <c r="G119" s="269"/>
      <c r="H119" s="13"/>
      <c r="I119" s="282">
        <v>34000.0</v>
      </c>
      <c r="J119" s="294">
        <v>29500.0</v>
      </c>
      <c r="K119" s="286"/>
      <c r="L119" s="287">
        <f>'HPP STAR'!P99</f>
        <v>34000</v>
      </c>
    </row>
    <row r="120">
      <c r="A120" s="14"/>
      <c r="B120" s="104" t="s">
        <v>109</v>
      </c>
      <c r="C120" s="283"/>
      <c r="D120" s="286"/>
      <c r="E120" s="286"/>
      <c r="F120" s="287">
        <f>'HPP MALL'!Q97</f>
        <v>0</v>
      </c>
      <c r="G120" s="269"/>
      <c r="H120" s="14"/>
      <c r="I120" s="282">
        <v>36000.0</v>
      </c>
      <c r="J120" s="294">
        <v>32500.0</v>
      </c>
      <c r="K120" s="286"/>
      <c r="L120" s="287">
        <f>'HPP STAR'!P100</f>
        <v>36000</v>
      </c>
    </row>
    <row r="121">
      <c r="A121" s="311"/>
      <c r="B121" s="136"/>
      <c r="C121" s="311"/>
      <c r="D121" s="311"/>
      <c r="E121" s="311"/>
      <c r="F121" s="311"/>
      <c r="G121" s="312"/>
      <c r="H121" s="311"/>
      <c r="I121" s="311"/>
      <c r="J121" s="311"/>
      <c r="K121" s="311"/>
      <c r="L121" s="311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</row>
    <row r="122">
      <c r="A122" s="346"/>
      <c r="B122" s="104" t="s">
        <v>110</v>
      </c>
      <c r="C122" s="294">
        <v>180000.0</v>
      </c>
      <c r="D122" s="286"/>
      <c r="E122" s="286"/>
      <c r="F122" s="287">
        <f>'HPP MALL'!P99</f>
        <v>162450</v>
      </c>
      <c r="G122" s="269"/>
      <c r="H122" s="346"/>
      <c r="I122" s="294">
        <v>180000.0</v>
      </c>
      <c r="J122" s="294">
        <v>150000.0</v>
      </c>
      <c r="K122" s="286"/>
      <c r="L122" s="287">
        <f>'HPP STAR'!P102</f>
        <v>150000</v>
      </c>
    </row>
    <row r="123">
      <c r="A123" s="281" t="s">
        <v>705</v>
      </c>
      <c r="B123" s="104" t="s">
        <v>111</v>
      </c>
      <c r="C123" s="282">
        <v>225000.0</v>
      </c>
      <c r="D123" s="283"/>
      <c r="E123" s="286"/>
      <c r="F123" s="287">
        <f>'HPP MALL'!P100</f>
        <v>197000</v>
      </c>
      <c r="G123" s="269"/>
      <c r="H123" s="281" t="s">
        <v>705</v>
      </c>
      <c r="I123" s="282">
        <v>200000.0</v>
      </c>
      <c r="J123" s="294">
        <v>190000.0</v>
      </c>
      <c r="K123" s="286"/>
      <c r="L123" s="287">
        <f>'HPP STAR'!P103</f>
        <v>185000</v>
      </c>
    </row>
    <row r="124">
      <c r="A124" s="281" t="s">
        <v>706</v>
      </c>
      <c r="B124" s="104" t="s">
        <v>112</v>
      </c>
      <c r="C124" s="282">
        <v>325000.0</v>
      </c>
      <c r="D124" s="283"/>
      <c r="E124" s="286"/>
      <c r="F124" s="287">
        <f>'HPP MALL'!P101</f>
        <v>269000</v>
      </c>
      <c r="G124" s="269"/>
      <c r="H124" s="281" t="s">
        <v>706</v>
      </c>
      <c r="I124" s="282">
        <v>325000.0</v>
      </c>
      <c r="J124" s="294">
        <v>270000.0</v>
      </c>
      <c r="K124" s="286"/>
      <c r="L124" s="287">
        <f>'HPP STAR'!P104</f>
        <v>250000</v>
      </c>
    </row>
    <row r="125">
      <c r="A125" s="281" t="s">
        <v>707</v>
      </c>
      <c r="B125" s="104" t="s">
        <v>113</v>
      </c>
      <c r="C125" s="282">
        <v>265000.0</v>
      </c>
      <c r="D125" s="286"/>
      <c r="E125" s="286"/>
      <c r="F125" s="287">
        <f>'HPP MALL'!P102</f>
        <v>256000</v>
      </c>
      <c r="G125" s="269"/>
      <c r="H125" s="281" t="s">
        <v>707</v>
      </c>
      <c r="I125" s="282">
        <v>255000.0</v>
      </c>
      <c r="J125" s="294">
        <v>235000.0</v>
      </c>
      <c r="K125" s="286"/>
      <c r="L125" s="287">
        <f>'HPP STAR'!P105</f>
        <v>239000</v>
      </c>
    </row>
    <row r="126">
      <c r="A126" s="281" t="s">
        <v>708</v>
      </c>
      <c r="B126" s="104" t="s">
        <v>114</v>
      </c>
      <c r="C126" s="282">
        <v>67000.0</v>
      </c>
      <c r="D126" s="286"/>
      <c r="E126" s="286"/>
      <c r="F126" s="287">
        <f>'HPP MALL'!P103</f>
        <v>62000</v>
      </c>
      <c r="G126" s="269"/>
      <c r="H126" s="281" t="s">
        <v>708</v>
      </c>
      <c r="I126" s="282">
        <v>65000.0</v>
      </c>
      <c r="J126" s="294"/>
      <c r="K126" s="286"/>
      <c r="L126" s="287">
        <f>'HPP STAR'!P106</f>
        <v>57000</v>
      </c>
    </row>
    <row r="127">
      <c r="A127" s="347" t="s">
        <v>709</v>
      </c>
      <c r="B127" s="348" t="s">
        <v>115</v>
      </c>
      <c r="C127" s="349"/>
      <c r="D127" s="298"/>
      <c r="E127" s="298"/>
      <c r="F127" s="298"/>
      <c r="G127" s="300"/>
      <c r="H127" s="347" t="s">
        <v>709</v>
      </c>
      <c r="I127" s="349"/>
      <c r="J127" s="298"/>
      <c r="K127" s="298"/>
      <c r="L127" s="298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</row>
    <row r="128">
      <c r="A128" s="281" t="s">
        <v>710</v>
      </c>
      <c r="B128" s="104" t="s">
        <v>116</v>
      </c>
      <c r="C128" s="282">
        <v>35000.0</v>
      </c>
      <c r="D128" s="286"/>
      <c r="E128" s="286"/>
      <c r="F128" s="287">
        <f>'HPP MALL'!P105</f>
        <v>34000</v>
      </c>
      <c r="G128" s="269"/>
      <c r="H128" s="281" t="s">
        <v>710</v>
      </c>
      <c r="I128" s="282">
        <v>35000.0</v>
      </c>
      <c r="J128" s="294">
        <v>32000.0</v>
      </c>
      <c r="K128" s="286"/>
      <c r="L128" s="287"/>
    </row>
    <row r="129">
      <c r="A129" s="281"/>
      <c r="B129" s="122" t="s">
        <v>711</v>
      </c>
      <c r="C129" s="283"/>
      <c r="D129" s="286"/>
      <c r="E129" s="286"/>
      <c r="F129" s="287"/>
      <c r="G129" s="269"/>
      <c r="H129" s="281"/>
      <c r="I129" s="282">
        <v>32000.0</v>
      </c>
      <c r="J129" s="286"/>
      <c r="K129" s="286"/>
      <c r="L129" s="287"/>
    </row>
    <row r="130">
      <c r="A130" s="281"/>
      <c r="B130" s="122" t="s">
        <v>712</v>
      </c>
      <c r="C130" s="283"/>
      <c r="D130" s="286"/>
      <c r="E130" s="286"/>
      <c r="F130" s="287"/>
      <c r="G130" s="269"/>
      <c r="H130" s="281"/>
      <c r="I130" s="282">
        <v>22000.0</v>
      </c>
      <c r="J130" s="286"/>
      <c r="K130" s="286"/>
      <c r="L130" s="287"/>
    </row>
    <row r="131" ht="27.75" customHeight="1">
      <c r="A131" s="350"/>
      <c r="B131" s="351" t="s">
        <v>680</v>
      </c>
      <c r="C131" s="352"/>
      <c r="D131" s="353"/>
      <c r="E131" s="353"/>
      <c r="F131" s="353"/>
      <c r="G131" s="354"/>
      <c r="H131" s="350"/>
      <c r="I131" s="352"/>
      <c r="J131" s="353"/>
      <c r="K131" s="353"/>
      <c r="L131" s="353"/>
      <c r="M131" s="355"/>
      <c r="N131" s="355"/>
      <c r="O131" s="355"/>
      <c r="P131" s="355"/>
      <c r="Q131" s="355"/>
      <c r="R131" s="355"/>
      <c r="S131" s="355"/>
      <c r="T131" s="355"/>
      <c r="U131" s="355"/>
      <c r="V131" s="355"/>
      <c r="W131" s="355"/>
      <c r="X131" s="355"/>
      <c r="Y131" s="355"/>
    </row>
    <row r="132">
      <c r="A132" s="281"/>
      <c r="B132" s="104" t="s">
        <v>98</v>
      </c>
      <c r="C132" s="282">
        <v>165000.0</v>
      </c>
      <c r="D132" s="286"/>
      <c r="E132" s="286"/>
      <c r="F132" s="287">
        <f>'HPP MALL'!AD84</f>
        <v>155000</v>
      </c>
      <c r="G132" s="269"/>
      <c r="H132" s="281"/>
      <c r="I132" s="282">
        <v>165000.0</v>
      </c>
      <c r="J132" s="294"/>
      <c r="K132" s="286"/>
      <c r="L132" s="287">
        <f>'HPP STAR'!AD87</f>
        <v>142000</v>
      </c>
    </row>
    <row r="133">
      <c r="A133" s="281"/>
      <c r="B133" s="104" t="s">
        <v>99</v>
      </c>
      <c r="C133" s="282">
        <v>200000.0</v>
      </c>
      <c r="D133" s="286"/>
      <c r="E133" s="286"/>
      <c r="F133" s="287">
        <f>'HPP MALL'!AD85</f>
        <v>178600</v>
      </c>
      <c r="G133" s="269"/>
      <c r="H133" s="281"/>
      <c r="I133" s="282">
        <v>200000.0</v>
      </c>
      <c r="J133" s="294">
        <v>180000.0</v>
      </c>
      <c r="K133" s="286"/>
      <c r="L133" s="287">
        <f>'HPP STAR'!AD88</f>
        <v>169000</v>
      </c>
    </row>
    <row r="134">
      <c r="A134" s="281"/>
      <c r="B134" s="104" t="s">
        <v>100</v>
      </c>
      <c r="C134" s="282">
        <v>325000.0</v>
      </c>
      <c r="D134" s="294">
        <v>270000.0</v>
      </c>
      <c r="E134" s="286"/>
      <c r="F134" s="287">
        <f>'HPP MALL'!AD86</f>
        <v>248000</v>
      </c>
      <c r="G134" s="269"/>
      <c r="H134" s="281"/>
      <c r="I134" s="282">
        <v>325000.0</v>
      </c>
      <c r="J134" s="294">
        <v>255000.0</v>
      </c>
      <c r="K134" s="286"/>
      <c r="L134" s="287">
        <f>'HPP STAR'!AD89</f>
        <v>230000</v>
      </c>
    </row>
    <row r="135">
      <c r="A135" s="281"/>
      <c r="B135" s="104" t="s">
        <v>101</v>
      </c>
      <c r="C135" s="282"/>
      <c r="D135" s="286"/>
      <c r="E135" s="286"/>
      <c r="F135" s="287">
        <f>'HPP MALL'!AD87</f>
        <v>389000</v>
      </c>
      <c r="G135" s="269"/>
      <c r="H135" s="281"/>
      <c r="I135" s="283"/>
      <c r="J135" s="286"/>
      <c r="K135" s="286"/>
      <c r="L135" s="287">
        <f>'HPP STAR'!AD90</f>
        <v>350000</v>
      </c>
    </row>
    <row r="136">
      <c r="A136" s="281"/>
      <c r="B136" s="104" t="s">
        <v>102</v>
      </c>
      <c r="C136" s="282">
        <v>250000.0</v>
      </c>
      <c r="D136" s="294"/>
      <c r="E136" s="286"/>
      <c r="F136" s="287">
        <f>'HPP MALL'!AD88</f>
        <v>213500</v>
      </c>
      <c r="G136" s="269"/>
      <c r="H136" s="281"/>
      <c r="I136" s="282">
        <v>250000.0</v>
      </c>
      <c r="J136" s="294">
        <v>215000.0</v>
      </c>
      <c r="K136" s="286"/>
      <c r="L136" s="287">
        <f>'HPP STAR'!AD91</f>
        <v>205000</v>
      </c>
    </row>
    <row r="137">
      <c r="A137" s="281"/>
      <c r="B137" s="122"/>
      <c r="C137" s="282"/>
      <c r="D137" s="286"/>
      <c r="E137" s="286"/>
      <c r="F137" s="287"/>
      <c r="G137" s="269"/>
      <c r="H137" s="281"/>
      <c r="I137" s="283"/>
      <c r="J137" s="286"/>
      <c r="K137" s="286"/>
      <c r="L137" s="287" t="str">
        <f>'HPP STAR'!AD92</f>
        <v/>
      </c>
    </row>
    <row r="138">
      <c r="A138" s="281"/>
      <c r="B138" s="122"/>
      <c r="C138" s="282"/>
      <c r="D138" s="286"/>
      <c r="E138" s="286"/>
      <c r="F138" s="287"/>
      <c r="G138" s="269"/>
      <c r="H138" s="281"/>
      <c r="I138" s="283"/>
      <c r="J138" s="286"/>
      <c r="K138" s="286"/>
      <c r="L138" s="287"/>
    </row>
    <row r="139">
      <c r="A139" s="356"/>
      <c r="B139" s="357" t="s">
        <v>117</v>
      </c>
      <c r="C139" s="356"/>
      <c r="D139" s="356"/>
      <c r="E139" s="356"/>
      <c r="F139" s="356"/>
      <c r="G139" s="358"/>
      <c r="H139" s="356"/>
      <c r="I139" s="359"/>
      <c r="J139" s="356"/>
      <c r="K139" s="356"/>
      <c r="L139" s="356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</row>
    <row r="140">
      <c r="A140" s="281" t="s">
        <v>713</v>
      </c>
      <c r="B140" s="104" t="s">
        <v>118</v>
      </c>
      <c r="C140" s="282">
        <v>5000.0</v>
      </c>
      <c r="D140" s="286"/>
      <c r="E140" s="286"/>
      <c r="F140" s="287">
        <f>'HPP MALL'!Q107</f>
        <v>5000</v>
      </c>
      <c r="G140" s="269"/>
      <c r="H140" s="281" t="s">
        <v>713</v>
      </c>
      <c r="I140" s="282">
        <v>4900.0</v>
      </c>
      <c r="J140" s="286"/>
      <c r="K140" s="286"/>
      <c r="L140" s="287">
        <f>'HPP STAR'!Q110</f>
        <v>4500</v>
      </c>
    </row>
    <row r="141">
      <c r="A141" s="289"/>
      <c r="B141" s="104" t="s">
        <v>119</v>
      </c>
      <c r="C141" s="294">
        <v>5000.0</v>
      </c>
      <c r="D141" s="286"/>
      <c r="E141" s="286"/>
      <c r="F141" s="287">
        <f>'HPP MALL'!Q108</f>
        <v>4875</v>
      </c>
      <c r="G141" s="269"/>
      <c r="H141" s="289"/>
      <c r="I141" s="282">
        <v>5000.0</v>
      </c>
      <c r="J141" s="286"/>
      <c r="K141" s="286"/>
      <c r="L141" s="287">
        <f>'HPP STAR'!Q111</f>
        <v>4500</v>
      </c>
    </row>
    <row r="142">
      <c r="A142" s="289"/>
      <c r="B142" s="104" t="s">
        <v>120</v>
      </c>
      <c r="C142" s="294">
        <v>5000.0</v>
      </c>
      <c r="D142" s="286"/>
      <c r="E142" s="286"/>
      <c r="F142" s="287">
        <f>'HPP MALL'!Q109</f>
        <v>4600</v>
      </c>
      <c r="G142" s="269"/>
      <c r="H142" s="289"/>
      <c r="I142" s="282">
        <v>5000.0</v>
      </c>
      <c r="J142" s="286"/>
      <c r="K142" s="286"/>
      <c r="L142" s="287">
        <f>'HPP STAR'!Q112</f>
        <v>4800</v>
      </c>
    </row>
    <row r="143">
      <c r="A143" s="289"/>
      <c r="B143" s="104" t="s">
        <v>121</v>
      </c>
      <c r="C143" s="282">
        <v>7000.0</v>
      </c>
      <c r="D143" s="283"/>
      <c r="E143" s="286"/>
      <c r="F143" s="287">
        <f>'HPP MALL'!Q110</f>
        <v>7000</v>
      </c>
      <c r="G143" s="269"/>
      <c r="H143" s="289"/>
      <c r="I143" s="282">
        <v>7000.0</v>
      </c>
      <c r="J143" s="294"/>
      <c r="K143" s="286"/>
      <c r="L143" s="287">
        <f>'HPP STAR'!Q113</f>
        <v>7000</v>
      </c>
    </row>
    <row r="144">
      <c r="A144" s="289"/>
      <c r="B144" s="104" t="s">
        <v>122</v>
      </c>
      <c r="C144" s="282">
        <v>8000.0</v>
      </c>
      <c r="D144" s="283"/>
      <c r="E144" s="286"/>
      <c r="F144" s="287">
        <f>'HPP MALL'!Q111</f>
        <v>7633.333333</v>
      </c>
      <c r="G144" s="269"/>
      <c r="H144" s="289"/>
      <c r="I144" s="282">
        <v>8000.0</v>
      </c>
      <c r="J144" s="294">
        <v>7200.0</v>
      </c>
      <c r="K144" s="286"/>
      <c r="L144" s="287">
        <f>'HPP STAR'!Q114</f>
        <v>7200</v>
      </c>
    </row>
    <row r="145">
      <c r="A145" s="289"/>
      <c r="B145" s="104" t="s">
        <v>123</v>
      </c>
      <c r="C145" s="282">
        <v>14900.0</v>
      </c>
      <c r="D145" s="282">
        <v>11100.0</v>
      </c>
      <c r="E145" s="286"/>
      <c r="F145" s="287">
        <f>'HPP MALL'!Q112</f>
        <v>10500</v>
      </c>
      <c r="G145" s="269"/>
      <c r="H145" s="289"/>
      <c r="I145" s="282">
        <v>14900.0</v>
      </c>
      <c r="J145" s="294">
        <v>9000.0</v>
      </c>
      <c r="K145" s="286"/>
      <c r="L145" s="287"/>
    </row>
    <row r="146">
      <c r="A146" s="289"/>
      <c r="B146" s="104" t="s">
        <v>124</v>
      </c>
      <c r="C146" s="282">
        <v>16000.0</v>
      </c>
      <c r="D146" s="282">
        <v>15100.0</v>
      </c>
      <c r="E146" s="286"/>
      <c r="F146" s="287">
        <f>'HPP MALL'!Q113</f>
        <v>15200</v>
      </c>
      <c r="G146" s="269"/>
      <c r="H146" s="289"/>
      <c r="I146" s="282">
        <v>16000.0</v>
      </c>
      <c r="J146" s="294">
        <v>12500.0</v>
      </c>
      <c r="K146" s="286"/>
      <c r="L146" s="287"/>
    </row>
    <row r="147">
      <c r="A147" s="289"/>
      <c r="B147" s="104" t="s">
        <v>125</v>
      </c>
      <c r="C147" s="294">
        <v>19000.0</v>
      </c>
      <c r="D147" s="294">
        <v>16500.0</v>
      </c>
      <c r="E147" s="286"/>
      <c r="F147" s="287">
        <f>'HPP MALL'!Q114</f>
        <v>17000</v>
      </c>
      <c r="G147" s="269"/>
      <c r="H147" s="289"/>
      <c r="I147" s="294">
        <v>19000.0</v>
      </c>
      <c r="J147" s="294">
        <v>14000.0</v>
      </c>
      <c r="K147" s="286"/>
      <c r="L147" s="287"/>
    </row>
    <row r="148">
      <c r="A148" s="346"/>
      <c r="B148" s="122" t="s">
        <v>714</v>
      </c>
      <c r="C148" s="294">
        <v>44900.0</v>
      </c>
      <c r="D148" s="294">
        <v>42500.0</v>
      </c>
      <c r="E148" s="286"/>
      <c r="F148" s="287">
        <f>'HPP MALL'!P115</f>
        <v>35000</v>
      </c>
      <c r="G148" s="269"/>
      <c r="H148" s="346"/>
      <c r="I148" s="294">
        <v>44900.0</v>
      </c>
      <c r="J148" s="294">
        <v>37500.0</v>
      </c>
      <c r="K148" s="286"/>
      <c r="L148" s="287">
        <f>'HPP STAR'!P118</f>
        <v>32000</v>
      </c>
    </row>
    <row r="149">
      <c r="A149" s="286"/>
      <c r="B149" s="104" t="s">
        <v>127</v>
      </c>
      <c r="C149" s="282">
        <v>10000.0</v>
      </c>
      <c r="D149" s="283"/>
      <c r="E149" s="286"/>
      <c r="F149" s="287">
        <f>'HPP MALL'!Q116</f>
        <v>8600</v>
      </c>
      <c r="G149" s="269"/>
      <c r="H149" s="286"/>
      <c r="I149" s="282">
        <v>10000.0</v>
      </c>
      <c r="J149" s="286"/>
      <c r="K149" s="286"/>
      <c r="L149" s="287"/>
    </row>
    <row r="150">
      <c r="A150" s="360" t="s">
        <v>715</v>
      </c>
      <c r="B150" s="357" t="s">
        <v>128</v>
      </c>
      <c r="C150" s="359"/>
      <c r="D150" s="359"/>
      <c r="E150" s="356"/>
      <c r="F150" s="356"/>
      <c r="G150" s="356"/>
      <c r="H150" s="360" t="s">
        <v>715</v>
      </c>
      <c r="I150" s="359"/>
      <c r="J150" s="356"/>
      <c r="K150" s="356"/>
      <c r="L150" s="356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</row>
    <row r="151">
      <c r="A151" s="281" t="s">
        <v>716</v>
      </c>
      <c r="B151" s="104" t="s">
        <v>129</v>
      </c>
      <c r="C151" s="282">
        <v>27000.0</v>
      </c>
      <c r="D151" s="283"/>
      <c r="E151" s="286"/>
      <c r="F151" s="287">
        <f>'HPP MALL'!P118</f>
        <v>27000</v>
      </c>
      <c r="G151" s="269"/>
      <c r="H151" s="281" t="s">
        <v>716</v>
      </c>
      <c r="I151" s="282">
        <v>27000.0</v>
      </c>
      <c r="J151" s="294">
        <v>25000.0</v>
      </c>
      <c r="K151" s="286"/>
      <c r="L151" s="287"/>
    </row>
    <row r="152">
      <c r="A152" s="286"/>
      <c r="B152" s="104" t="s">
        <v>130</v>
      </c>
      <c r="C152" s="282">
        <v>49000.0</v>
      </c>
      <c r="D152" s="283"/>
      <c r="E152" s="286"/>
      <c r="F152" s="287">
        <f>'HPP MALL'!P119</f>
        <v>27200</v>
      </c>
      <c r="G152" s="269"/>
      <c r="H152" s="286"/>
      <c r="I152" s="282">
        <v>49000.0</v>
      </c>
      <c r="J152" s="286"/>
      <c r="K152" s="286"/>
      <c r="L152" s="287"/>
    </row>
    <row r="153">
      <c r="A153" s="286"/>
      <c r="B153" s="104" t="s">
        <v>131</v>
      </c>
      <c r="C153" s="282">
        <v>45000.0</v>
      </c>
      <c r="D153" s="282">
        <v>38500.0</v>
      </c>
      <c r="E153" s="286"/>
      <c r="F153" s="287">
        <f>'HPP MALL'!P120</f>
        <v>36512</v>
      </c>
      <c r="G153" s="269"/>
      <c r="H153" s="286"/>
      <c r="I153" s="282">
        <v>45000.0</v>
      </c>
      <c r="J153" s="334">
        <v>36000.0</v>
      </c>
      <c r="K153" s="286"/>
      <c r="L153" s="287"/>
    </row>
    <row r="154">
      <c r="A154" s="286"/>
      <c r="B154" s="104" t="s">
        <v>132</v>
      </c>
      <c r="C154" s="282">
        <v>48000.0</v>
      </c>
      <c r="D154" s="282">
        <v>45000.0</v>
      </c>
      <c r="E154" s="286"/>
      <c r="F154" s="287">
        <f>'HPP MALL'!P121</f>
        <v>45000</v>
      </c>
      <c r="G154" s="269"/>
      <c r="H154" s="286"/>
      <c r="I154" s="282">
        <v>48000.0</v>
      </c>
      <c r="J154" s="294">
        <v>44000.0</v>
      </c>
      <c r="K154" s="286"/>
      <c r="L154" s="287"/>
    </row>
    <row r="155">
      <c r="A155" s="286"/>
      <c r="B155" s="242" t="s">
        <v>133</v>
      </c>
      <c r="C155" s="294">
        <v>70000.0</v>
      </c>
      <c r="D155" s="294">
        <v>60000.0</v>
      </c>
      <c r="E155" s="286"/>
      <c r="F155" s="287">
        <f>'HPP MALL'!P122</f>
        <v>60000</v>
      </c>
      <c r="G155" s="269"/>
      <c r="H155" s="286"/>
      <c r="I155" s="294">
        <v>70000.0</v>
      </c>
      <c r="J155" s="294">
        <v>65000.0</v>
      </c>
      <c r="K155" s="286"/>
      <c r="L155" s="287"/>
    </row>
    <row r="156">
      <c r="A156" s="361"/>
      <c r="B156" s="104" t="s">
        <v>134</v>
      </c>
      <c r="C156" s="294">
        <v>50000.0</v>
      </c>
      <c r="D156" s="294"/>
      <c r="E156" s="286"/>
      <c r="F156" s="287">
        <f>'HPP MALL'!P123</f>
        <v>47000</v>
      </c>
      <c r="G156" s="269"/>
      <c r="H156" s="361"/>
      <c r="I156" s="294">
        <v>45000.0</v>
      </c>
      <c r="J156" s="294">
        <v>40000.0</v>
      </c>
      <c r="K156" s="286"/>
      <c r="L156" s="287"/>
    </row>
    <row r="157">
      <c r="A157" s="281" t="s">
        <v>717</v>
      </c>
      <c r="B157" s="104" t="s">
        <v>135</v>
      </c>
      <c r="C157" s="282">
        <v>55000.0</v>
      </c>
      <c r="D157" s="282">
        <v>54000.0</v>
      </c>
      <c r="E157" s="286"/>
      <c r="F157" s="287">
        <f>'HPP MALL'!Q124</f>
        <v>55000</v>
      </c>
      <c r="G157" s="269"/>
      <c r="H157" s="281" t="s">
        <v>717</v>
      </c>
      <c r="I157" s="283"/>
      <c r="J157" s="286"/>
      <c r="K157" s="286"/>
      <c r="L157" s="287"/>
    </row>
    <row r="158">
      <c r="A158" s="347" t="s">
        <v>718</v>
      </c>
      <c r="B158" s="348" t="s">
        <v>136</v>
      </c>
      <c r="C158" s="349"/>
      <c r="D158" s="349"/>
      <c r="E158" s="298"/>
      <c r="F158" s="298"/>
      <c r="G158" s="298"/>
      <c r="H158" s="347" t="s">
        <v>718</v>
      </c>
      <c r="I158" s="349"/>
      <c r="J158" s="298"/>
      <c r="K158" s="298"/>
      <c r="L158" s="298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</row>
    <row r="159">
      <c r="A159" s="286"/>
      <c r="B159" s="104" t="s">
        <v>137</v>
      </c>
      <c r="C159" s="294">
        <v>35000.0</v>
      </c>
      <c r="D159" s="286"/>
      <c r="E159" s="286"/>
      <c r="F159" s="287">
        <f>'HPP MALL'!Q126</f>
        <v>31500</v>
      </c>
      <c r="G159" s="269"/>
      <c r="H159" s="286"/>
      <c r="I159" s="294">
        <v>36000.0</v>
      </c>
      <c r="J159" s="294"/>
      <c r="K159" s="286"/>
      <c r="L159" s="287"/>
    </row>
    <row r="160">
      <c r="A160" s="286"/>
      <c r="B160" s="104" t="s">
        <v>138</v>
      </c>
      <c r="C160" s="286"/>
      <c r="D160" s="286"/>
      <c r="E160" s="286"/>
      <c r="F160" s="287">
        <f>'HPP MALL'!Q127</f>
        <v>51500</v>
      </c>
      <c r="G160" s="269"/>
      <c r="H160" s="286"/>
      <c r="I160" s="283"/>
      <c r="J160" s="286"/>
      <c r="K160" s="286"/>
      <c r="L160" s="287"/>
    </row>
    <row r="161">
      <c r="A161" s="286"/>
      <c r="B161" s="104" t="s">
        <v>139</v>
      </c>
      <c r="C161" s="286"/>
      <c r="D161" s="286"/>
      <c r="E161" s="286"/>
      <c r="F161" s="287">
        <f>'HPP MALL'!Q128</f>
        <v>61000</v>
      </c>
      <c r="G161" s="269"/>
      <c r="H161" s="286"/>
      <c r="I161" s="283"/>
      <c r="J161" s="286"/>
      <c r="K161" s="286"/>
      <c r="L161" s="287"/>
    </row>
    <row r="162">
      <c r="A162" s="286"/>
      <c r="B162" s="105"/>
      <c r="C162" s="286"/>
      <c r="D162" s="286"/>
      <c r="E162" s="286"/>
      <c r="F162" s="287"/>
      <c r="G162" s="269"/>
      <c r="H162" s="286"/>
      <c r="I162" s="283"/>
      <c r="J162" s="286"/>
      <c r="K162" s="286"/>
      <c r="L162" s="287"/>
    </row>
    <row r="163">
      <c r="A163" s="286"/>
      <c r="B163" s="105"/>
      <c r="C163" s="286"/>
      <c r="D163" s="286"/>
      <c r="E163" s="286"/>
      <c r="F163" s="287"/>
      <c r="G163" s="269"/>
      <c r="H163" s="286"/>
      <c r="I163" s="283"/>
      <c r="J163" s="286"/>
      <c r="K163" s="286"/>
      <c r="L163" s="287"/>
    </row>
    <row r="164">
      <c r="A164" s="286"/>
      <c r="B164" s="105"/>
      <c r="C164" s="286"/>
      <c r="D164" s="286"/>
      <c r="E164" s="286"/>
      <c r="F164" s="287"/>
      <c r="G164" s="269"/>
      <c r="H164" s="286"/>
      <c r="I164" s="283"/>
      <c r="J164" s="286"/>
      <c r="K164" s="286"/>
      <c r="L164" s="287"/>
    </row>
    <row r="165" ht="21.0" customHeight="1">
      <c r="A165" s="353"/>
      <c r="B165" s="351" t="s">
        <v>680</v>
      </c>
      <c r="C165" s="353"/>
      <c r="D165" s="353"/>
      <c r="E165" s="353"/>
      <c r="F165" s="353"/>
      <c r="G165" s="354"/>
      <c r="H165" s="353"/>
      <c r="I165" s="352"/>
      <c r="J165" s="353"/>
      <c r="K165" s="353"/>
      <c r="L165" s="353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</row>
    <row r="166">
      <c r="A166" s="286"/>
      <c r="B166" s="362" t="s">
        <v>118</v>
      </c>
      <c r="C166" s="294">
        <v>225000.0</v>
      </c>
      <c r="D166" s="294">
        <v>217000.0</v>
      </c>
      <c r="E166" s="286"/>
      <c r="F166" s="287">
        <f>'HPP MALL'!AD107</f>
        <v>212000</v>
      </c>
      <c r="G166" s="269"/>
      <c r="H166" s="286"/>
      <c r="I166" s="282">
        <v>225000.0</v>
      </c>
      <c r="J166" s="294">
        <v>215000.0</v>
      </c>
      <c r="K166" s="286"/>
      <c r="L166" s="287"/>
    </row>
    <row r="167">
      <c r="A167" s="286"/>
      <c r="B167" s="362" t="s">
        <v>119</v>
      </c>
      <c r="C167" s="294">
        <v>220000.0</v>
      </c>
      <c r="D167" s="294">
        <v>215000.0</v>
      </c>
      <c r="E167" s="286"/>
      <c r="F167" s="287">
        <f>'HPP MALL'!AD108</f>
        <v>212000</v>
      </c>
      <c r="G167" s="269"/>
      <c r="H167" s="286"/>
      <c r="I167" s="282">
        <v>220000.0</v>
      </c>
      <c r="J167" s="294">
        <v>215000.0</v>
      </c>
      <c r="K167" s="286"/>
      <c r="L167" s="287"/>
    </row>
    <row r="168">
      <c r="A168" s="286"/>
      <c r="B168" s="362" t="s">
        <v>120</v>
      </c>
      <c r="C168" s="294">
        <v>250000.0</v>
      </c>
      <c r="D168" s="286"/>
      <c r="E168" s="286"/>
      <c r="F168" s="287">
        <f>'HPP MALL'!AD109</f>
        <v>215000</v>
      </c>
      <c r="G168" s="269"/>
      <c r="H168" s="286"/>
      <c r="I168" s="282">
        <v>250000.0</v>
      </c>
      <c r="J168" s="286"/>
      <c r="K168" s="286"/>
      <c r="L168" s="287"/>
    </row>
    <row r="169">
      <c r="A169" s="286"/>
      <c r="B169" s="362" t="s">
        <v>121</v>
      </c>
      <c r="C169" s="294">
        <v>360000.0</v>
      </c>
      <c r="D169" s="294">
        <v>276000.0</v>
      </c>
      <c r="E169" s="286"/>
      <c r="F169" s="287">
        <f>'HPP MALL'!AD110</f>
        <v>263000</v>
      </c>
      <c r="G169" s="269"/>
      <c r="H169" s="286"/>
      <c r="I169" s="282">
        <v>360000.0</v>
      </c>
      <c r="J169" s="294">
        <v>275000.0</v>
      </c>
      <c r="K169" s="286"/>
      <c r="L169" s="287"/>
    </row>
    <row r="170">
      <c r="A170" s="286"/>
      <c r="B170" s="362" t="s">
        <v>122</v>
      </c>
      <c r="C170" s="294">
        <v>200000.0</v>
      </c>
      <c r="D170" s="286"/>
      <c r="E170" s="286"/>
      <c r="F170" s="287">
        <f>'HPP MALL'!AD111</f>
        <v>181500</v>
      </c>
      <c r="G170" s="269"/>
      <c r="H170" s="286"/>
      <c r="I170" s="282">
        <v>200000.0</v>
      </c>
      <c r="J170" s="294">
        <v>148000.0</v>
      </c>
      <c r="K170" s="286"/>
      <c r="L170" s="287"/>
    </row>
    <row r="171">
      <c r="A171" s="286"/>
      <c r="B171" s="362" t="s">
        <v>123</v>
      </c>
      <c r="C171" s="294">
        <v>375000.0</v>
      </c>
      <c r="D171" s="294">
        <v>230000.0</v>
      </c>
      <c r="E171" s="286"/>
      <c r="F171" s="287">
        <f>'HPP MALL'!AD112</f>
        <v>214000</v>
      </c>
      <c r="G171" s="269"/>
      <c r="H171" s="286"/>
      <c r="I171" s="282">
        <v>375000.0</v>
      </c>
      <c r="J171" s="294">
        <v>180000.0</v>
      </c>
      <c r="K171" s="286"/>
      <c r="L171" s="287"/>
    </row>
    <row r="172">
      <c r="A172" s="286"/>
      <c r="B172" s="362" t="s">
        <v>124</v>
      </c>
      <c r="C172" s="286"/>
      <c r="D172" s="286"/>
      <c r="E172" s="286"/>
      <c r="F172" s="287">
        <f>'HPP MALL'!AD113</f>
        <v>206000</v>
      </c>
      <c r="G172" s="269"/>
      <c r="H172" s="286"/>
      <c r="I172" s="283"/>
      <c r="J172" s="286"/>
      <c r="K172" s="286"/>
      <c r="L172" s="287"/>
    </row>
    <row r="173">
      <c r="A173" s="286"/>
      <c r="B173" s="362" t="s">
        <v>126</v>
      </c>
      <c r="C173" s="294">
        <v>449000.0</v>
      </c>
      <c r="D173" s="294">
        <v>295000.0</v>
      </c>
      <c r="E173" s="286"/>
      <c r="F173" s="287">
        <f>'HPP MALL'!AD115</f>
        <v>277000</v>
      </c>
      <c r="G173" s="269"/>
      <c r="H173" s="286"/>
      <c r="I173" s="282">
        <v>449000.0</v>
      </c>
      <c r="J173" s="286"/>
      <c r="K173" s="286"/>
      <c r="L173" s="287">
        <f>'HPP STAR'!AD118</f>
        <v>250000</v>
      </c>
    </row>
    <row r="174">
      <c r="A174" s="286"/>
      <c r="B174" s="343" t="s">
        <v>719</v>
      </c>
      <c r="C174" s="325">
        <v>449000.0</v>
      </c>
      <c r="D174" s="325">
        <v>315000.0</v>
      </c>
      <c r="E174" s="286"/>
      <c r="F174" s="287">
        <f>'HPP MALL'!AD115</f>
        <v>277000</v>
      </c>
      <c r="G174" s="269"/>
      <c r="H174" s="286"/>
      <c r="I174" s="286"/>
      <c r="J174" s="286"/>
      <c r="K174" s="286"/>
      <c r="L174" s="287"/>
    </row>
    <row r="175">
      <c r="A175" s="286"/>
      <c r="B175" s="343"/>
      <c r="C175" s="294"/>
      <c r="D175" s="294"/>
      <c r="E175" s="286"/>
      <c r="F175" s="287"/>
      <c r="G175" s="269"/>
      <c r="H175" s="286"/>
      <c r="I175" s="286"/>
      <c r="J175" s="286"/>
      <c r="K175" s="286"/>
      <c r="L175" s="287"/>
    </row>
    <row r="176">
      <c r="A176" s="286"/>
      <c r="B176" s="343"/>
      <c r="C176" s="294"/>
      <c r="D176" s="294"/>
      <c r="E176" s="286"/>
      <c r="F176" s="287"/>
      <c r="G176" s="269"/>
      <c r="H176" s="286"/>
      <c r="I176" s="286"/>
      <c r="J176" s="286"/>
      <c r="K176" s="286"/>
      <c r="L176" s="287"/>
    </row>
    <row r="177">
      <c r="A177" s="286"/>
      <c r="B177" s="343"/>
      <c r="C177" s="294"/>
      <c r="D177" s="294"/>
      <c r="E177" s="286"/>
      <c r="F177" s="287"/>
      <c r="G177" s="269"/>
      <c r="H177" s="286"/>
      <c r="I177" s="286"/>
      <c r="J177" s="286"/>
      <c r="K177" s="286"/>
      <c r="L177" s="287"/>
    </row>
    <row r="178">
      <c r="A178" s="363"/>
      <c r="B178" s="364" t="s">
        <v>149</v>
      </c>
      <c r="C178" s="363"/>
      <c r="D178" s="363"/>
      <c r="E178" s="363"/>
      <c r="F178" s="363"/>
      <c r="G178" s="363"/>
      <c r="H178" s="363"/>
      <c r="I178" s="365"/>
      <c r="J178" s="363"/>
      <c r="K178" s="363"/>
      <c r="L178" s="363"/>
      <c r="M178" s="366"/>
      <c r="N178" s="366"/>
      <c r="O178" s="366"/>
      <c r="P178" s="366"/>
      <c r="Q178" s="366"/>
      <c r="R178" s="366"/>
      <c r="S178" s="366"/>
      <c r="T178" s="366"/>
      <c r="U178" s="366"/>
      <c r="V178" s="366"/>
      <c r="W178" s="366"/>
      <c r="X178" s="366"/>
      <c r="Y178" s="366"/>
    </row>
    <row r="179">
      <c r="A179" s="286"/>
      <c r="B179" s="104" t="s">
        <v>150</v>
      </c>
      <c r="C179" s="294">
        <v>23000.0</v>
      </c>
      <c r="D179" s="286"/>
      <c r="E179" s="286"/>
      <c r="F179" s="287">
        <f>'HPP MALL'!P149</f>
        <v>17800</v>
      </c>
      <c r="G179" s="269"/>
      <c r="H179" s="286"/>
      <c r="I179" s="308"/>
      <c r="J179" s="286"/>
      <c r="K179" s="286"/>
      <c r="L179" s="287">
        <f>'HPP STAR'!P152</f>
        <v>16800</v>
      </c>
    </row>
    <row r="180">
      <c r="A180" s="286"/>
      <c r="B180" s="104" t="s">
        <v>151</v>
      </c>
      <c r="C180" s="294">
        <v>23000.0</v>
      </c>
      <c r="D180" s="286"/>
      <c r="E180" s="286"/>
      <c r="F180" s="287">
        <f>'HPP MALL'!P150</f>
        <v>17800</v>
      </c>
      <c r="G180" s="367"/>
      <c r="H180" s="286"/>
      <c r="I180" s="308"/>
      <c r="J180" s="286"/>
      <c r="K180" s="286"/>
      <c r="L180" s="287">
        <f>'HPP STAR'!P153</f>
        <v>16800</v>
      </c>
    </row>
    <row r="181">
      <c r="A181" s="286"/>
      <c r="B181" s="104" t="s">
        <v>152</v>
      </c>
      <c r="C181" s="368">
        <v>45000.0</v>
      </c>
      <c r="D181" s="308"/>
      <c r="E181" s="286"/>
      <c r="F181" s="287">
        <f>'HPP MALL'!P151</f>
        <v>34000</v>
      </c>
      <c r="G181" s="269"/>
      <c r="H181" s="286"/>
      <c r="I181" s="308"/>
      <c r="J181" s="286"/>
      <c r="K181" s="286"/>
      <c r="L181" s="287">
        <f>'HPP STAR'!P154</f>
        <v>31000</v>
      </c>
    </row>
    <row r="182">
      <c r="A182" s="286"/>
      <c r="B182" s="122" t="s">
        <v>153</v>
      </c>
      <c r="C182" s="286"/>
      <c r="D182" s="286"/>
      <c r="E182" s="286"/>
      <c r="F182" s="287">
        <f>'HPP MALL'!P152</f>
        <v>389000</v>
      </c>
      <c r="G182" s="269"/>
      <c r="H182" s="369"/>
      <c r="I182" s="286"/>
      <c r="J182" s="286"/>
      <c r="K182" s="286"/>
      <c r="L182" s="287">
        <f>'HPP STAR'!P155</f>
        <v>92000</v>
      </c>
    </row>
    <row r="183">
      <c r="A183" s="286"/>
      <c r="B183" s="105"/>
      <c r="C183" s="286"/>
      <c r="D183" s="286"/>
      <c r="E183" s="286"/>
      <c r="F183" s="287"/>
      <c r="G183" s="269"/>
      <c r="H183" s="369"/>
      <c r="I183" s="286"/>
      <c r="J183" s="286"/>
      <c r="K183" s="286"/>
      <c r="L183" s="287"/>
    </row>
    <row r="184">
      <c r="A184" s="286"/>
      <c r="B184" s="105"/>
      <c r="C184" s="286"/>
      <c r="D184" s="286"/>
      <c r="E184" s="286"/>
      <c r="F184" s="287"/>
      <c r="G184" s="269"/>
      <c r="H184" s="369"/>
      <c r="I184" s="286"/>
      <c r="J184" s="286"/>
      <c r="K184" s="286"/>
      <c r="L184" s="287"/>
    </row>
    <row r="185">
      <c r="A185" s="286"/>
      <c r="B185" s="105"/>
      <c r="C185" s="286"/>
      <c r="D185" s="286"/>
      <c r="E185" s="286"/>
      <c r="F185" s="287" t="str">
        <f>'HPP MALL'!Q138</f>
        <v/>
      </c>
      <c r="G185" s="269"/>
      <c r="H185" s="369"/>
      <c r="I185" s="286"/>
      <c r="J185" s="286"/>
      <c r="K185" s="286"/>
      <c r="L185" s="287"/>
    </row>
    <row r="186">
      <c r="A186" s="298"/>
      <c r="B186" s="370" t="s">
        <v>154</v>
      </c>
      <c r="C186" s="371"/>
      <c r="D186" s="298"/>
      <c r="E186" s="298"/>
      <c r="F186" s="298"/>
      <c r="G186" s="298"/>
      <c r="H186" s="300"/>
      <c r="I186" s="298"/>
      <c r="J186" s="298"/>
      <c r="K186" s="298"/>
      <c r="L186" s="298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</row>
    <row r="187">
      <c r="A187" s="286"/>
      <c r="B187" s="104" t="s">
        <v>155</v>
      </c>
      <c r="C187" s="326">
        <v>9000.0</v>
      </c>
      <c r="D187" s="286"/>
      <c r="E187" s="286"/>
      <c r="F187" s="287">
        <f>'HPP MALL'!P159</f>
        <v>7900</v>
      </c>
      <c r="G187" s="269"/>
      <c r="H187" s="369"/>
      <c r="I187" s="294">
        <v>7000.0</v>
      </c>
      <c r="J187" s="286"/>
      <c r="K187" s="286"/>
      <c r="L187" s="287"/>
    </row>
    <row r="188">
      <c r="A188" s="286"/>
      <c r="B188" s="104" t="s">
        <v>156</v>
      </c>
      <c r="C188" s="326">
        <v>8000.0</v>
      </c>
      <c r="D188" s="325"/>
      <c r="E188" s="286"/>
      <c r="F188" s="287">
        <f>'HPP MALL'!P160</f>
        <v>6800</v>
      </c>
      <c r="G188" s="269"/>
      <c r="H188" s="369"/>
      <c r="I188" s="294">
        <v>5900.0</v>
      </c>
      <c r="J188" s="286"/>
      <c r="K188" s="286"/>
      <c r="L188" s="287"/>
    </row>
    <row r="189">
      <c r="A189" s="286"/>
      <c r="B189" s="104" t="s">
        <v>157</v>
      </c>
      <c r="C189" s="326">
        <v>75000.0</v>
      </c>
      <c r="D189" s="325"/>
      <c r="E189" s="286"/>
      <c r="F189" s="287">
        <f>'HPP MALL'!P161</f>
        <v>72000</v>
      </c>
      <c r="G189" s="269"/>
      <c r="H189" s="369"/>
      <c r="I189" s="294">
        <v>63000.0</v>
      </c>
      <c r="J189" s="286"/>
      <c r="K189" s="286"/>
      <c r="L189" s="287"/>
    </row>
    <row r="190">
      <c r="B190" s="104" t="s">
        <v>158</v>
      </c>
      <c r="C190" s="326">
        <v>62000.0</v>
      </c>
      <c r="D190" s="325"/>
      <c r="E190" s="286"/>
      <c r="F190" s="287">
        <f>'HPP MALL'!P162</f>
        <v>60000</v>
      </c>
      <c r="G190" s="269"/>
      <c r="H190" s="369"/>
      <c r="I190" s="294">
        <v>47000.0</v>
      </c>
      <c r="J190" s="286"/>
      <c r="K190" s="286"/>
      <c r="L190" s="287"/>
    </row>
    <row r="191">
      <c r="C191" s="325"/>
      <c r="D191" s="325"/>
      <c r="E191" s="286"/>
      <c r="F191" s="287" t="str">
        <f>'HPP MALL'!Q144</f>
        <v/>
      </c>
      <c r="G191" s="269"/>
      <c r="H191" s="369"/>
      <c r="I191" s="286"/>
      <c r="J191" s="286"/>
      <c r="K191" s="286"/>
      <c r="L191" s="287"/>
    </row>
    <row r="192">
      <c r="C192" s="325"/>
      <c r="D192" s="325"/>
      <c r="E192" s="286"/>
      <c r="F192" s="287"/>
      <c r="G192" s="269"/>
      <c r="H192" s="369"/>
      <c r="I192" s="286"/>
      <c r="J192" s="286"/>
      <c r="K192" s="286"/>
      <c r="L192" s="287"/>
    </row>
    <row r="193">
      <c r="C193" s="325"/>
      <c r="D193" s="325"/>
      <c r="E193" s="286"/>
      <c r="F193" s="287"/>
      <c r="G193" s="269"/>
      <c r="H193" s="369"/>
      <c r="I193" s="286"/>
      <c r="J193" s="286"/>
      <c r="K193" s="286"/>
      <c r="L193" s="287"/>
    </row>
    <row r="194">
      <c r="C194" s="325"/>
      <c r="D194" s="325"/>
      <c r="E194" s="286"/>
      <c r="F194" s="287"/>
      <c r="G194" s="269"/>
      <c r="H194" s="369"/>
      <c r="I194" s="286"/>
      <c r="J194" s="286"/>
      <c r="K194" s="286"/>
      <c r="L194" s="287"/>
    </row>
    <row r="195">
      <c r="C195" s="325"/>
      <c r="D195" s="325"/>
      <c r="E195" s="286"/>
      <c r="F195" s="287"/>
      <c r="G195" s="269"/>
      <c r="H195" s="369"/>
      <c r="I195" s="286"/>
      <c r="J195" s="286"/>
      <c r="K195" s="286"/>
      <c r="L195" s="287"/>
    </row>
    <row r="196">
      <c r="C196" s="325"/>
      <c r="D196" s="325"/>
      <c r="E196" s="286"/>
      <c r="F196" s="287"/>
      <c r="G196" s="269"/>
      <c r="H196" s="369"/>
      <c r="I196" s="286"/>
      <c r="J196" s="286"/>
      <c r="K196" s="286"/>
      <c r="L196" s="287"/>
    </row>
    <row r="197">
      <c r="C197" s="325"/>
      <c r="D197" s="325"/>
      <c r="E197" s="286"/>
      <c r="F197" s="287"/>
      <c r="G197" s="269"/>
      <c r="H197" s="369"/>
      <c r="I197" s="286"/>
      <c r="J197" s="286"/>
      <c r="K197" s="286"/>
      <c r="L197" s="287"/>
    </row>
    <row r="198">
      <c r="C198" s="325"/>
      <c r="D198" s="325"/>
      <c r="E198" s="286"/>
      <c r="F198" s="287"/>
      <c r="G198" s="269"/>
      <c r="H198" s="369"/>
      <c r="I198" s="286"/>
      <c r="J198" s="286"/>
      <c r="K198" s="286"/>
      <c r="L198" s="287"/>
    </row>
    <row r="199">
      <c r="C199" s="325"/>
      <c r="D199" s="325"/>
      <c r="E199" s="286"/>
      <c r="F199" s="287"/>
      <c r="G199" s="269"/>
      <c r="H199" s="369"/>
      <c r="I199" s="286"/>
      <c r="J199" s="286"/>
      <c r="K199" s="286"/>
      <c r="L199" s="287"/>
    </row>
    <row r="200">
      <c r="C200" s="325"/>
      <c r="D200" s="325"/>
      <c r="E200" s="286"/>
      <c r="F200" s="287"/>
      <c r="G200" s="269"/>
      <c r="H200" s="369"/>
      <c r="I200" s="286"/>
      <c r="J200" s="286"/>
      <c r="K200" s="286"/>
      <c r="L200" s="287"/>
    </row>
    <row r="201">
      <c r="C201" s="325"/>
      <c r="D201" s="325"/>
      <c r="E201" s="286"/>
      <c r="F201" s="287"/>
      <c r="G201" s="269"/>
      <c r="H201" s="369"/>
      <c r="I201" s="286"/>
      <c r="J201" s="286"/>
      <c r="K201" s="286"/>
      <c r="L201" s="287"/>
    </row>
  </sheetData>
  <mergeCells count="16">
    <mergeCell ref="H43:H47"/>
    <mergeCell ref="H50:H53"/>
    <mergeCell ref="H39:H42"/>
    <mergeCell ref="H59:H61"/>
    <mergeCell ref="H114:H116"/>
    <mergeCell ref="H117:H120"/>
    <mergeCell ref="A63:A83"/>
    <mergeCell ref="A114:A116"/>
    <mergeCell ref="A117:A120"/>
    <mergeCell ref="A1:A3"/>
    <mergeCell ref="B1:B3"/>
    <mergeCell ref="C1:F1"/>
    <mergeCell ref="H1:H3"/>
    <mergeCell ref="I1:L1"/>
    <mergeCell ref="A50:A53"/>
    <mergeCell ref="A59:A61"/>
  </mergeCells>
  <conditionalFormatting sqref="C5:C202 I69">
    <cfRule type="cellIs" dxfId="2" priority="1" operator="lessThan">
      <formula>F5:F202</formula>
    </cfRule>
  </conditionalFormatting>
  <conditionalFormatting sqref="I5:I202">
    <cfRule type="cellIs" dxfId="2" priority="2" operator="lessThan">
      <formula>L5:L202</formula>
    </cfRule>
  </conditionalFormatting>
  <conditionalFormatting sqref="J5:J202">
    <cfRule type="cellIs" dxfId="2" priority="3" operator="lessThan">
      <formula>L5:L202</formula>
    </cfRule>
  </conditionalFormatting>
  <conditionalFormatting sqref="K5:K203">
    <cfRule type="cellIs" dxfId="2" priority="4" operator="lessThan">
      <formula>L5:L203</formula>
    </cfRule>
  </conditionalFormatting>
  <conditionalFormatting sqref="D5:D203">
    <cfRule type="cellIs" dxfId="2" priority="5" operator="lessThan">
      <formula>F5:F203</formula>
    </cfRule>
  </conditionalFormatting>
  <conditionalFormatting sqref="E5:E203">
    <cfRule type="cellIs" dxfId="2" priority="6" operator="lessThan">
      <formula>F5:F203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17.25"/>
  </cols>
  <sheetData>
    <row r="1">
      <c r="A1" s="372"/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>
      <c r="A2" s="373"/>
      <c r="B2" s="374" t="s">
        <v>720</v>
      </c>
      <c r="D2" s="374" t="s">
        <v>721</v>
      </c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>
      <c r="A3" s="374" t="s">
        <v>722</v>
      </c>
      <c r="B3" s="375" t="s">
        <v>723</v>
      </c>
      <c r="C3" s="375" t="s">
        <v>724</v>
      </c>
      <c r="D3" s="376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>
      <c r="A4" s="374" t="s">
        <v>725</v>
      </c>
      <c r="B4" s="377">
        <v>9.5</v>
      </c>
      <c r="C4" s="378">
        <f>25000*100</f>
        <v>2500000</v>
      </c>
      <c r="D4" s="379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>
      <c r="A5" s="374" t="s">
        <v>726</v>
      </c>
      <c r="B5" s="377">
        <v>4.75</v>
      </c>
      <c r="C5" s="379">
        <f>5900*100</f>
        <v>590000</v>
      </c>
      <c r="D5" s="379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>
      <c r="A6" s="373"/>
      <c r="B6" s="380">
        <f>SUM(B4:B5)</f>
        <v>14.25</v>
      </c>
      <c r="C6" s="379"/>
      <c r="D6" s="379"/>
      <c r="E6" s="372"/>
      <c r="F6" s="372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</row>
    <row r="7">
      <c r="A7" s="375" t="s">
        <v>727</v>
      </c>
      <c r="B7" s="379">
        <f>B6*11000</f>
        <v>156750</v>
      </c>
      <c r="C7" s="379">
        <f>sum(C4:C6)</f>
        <v>3090000</v>
      </c>
      <c r="D7" s="379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</row>
    <row r="8">
      <c r="A8" s="381" t="s">
        <v>728</v>
      </c>
      <c r="B8" s="382">
        <f>B7+C7</f>
        <v>3246750</v>
      </c>
      <c r="D8" s="383">
        <v>3715600.0</v>
      </c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</row>
    <row r="9">
      <c r="A9" s="384" t="s">
        <v>729</v>
      </c>
      <c r="B9" s="385">
        <f>C7</f>
        <v>3090000</v>
      </c>
      <c r="D9" s="386">
        <v>3175550.0</v>
      </c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</row>
    <row r="10">
      <c r="A10" s="387" t="s">
        <v>730</v>
      </c>
      <c r="B10" s="388" t="s">
        <v>731</v>
      </c>
      <c r="C10" s="389"/>
      <c r="D10" s="388" t="s">
        <v>732</v>
      </c>
      <c r="E10" s="372"/>
      <c r="F10" s="372"/>
      <c r="G10" s="372"/>
      <c r="H10" s="372"/>
      <c r="I10" s="372"/>
      <c r="J10" s="372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</row>
    <row r="11">
      <c r="A11" s="372"/>
      <c r="B11" s="388" t="s">
        <v>733</v>
      </c>
      <c r="C11" s="389"/>
      <c r="D11" s="389"/>
      <c r="E11" s="372"/>
      <c r="F11" s="372"/>
      <c r="G11" s="372"/>
      <c r="H11" s="372"/>
      <c r="I11" s="372"/>
      <c r="J11" s="372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</row>
    <row r="12">
      <c r="A12" s="387" t="s">
        <v>734</v>
      </c>
      <c r="B12" s="389"/>
      <c r="C12" s="389"/>
      <c r="D12" s="388" t="s">
        <v>735</v>
      </c>
      <c r="E12" s="372"/>
      <c r="F12" s="372"/>
      <c r="G12" s="372"/>
      <c r="H12" s="372"/>
      <c r="I12" s="372"/>
      <c r="J12" s="372"/>
      <c r="K12" s="372"/>
      <c r="L12" s="372"/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</row>
    <row r="13">
      <c r="A13" s="372"/>
      <c r="B13" s="389"/>
      <c r="C13" s="389"/>
      <c r="D13" s="389"/>
      <c r="E13" s="372"/>
      <c r="F13" s="372"/>
      <c r="G13" s="372"/>
      <c r="H13" s="372"/>
      <c r="I13" s="372"/>
      <c r="J13" s="372"/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>
      <c r="A14" s="372"/>
      <c r="B14" s="372"/>
      <c r="C14" s="372"/>
      <c r="D14" s="389"/>
      <c r="E14" s="372"/>
      <c r="F14" s="372"/>
      <c r="G14" s="372"/>
      <c r="H14" s="372"/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>
      <c r="A15" s="372"/>
      <c r="B15" s="372"/>
      <c r="C15" s="372"/>
      <c r="D15" s="372"/>
      <c r="E15" s="372"/>
      <c r="F15" s="372"/>
      <c r="G15" s="372"/>
      <c r="H15" s="372"/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>
      <c r="A16" s="372"/>
      <c r="B16" s="372"/>
      <c r="C16" s="372"/>
      <c r="D16" s="372"/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>
      <c r="A17" s="372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>
      <c r="A18" s="372"/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>
      <c r="A19" s="372"/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>
      <c r="A20" s="372"/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>
      <c r="A21" s="372"/>
      <c r="B21" s="372"/>
      <c r="C21" s="372"/>
      <c r="D21" s="372"/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>
      <c r="A22" s="372"/>
      <c r="B22" s="372"/>
      <c r="C22" s="372"/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>
      <c r="A23" s="372"/>
      <c r="B23" s="372"/>
      <c r="C23" s="372"/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>
      <c r="A24" s="372"/>
      <c r="B24" s="372"/>
      <c r="C24" s="372"/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</row>
    <row r="25">
      <c r="A25" s="372"/>
      <c r="B25" s="372"/>
      <c r="C25" s="372"/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</row>
    <row r="26">
      <c r="A26" s="372"/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</row>
    <row r="27">
      <c r="A27" s="372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</row>
    <row r="28">
      <c r="A28" s="372"/>
      <c r="B28" s="372"/>
      <c r="C28" s="372"/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</row>
    <row r="29">
      <c r="A29" s="372"/>
      <c r="B29" s="372"/>
      <c r="C29" s="372"/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</row>
    <row r="30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</row>
    <row r="31">
      <c r="A31" s="372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</row>
    <row r="32">
      <c r="A32" s="372"/>
      <c r="B32" s="372"/>
      <c r="C32" s="372"/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</row>
    <row r="33">
      <c r="A33" s="372"/>
      <c r="B33" s="372"/>
      <c r="C33" s="372"/>
      <c r="D33" s="372"/>
      <c r="E33" s="372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</row>
    <row r="34">
      <c r="A34" s="372"/>
      <c r="B34" s="372"/>
      <c r="C34" s="372"/>
      <c r="D34" s="372"/>
      <c r="E34" s="372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</row>
    <row r="35">
      <c r="A35" s="372"/>
      <c r="B35" s="372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</row>
    <row r="36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</row>
    <row r="37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</row>
    <row r="38">
      <c r="A38" s="372"/>
      <c r="B38" s="372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>
      <c r="A39" s="372"/>
      <c r="B39" s="372"/>
      <c r="C39" s="372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>
      <c r="A40" s="372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>
      <c r="A41" s="372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>
      <c r="A42" s="372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>
      <c r="A45" s="372"/>
      <c r="B45" s="372"/>
      <c r="C45" s="372"/>
      <c r="D45" s="372"/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>
      <c r="A46" s="372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>
      <c r="A47" s="372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>
      <c r="A48" s="372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>
      <c r="A52" s="372"/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>
      <c r="A53" s="372"/>
      <c r="B53" s="372"/>
      <c r="C53" s="372"/>
      <c r="D53" s="372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>
      <c r="A56" s="372"/>
      <c r="B56" s="372"/>
      <c r="C56" s="372"/>
      <c r="D56" s="372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>
      <c r="A60" s="372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>
      <c r="A61" s="372"/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>
      <c r="A65" s="372"/>
      <c r="B65" s="372"/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>
      <c r="A69" s="372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>
      <c r="A70" s="372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>
      <c r="A71" s="372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>
      <c r="A75" s="372"/>
      <c r="B75" s="372"/>
      <c r="C75" s="372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>
      <c r="A76" s="372"/>
      <c r="B76" s="372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>
      <c r="A77" s="372"/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>
      <c r="A81" s="372"/>
      <c r="B81" s="372"/>
      <c r="C81" s="372"/>
      <c r="D81" s="372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>
      <c r="A82" s="372"/>
      <c r="B82" s="372"/>
      <c r="C82" s="372"/>
      <c r="D82" s="372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>
      <c r="A83" s="372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>
      <c r="A86" s="372"/>
      <c r="B86" s="372"/>
      <c r="C86" s="372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>
      <c r="A87" s="372"/>
      <c r="B87" s="372"/>
      <c r="C87" s="372"/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>
      <c r="A88" s="372"/>
      <c r="B88" s="372"/>
      <c r="C88" s="372"/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>
      <c r="A92" s="372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>
      <c r="A93" s="372"/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>
      <c r="A94" s="372"/>
      <c r="B94" s="372"/>
      <c r="C94" s="372"/>
      <c r="D94" s="372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>
      <c r="A97" s="372"/>
      <c r="B97" s="372"/>
      <c r="C97" s="372"/>
      <c r="D97" s="372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>
      <c r="A98" s="372"/>
      <c r="B98" s="372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>
      <c r="A99" s="372"/>
      <c r="B99" s="372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>
      <c r="A102" s="372"/>
      <c r="B102" s="372"/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>
      <c r="A103" s="372"/>
      <c r="B103" s="372"/>
      <c r="C103" s="372"/>
      <c r="D103" s="372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>
      <c r="A104" s="372"/>
      <c r="B104" s="372"/>
      <c r="C104" s="372"/>
      <c r="D104" s="372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>
      <c r="A108" s="372"/>
      <c r="B108" s="372"/>
      <c r="C108" s="372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>
      <c r="A109" s="372"/>
      <c r="B109" s="372"/>
      <c r="C109" s="372"/>
      <c r="D109" s="372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>
      <c r="A110" s="372"/>
      <c r="B110" s="372"/>
      <c r="C110" s="372"/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>
      <c r="A113" s="372"/>
      <c r="B113" s="372"/>
      <c r="C113" s="372"/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>
      <c r="A114" s="372"/>
      <c r="B114" s="372"/>
      <c r="C114" s="372"/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>
      <c r="A115" s="372"/>
      <c r="B115" s="372"/>
      <c r="C115" s="372"/>
      <c r="D115" s="372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>
      <c r="A116" s="372"/>
      <c r="B116" s="372"/>
      <c r="C116" s="372"/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>
      <c r="A117" s="372"/>
      <c r="B117" s="372"/>
      <c r="C117" s="372"/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>
      <c r="A121" s="372"/>
      <c r="B121" s="372"/>
      <c r="C121" s="372"/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>
      <c r="A125" s="372"/>
      <c r="B125" s="372"/>
      <c r="C125" s="372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>
      <c r="A128" s="372"/>
      <c r="B128" s="372"/>
      <c r="C128" s="372"/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>
      <c r="A129" s="372"/>
      <c r="B129" s="372"/>
      <c r="C129" s="372"/>
      <c r="D129" s="372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>
      <c r="A132" s="372"/>
      <c r="B132" s="372"/>
      <c r="C132" s="372"/>
      <c r="D132" s="372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>
      <c r="A133" s="372"/>
      <c r="B133" s="372"/>
      <c r="C133" s="372"/>
      <c r="D133" s="372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>
      <c r="A136" s="372"/>
      <c r="B136" s="372"/>
      <c r="C136" s="372"/>
      <c r="D136" s="372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>
      <c r="A139" s="372"/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>
      <c r="A142" s="372"/>
      <c r="B142" s="372"/>
      <c r="C142" s="372"/>
      <c r="D142" s="372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>
      <c r="A145" s="372"/>
      <c r="B145" s="372"/>
      <c r="C145" s="372"/>
      <c r="D145" s="372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>
      <c r="A148" s="372"/>
      <c r="B148" s="372"/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>
      <c r="A151" s="372"/>
      <c r="B151" s="372"/>
      <c r="C151" s="372"/>
      <c r="D151" s="372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>
      <c r="A154" s="372"/>
      <c r="B154" s="372"/>
      <c r="C154" s="372"/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>
      <c r="A157" s="372"/>
      <c r="B157" s="372"/>
      <c r="C157" s="372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>
      <c r="A160" s="372"/>
      <c r="B160" s="372"/>
      <c r="C160" s="372"/>
      <c r="D160" s="372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>
      <c r="A165" s="372"/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>
      <c r="A170" s="372"/>
      <c r="B170" s="372"/>
      <c r="C170" s="372"/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>
      <c r="A175" s="372"/>
      <c r="B175" s="372"/>
      <c r="C175" s="372"/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>
      <c r="A178" s="372"/>
      <c r="B178" s="372"/>
      <c r="C178" s="372"/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>
      <c r="A179" s="372"/>
      <c r="B179" s="372"/>
      <c r="C179" s="372"/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>
      <c r="A182" s="372"/>
      <c r="B182" s="372"/>
      <c r="C182" s="372"/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>
      <c r="A190" s="372"/>
      <c r="B190" s="372"/>
      <c r="C190" s="372"/>
      <c r="D190" s="372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>
      <c r="A191" s="372"/>
      <c r="B191" s="372"/>
      <c r="C191" s="372"/>
      <c r="D191" s="372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>
      <c r="A197" s="372"/>
      <c r="B197" s="372"/>
      <c r="C197" s="372"/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>
      <c r="A198" s="372"/>
      <c r="B198" s="372"/>
      <c r="C198" s="372"/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>
      <c r="A199" s="372"/>
      <c r="B199" s="372"/>
      <c r="C199" s="372"/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</row>
    <row r="202">
      <c r="A202" s="372"/>
      <c r="B202" s="372"/>
      <c r="C202" s="372"/>
      <c r="D202" s="372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  <c r="O202" s="372"/>
      <c r="P202" s="372"/>
      <c r="Q202" s="372"/>
      <c r="R202" s="372"/>
      <c r="S202" s="372"/>
      <c r="T202" s="372"/>
      <c r="U202" s="372"/>
      <c r="V202" s="372"/>
      <c r="W202" s="372"/>
      <c r="X202" s="372"/>
      <c r="Y202" s="372"/>
      <c r="Z202" s="372"/>
    </row>
    <row r="203">
      <c r="A203" s="372"/>
      <c r="B203" s="372"/>
      <c r="C203" s="372"/>
      <c r="D203" s="372"/>
      <c r="E203" s="372"/>
      <c r="F203" s="372"/>
      <c r="G203" s="372"/>
      <c r="H203" s="372"/>
      <c r="I203" s="372"/>
      <c r="J203" s="372"/>
      <c r="K203" s="372"/>
      <c r="L203" s="372"/>
      <c r="M203" s="372"/>
      <c r="N203" s="372"/>
      <c r="O203" s="372"/>
      <c r="P203" s="372"/>
      <c r="Q203" s="372"/>
      <c r="R203" s="372"/>
      <c r="S203" s="372"/>
      <c r="T203" s="372"/>
      <c r="U203" s="372"/>
      <c r="V203" s="372"/>
      <c r="W203" s="372"/>
      <c r="X203" s="372"/>
      <c r="Y203" s="372"/>
      <c r="Z203" s="372"/>
    </row>
    <row r="204">
      <c r="A204" s="372"/>
      <c r="B204" s="372"/>
      <c r="C204" s="372"/>
      <c r="D204" s="372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372"/>
      <c r="W204" s="372"/>
      <c r="X204" s="372"/>
      <c r="Y204" s="372"/>
      <c r="Z204" s="372"/>
    </row>
    <row r="205">
      <c r="A205" s="372"/>
      <c r="B205" s="372"/>
      <c r="C205" s="372"/>
      <c r="D205" s="372"/>
      <c r="E205" s="372"/>
      <c r="F205" s="372"/>
      <c r="G205" s="372"/>
      <c r="H205" s="372"/>
      <c r="I205" s="372"/>
      <c r="J205" s="372"/>
      <c r="K205" s="372"/>
      <c r="L205" s="372"/>
      <c r="M205" s="372"/>
      <c r="N205" s="372"/>
      <c r="O205" s="372"/>
      <c r="P205" s="372"/>
      <c r="Q205" s="372"/>
      <c r="R205" s="372"/>
      <c r="S205" s="372"/>
      <c r="T205" s="372"/>
      <c r="U205" s="372"/>
      <c r="V205" s="372"/>
      <c r="W205" s="372"/>
      <c r="X205" s="372"/>
      <c r="Y205" s="372"/>
      <c r="Z205" s="372"/>
    </row>
    <row r="206">
      <c r="A206" s="372"/>
      <c r="B206" s="372"/>
      <c r="C206" s="372"/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2"/>
      <c r="P206" s="372"/>
      <c r="Q206" s="372"/>
      <c r="R206" s="372"/>
      <c r="S206" s="372"/>
      <c r="T206" s="372"/>
      <c r="U206" s="372"/>
      <c r="V206" s="372"/>
      <c r="W206" s="372"/>
      <c r="X206" s="372"/>
      <c r="Y206" s="372"/>
      <c r="Z206" s="372"/>
    </row>
    <row r="207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2"/>
      <c r="P207" s="372"/>
      <c r="Q207" s="372"/>
      <c r="R207" s="372"/>
      <c r="S207" s="372"/>
      <c r="T207" s="372"/>
      <c r="U207" s="372"/>
      <c r="V207" s="372"/>
      <c r="W207" s="372"/>
      <c r="X207" s="372"/>
      <c r="Y207" s="372"/>
      <c r="Z207" s="372"/>
    </row>
    <row r="208">
      <c r="A208" s="372"/>
      <c r="B208" s="372"/>
      <c r="C208" s="372"/>
      <c r="D208" s="372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  <c r="O208" s="372"/>
      <c r="P208" s="372"/>
      <c r="Q208" s="372"/>
      <c r="R208" s="372"/>
      <c r="S208" s="372"/>
      <c r="T208" s="372"/>
      <c r="U208" s="372"/>
      <c r="V208" s="372"/>
      <c r="W208" s="372"/>
      <c r="X208" s="372"/>
      <c r="Y208" s="372"/>
      <c r="Z208" s="372"/>
    </row>
    <row r="209">
      <c r="A209" s="372"/>
      <c r="B209" s="372"/>
      <c r="C209" s="372"/>
      <c r="D209" s="372"/>
      <c r="E209" s="372"/>
      <c r="F209" s="372"/>
      <c r="G209" s="372"/>
      <c r="H209" s="372"/>
      <c r="I209" s="372"/>
      <c r="J209" s="372"/>
      <c r="K209" s="372"/>
      <c r="L209" s="372"/>
      <c r="M209" s="372"/>
      <c r="N209" s="372"/>
      <c r="O209" s="372"/>
      <c r="P209" s="372"/>
      <c r="Q209" s="372"/>
      <c r="R209" s="372"/>
      <c r="S209" s="372"/>
      <c r="T209" s="372"/>
      <c r="U209" s="372"/>
      <c r="V209" s="372"/>
      <c r="W209" s="372"/>
      <c r="X209" s="372"/>
      <c r="Y209" s="372"/>
      <c r="Z209" s="372"/>
    </row>
    <row r="210">
      <c r="A210" s="372"/>
      <c r="B210" s="372"/>
      <c r="C210" s="372"/>
      <c r="D210" s="372"/>
      <c r="E210" s="372"/>
      <c r="F210" s="372"/>
      <c r="G210" s="372"/>
      <c r="H210" s="372"/>
      <c r="I210" s="372"/>
      <c r="J210" s="372"/>
      <c r="K210" s="372"/>
      <c r="L210" s="372"/>
      <c r="M210" s="372"/>
      <c r="N210" s="372"/>
      <c r="O210" s="372"/>
      <c r="P210" s="372"/>
      <c r="Q210" s="372"/>
      <c r="R210" s="372"/>
      <c r="S210" s="372"/>
      <c r="T210" s="372"/>
      <c r="U210" s="372"/>
      <c r="V210" s="372"/>
      <c r="W210" s="372"/>
      <c r="X210" s="372"/>
      <c r="Y210" s="372"/>
      <c r="Z210" s="372"/>
    </row>
    <row r="211">
      <c r="A211" s="372"/>
      <c r="B211" s="372"/>
      <c r="C211" s="372"/>
      <c r="D211" s="372"/>
      <c r="E211" s="372"/>
      <c r="F211" s="372"/>
      <c r="G211" s="372"/>
      <c r="H211" s="372"/>
      <c r="I211" s="372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72"/>
      <c r="V211" s="372"/>
      <c r="W211" s="372"/>
      <c r="X211" s="372"/>
      <c r="Y211" s="372"/>
      <c r="Z211" s="372"/>
    </row>
    <row r="212">
      <c r="A212" s="372"/>
      <c r="B212" s="372"/>
      <c r="C212" s="372"/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2"/>
      <c r="W212" s="372"/>
      <c r="X212" s="372"/>
      <c r="Y212" s="372"/>
      <c r="Z212" s="372"/>
    </row>
    <row r="213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2"/>
      <c r="P213" s="372"/>
      <c r="Q213" s="372"/>
      <c r="R213" s="372"/>
      <c r="S213" s="372"/>
      <c r="T213" s="372"/>
      <c r="U213" s="372"/>
      <c r="V213" s="372"/>
      <c r="W213" s="372"/>
      <c r="X213" s="372"/>
      <c r="Y213" s="372"/>
      <c r="Z213" s="372"/>
    </row>
    <row r="214">
      <c r="A214" s="372"/>
      <c r="B214" s="372"/>
      <c r="C214" s="372"/>
      <c r="D214" s="372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  <c r="O214" s="372"/>
      <c r="P214" s="372"/>
      <c r="Q214" s="372"/>
      <c r="R214" s="372"/>
      <c r="S214" s="372"/>
      <c r="T214" s="372"/>
      <c r="U214" s="372"/>
      <c r="V214" s="372"/>
      <c r="W214" s="372"/>
      <c r="X214" s="372"/>
      <c r="Y214" s="372"/>
      <c r="Z214" s="372"/>
    </row>
    <row r="215">
      <c r="A215" s="372"/>
      <c r="B215" s="372"/>
      <c r="C215" s="372"/>
      <c r="D215" s="372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  <c r="O215" s="372"/>
      <c r="P215" s="372"/>
      <c r="Q215" s="372"/>
      <c r="R215" s="372"/>
      <c r="S215" s="372"/>
      <c r="T215" s="372"/>
      <c r="U215" s="372"/>
      <c r="V215" s="372"/>
      <c r="W215" s="372"/>
      <c r="X215" s="372"/>
      <c r="Y215" s="372"/>
      <c r="Z215" s="372"/>
    </row>
    <row r="216">
      <c r="A216" s="372"/>
      <c r="B216" s="372"/>
      <c r="C216" s="372"/>
      <c r="D216" s="372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  <c r="O216" s="372"/>
      <c r="P216" s="372"/>
      <c r="Q216" s="372"/>
      <c r="R216" s="372"/>
      <c r="S216" s="372"/>
      <c r="T216" s="372"/>
      <c r="U216" s="372"/>
      <c r="V216" s="372"/>
      <c r="W216" s="372"/>
      <c r="X216" s="372"/>
      <c r="Y216" s="372"/>
      <c r="Z216" s="372"/>
    </row>
    <row r="217">
      <c r="A217" s="372"/>
      <c r="B217" s="372"/>
      <c r="C217" s="372"/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2"/>
      <c r="P217" s="372"/>
      <c r="Q217" s="372"/>
      <c r="R217" s="372"/>
      <c r="S217" s="372"/>
      <c r="T217" s="372"/>
      <c r="U217" s="372"/>
      <c r="V217" s="372"/>
      <c r="W217" s="372"/>
      <c r="X217" s="372"/>
      <c r="Y217" s="372"/>
      <c r="Z217" s="372"/>
    </row>
    <row r="218">
      <c r="A218" s="372"/>
      <c r="B218" s="372"/>
      <c r="C218" s="372"/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2"/>
      <c r="P218" s="372"/>
      <c r="Q218" s="372"/>
      <c r="R218" s="372"/>
      <c r="S218" s="372"/>
      <c r="T218" s="372"/>
      <c r="U218" s="372"/>
      <c r="V218" s="372"/>
      <c r="W218" s="372"/>
      <c r="X218" s="372"/>
      <c r="Y218" s="372"/>
      <c r="Z218" s="372"/>
    </row>
    <row r="219">
      <c r="A219" s="372"/>
      <c r="B219" s="372"/>
      <c r="C219" s="372"/>
      <c r="D219" s="372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  <c r="O219" s="372"/>
      <c r="P219" s="372"/>
      <c r="Q219" s="372"/>
      <c r="R219" s="372"/>
      <c r="S219" s="372"/>
      <c r="T219" s="372"/>
      <c r="U219" s="372"/>
      <c r="V219" s="372"/>
      <c r="W219" s="372"/>
      <c r="X219" s="372"/>
      <c r="Y219" s="372"/>
      <c r="Z219" s="372"/>
    </row>
    <row r="220">
      <c r="A220" s="372"/>
      <c r="B220" s="372"/>
      <c r="C220" s="372"/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372"/>
      <c r="W220" s="372"/>
      <c r="X220" s="372"/>
      <c r="Y220" s="372"/>
      <c r="Z220" s="372"/>
    </row>
    <row r="221">
      <c r="A221" s="372"/>
      <c r="B221" s="372"/>
      <c r="C221" s="372"/>
      <c r="D221" s="372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  <c r="O221" s="372"/>
      <c r="P221" s="372"/>
      <c r="Q221" s="372"/>
      <c r="R221" s="372"/>
      <c r="S221" s="372"/>
      <c r="T221" s="372"/>
      <c r="U221" s="372"/>
      <c r="V221" s="372"/>
      <c r="W221" s="372"/>
      <c r="X221" s="372"/>
      <c r="Y221" s="372"/>
      <c r="Z221" s="372"/>
    </row>
    <row r="222">
      <c r="A222" s="372"/>
      <c r="B222" s="372"/>
      <c r="C222" s="372"/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2"/>
      <c r="P222" s="372"/>
      <c r="Q222" s="372"/>
      <c r="R222" s="372"/>
      <c r="S222" s="372"/>
      <c r="T222" s="372"/>
      <c r="U222" s="372"/>
      <c r="V222" s="372"/>
      <c r="W222" s="372"/>
      <c r="X222" s="372"/>
      <c r="Y222" s="372"/>
      <c r="Z222" s="372"/>
    </row>
    <row r="223">
      <c r="A223" s="372"/>
      <c r="B223" s="372"/>
      <c r="C223" s="372"/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2"/>
      <c r="P223" s="372"/>
      <c r="Q223" s="372"/>
      <c r="R223" s="372"/>
      <c r="S223" s="372"/>
      <c r="T223" s="372"/>
      <c r="U223" s="372"/>
      <c r="V223" s="372"/>
      <c r="W223" s="372"/>
      <c r="X223" s="372"/>
      <c r="Y223" s="372"/>
      <c r="Z223" s="372"/>
    </row>
    <row r="224">
      <c r="A224" s="372"/>
      <c r="B224" s="372"/>
      <c r="C224" s="372"/>
      <c r="D224" s="372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  <c r="O224" s="372"/>
      <c r="P224" s="372"/>
      <c r="Q224" s="372"/>
      <c r="R224" s="372"/>
      <c r="S224" s="372"/>
      <c r="T224" s="372"/>
      <c r="U224" s="372"/>
      <c r="V224" s="372"/>
      <c r="W224" s="372"/>
      <c r="X224" s="372"/>
      <c r="Y224" s="372"/>
      <c r="Z224" s="372"/>
    </row>
    <row r="225">
      <c r="A225" s="372"/>
      <c r="B225" s="372"/>
      <c r="C225" s="372"/>
      <c r="D225" s="372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  <c r="O225" s="372"/>
      <c r="P225" s="372"/>
      <c r="Q225" s="372"/>
      <c r="R225" s="372"/>
      <c r="S225" s="372"/>
      <c r="T225" s="372"/>
      <c r="U225" s="372"/>
      <c r="V225" s="372"/>
      <c r="W225" s="372"/>
      <c r="X225" s="372"/>
      <c r="Y225" s="372"/>
      <c r="Z225" s="372"/>
    </row>
    <row r="226">
      <c r="A226" s="372"/>
      <c r="B226" s="372"/>
      <c r="C226" s="372"/>
      <c r="D226" s="372"/>
      <c r="E226" s="372"/>
      <c r="F226" s="372"/>
      <c r="G226" s="372"/>
      <c r="H226" s="372"/>
      <c r="I226" s="372"/>
      <c r="J226" s="372"/>
      <c r="K226" s="372"/>
      <c r="L226" s="372"/>
      <c r="M226" s="372"/>
      <c r="N226" s="372"/>
      <c r="O226" s="372"/>
      <c r="P226" s="372"/>
      <c r="Q226" s="372"/>
      <c r="R226" s="372"/>
      <c r="S226" s="372"/>
      <c r="T226" s="372"/>
      <c r="U226" s="372"/>
      <c r="V226" s="372"/>
      <c r="W226" s="372"/>
      <c r="X226" s="372"/>
      <c r="Y226" s="372"/>
      <c r="Z226" s="372"/>
    </row>
    <row r="227">
      <c r="A227" s="372"/>
      <c r="B227" s="372"/>
      <c r="C227" s="372"/>
      <c r="D227" s="372"/>
      <c r="E227" s="372"/>
      <c r="F227" s="372"/>
      <c r="G227" s="372"/>
      <c r="H227" s="372"/>
      <c r="I227" s="372"/>
      <c r="J227" s="372"/>
      <c r="K227" s="372"/>
      <c r="L227" s="372"/>
      <c r="M227" s="372"/>
      <c r="N227" s="372"/>
      <c r="O227" s="372"/>
      <c r="P227" s="372"/>
      <c r="Q227" s="372"/>
      <c r="R227" s="372"/>
      <c r="S227" s="372"/>
      <c r="T227" s="372"/>
      <c r="U227" s="372"/>
      <c r="V227" s="372"/>
      <c r="W227" s="372"/>
      <c r="X227" s="372"/>
      <c r="Y227" s="372"/>
      <c r="Z227" s="372"/>
    </row>
    <row r="228">
      <c r="A228" s="372"/>
      <c r="B228" s="372"/>
      <c r="C228" s="372"/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2"/>
      <c r="P228" s="372"/>
      <c r="Q228" s="372"/>
      <c r="R228" s="372"/>
      <c r="S228" s="372"/>
      <c r="T228" s="372"/>
      <c r="U228" s="372"/>
      <c r="V228" s="372"/>
      <c r="W228" s="372"/>
      <c r="X228" s="372"/>
      <c r="Y228" s="372"/>
      <c r="Z228" s="372"/>
    </row>
    <row r="229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72"/>
      <c r="V229" s="372"/>
      <c r="W229" s="372"/>
      <c r="X229" s="372"/>
      <c r="Y229" s="372"/>
      <c r="Z229" s="372"/>
    </row>
    <row r="230">
      <c r="A230" s="372"/>
      <c r="B230" s="372"/>
      <c r="C230" s="372"/>
      <c r="D230" s="372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  <c r="O230" s="372"/>
      <c r="P230" s="372"/>
      <c r="Q230" s="372"/>
      <c r="R230" s="372"/>
      <c r="S230" s="372"/>
      <c r="T230" s="372"/>
      <c r="U230" s="372"/>
      <c r="V230" s="372"/>
      <c r="W230" s="372"/>
      <c r="X230" s="372"/>
      <c r="Y230" s="372"/>
      <c r="Z230" s="372"/>
    </row>
    <row r="231">
      <c r="A231" s="372"/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  <c r="T231" s="372"/>
      <c r="U231" s="372"/>
      <c r="V231" s="372"/>
      <c r="W231" s="372"/>
      <c r="X231" s="372"/>
      <c r="Y231" s="372"/>
      <c r="Z231" s="372"/>
    </row>
    <row r="232">
      <c r="A232" s="372"/>
      <c r="B232" s="372"/>
      <c r="C232" s="372"/>
      <c r="D232" s="372"/>
      <c r="E232" s="372"/>
      <c r="F232" s="372"/>
      <c r="G232" s="372"/>
      <c r="H232" s="372"/>
      <c r="I232" s="372"/>
      <c r="J232" s="372"/>
      <c r="K232" s="372"/>
      <c r="L232" s="372"/>
      <c r="M232" s="372"/>
      <c r="N232" s="372"/>
      <c r="O232" s="372"/>
      <c r="P232" s="372"/>
      <c r="Q232" s="372"/>
      <c r="R232" s="372"/>
      <c r="S232" s="372"/>
      <c r="T232" s="372"/>
      <c r="U232" s="372"/>
      <c r="V232" s="372"/>
      <c r="W232" s="372"/>
      <c r="X232" s="372"/>
      <c r="Y232" s="372"/>
      <c r="Z232" s="372"/>
    </row>
    <row r="233">
      <c r="A233" s="372"/>
      <c r="B233" s="372"/>
      <c r="C233" s="372"/>
      <c r="D233" s="372"/>
      <c r="E233" s="372"/>
      <c r="F233" s="372"/>
      <c r="G233" s="372"/>
      <c r="H233" s="372"/>
      <c r="I233" s="372"/>
      <c r="J233" s="372"/>
      <c r="K233" s="372"/>
      <c r="L233" s="372"/>
      <c r="M233" s="372"/>
      <c r="N233" s="372"/>
      <c r="O233" s="372"/>
      <c r="P233" s="372"/>
      <c r="Q233" s="372"/>
      <c r="R233" s="372"/>
      <c r="S233" s="372"/>
      <c r="T233" s="372"/>
      <c r="U233" s="372"/>
      <c r="V233" s="372"/>
      <c r="W233" s="372"/>
      <c r="X233" s="372"/>
      <c r="Y233" s="372"/>
      <c r="Z233" s="372"/>
    </row>
    <row r="234">
      <c r="A234" s="372"/>
      <c r="B234" s="372"/>
      <c r="C234" s="372"/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2"/>
      <c r="P234" s="372"/>
      <c r="Q234" s="372"/>
      <c r="R234" s="372"/>
      <c r="S234" s="372"/>
      <c r="T234" s="372"/>
      <c r="U234" s="372"/>
      <c r="V234" s="372"/>
      <c r="W234" s="372"/>
      <c r="X234" s="372"/>
      <c r="Y234" s="372"/>
      <c r="Z234" s="372"/>
    </row>
    <row r="235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72"/>
      <c r="V235" s="372"/>
      <c r="W235" s="372"/>
      <c r="X235" s="372"/>
      <c r="Y235" s="372"/>
      <c r="Z235" s="372"/>
    </row>
    <row r="236">
      <c r="A236" s="372"/>
      <c r="B236" s="372"/>
      <c r="C236" s="372"/>
      <c r="D236" s="372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  <c r="O236" s="372"/>
      <c r="P236" s="372"/>
      <c r="Q236" s="372"/>
      <c r="R236" s="372"/>
      <c r="S236" s="372"/>
      <c r="T236" s="372"/>
      <c r="U236" s="372"/>
      <c r="V236" s="372"/>
      <c r="W236" s="372"/>
      <c r="X236" s="372"/>
      <c r="Y236" s="372"/>
      <c r="Z236" s="372"/>
    </row>
    <row r="237">
      <c r="A237" s="372"/>
      <c r="B237" s="372"/>
      <c r="C237" s="372"/>
      <c r="D237" s="372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  <c r="O237" s="372"/>
      <c r="P237" s="372"/>
      <c r="Q237" s="372"/>
      <c r="R237" s="372"/>
      <c r="S237" s="372"/>
      <c r="T237" s="372"/>
      <c r="U237" s="372"/>
      <c r="V237" s="372"/>
      <c r="W237" s="372"/>
      <c r="X237" s="372"/>
      <c r="Y237" s="372"/>
      <c r="Z237" s="372"/>
    </row>
    <row r="238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2"/>
      <c r="P238" s="372"/>
      <c r="Q238" s="372"/>
      <c r="R238" s="372"/>
      <c r="S238" s="372"/>
      <c r="T238" s="372"/>
      <c r="U238" s="372"/>
      <c r="V238" s="372"/>
      <c r="W238" s="372"/>
      <c r="X238" s="372"/>
      <c r="Y238" s="372"/>
      <c r="Z238" s="372"/>
    </row>
    <row r="239">
      <c r="A239" s="372"/>
      <c r="B239" s="372"/>
      <c r="C239" s="372"/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2"/>
      <c r="P239" s="372"/>
      <c r="Q239" s="372"/>
      <c r="R239" s="372"/>
      <c r="S239" s="372"/>
      <c r="T239" s="372"/>
      <c r="U239" s="372"/>
      <c r="V239" s="372"/>
      <c r="W239" s="372"/>
      <c r="X239" s="372"/>
      <c r="Y239" s="372"/>
      <c r="Z239" s="372"/>
    </row>
    <row r="240">
      <c r="A240" s="372"/>
      <c r="B240" s="372"/>
      <c r="C240" s="372"/>
      <c r="D240" s="372"/>
      <c r="E240" s="372"/>
      <c r="F240" s="372"/>
      <c r="G240" s="372"/>
      <c r="H240" s="372"/>
      <c r="I240" s="372"/>
      <c r="J240" s="372"/>
      <c r="K240" s="372"/>
      <c r="L240" s="372"/>
      <c r="M240" s="372"/>
      <c r="N240" s="372"/>
      <c r="O240" s="372"/>
      <c r="P240" s="372"/>
      <c r="Q240" s="372"/>
      <c r="R240" s="372"/>
      <c r="S240" s="372"/>
      <c r="T240" s="372"/>
      <c r="U240" s="372"/>
      <c r="V240" s="372"/>
      <c r="W240" s="372"/>
      <c r="X240" s="372"/>
      <c r="Y240" s="372"/>
      <c r="Z240" s="372"/>
    </row>
    <row r="241">
      <c r="A241" s="372"/>
      <c r="B241" s="372"/>
      <c r="C241" s="372"/>
      <c r="D241" s="372"/>
      <c r="E241" s="372"/>
      <c r="F241" s="372"/>
      <c r="G241" s="372"/>
      <c r="H241" s="372"/>
      <c r="I241" s="372"/>
      <c r="J241" s="372"/>
      <c r="K241" s="372"/>
      <c r="L241" s="372"/>
      <c r="M241" s="372"/>
      <c r="N241" s="372"/>
      <c r="O241" s="372"/>
      <c r="P241" s="372"/>
      <c r="Q241" s="372"/>
      <c r="R241" s="372"/>
      <c r="S241" s="372"/>
      <c r="T241" s="372"/>
      <c r="U241" s="372"/>
      <c r="V241" s="372"/>
      <c r="W241" s="372"/>
      <c r="X241" s="372"/>
      <c r="Y241" s="372"/>
      <c r="Z241" s="372"/>
    </row>
    <row r="242">
      <c r="A242" s="372"/>
      <c r="B242" s="372"/>
      <c r="C242" s="372"/>
      <c r="D242" s="372"/>
      <c r="E242" s="372"/>
      <c r="F242" s="372"/>
      <c r="G242" s="372"/>
      <c r="H242" s="372"/>
      <c r="I242" s="372"/>
      <c r="J242" s="372"/>
      <c r="K242" s="372"/>
      <c r="L242" s="372"/>
      <c r="M242" s="372"/>
      <c r="N242" s="372"/>
      <c r="O242" s="372"/>
      <c r="P242" s="372"/>
      <c r="Q242" s="372"/>
      <c r="R242" s="372"/>
      <c r="S242" s="372"/>
      <c r="T242" s="372"/>
      <c r="U242" s="372"/>
      <c r="V242" s="372"/>
      <c r="W242" s="372"/>
      <c r="X242" s="372"/>
      <c r="Y242" s="372"/>
      <c r="Z242" s="372"/>
    </row>
    <row r="243">
      <c r="A243" s="372"/>
      <c r="B243" s="372"/>
      <c r="C243" s="372"/>
      <c r="D243" s="372"/>
      <c r="E243" s="372"/>
      <c r="F243" s="372"/>
      <c r="G243" s="372"/>
      <c r="H243" s="372"/>
      <c r="I243" s="372"/>
      <c r="J243" s="372"/>
      <c r="K243" s="372"/>
      <c r="L243" s="372"/>
      <c r="M243" s="372"/>
      <c r="N243" s="372"/>
      <c r="O243" s="372"/>
      <c r="P243" s="372"/>
      <c r="Q243" s="372"/>
      <c r="R243" s="372"/>
      <c r="S243" s="372"/>
      <c r="T243" s="372"/>
      <c r="U243" s="372"/>
      <c r="V243" s="372"/>
      <c r="W243" s="372"/>
      <c r="X243" s="372"/>
      <c r="Y243" s="372"/>
      <c r="Z243" s="372"/>
    </row>
    <row r="244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  <c r="O244" s="372"/>
      <c r="P244" s="372"/>
      <c r="Q244" s="372"/>
      <c r="R244" s="372"/>
      <c r="S244" s="372"/>
      <c r="T244" s="372"/>
      <c r="U244" s="372"/>
      <c r="V244" s="372"/>
      <c r="W244" s="372"/>
      <c r="X244" s="372"/>
      <c r="Y244" s="372"/>
      <c r="Z244" s="372"/>
    </row>
    <row r="245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  <c r="O245" s="372"/>
      <c r="P245" s="372"/>
      <c r="Q245" s="372"/>
      <c r="R245" s="372"/>
      <c r="S245" s="372"/>
      <c r="T245" s="372"/>
      <c r="U245" s="372"/>
      <c r="V245" s="372"/>
      <c r="W245" s="372"/>
      <c r="X245" s="372"/>
      <c r="Y245" s="372"/>
      <c r="Z245" s="372"/>
    </row>
    <row r="246">
      <c r="A246" s="372"/>
      <c r="B246" s="372"/>
      <c r="C246" s="372"/>
      <c r="D246" s="372"/>
      <c r="E246" s="372"/>
      <c r="F246" s="372"/>
      <c r="G246" s="372"/>
      <c r="H246" s="372"/>
      <c r="I246" s="372"/>
      <c r="J246" s="372"/>
      <c r="K246" s="372"/>
      <c r="L246" s="372"/>
      <c r="M246" s="372"/>
      <c r="N246" s="372"/>
      <c r="O246" s="372"/>
      <c r="P246" s="372"/>
      <c r="Q246" s="372"/>
      <c r="R246" s="372"/>
      <c r="S246" s="372"/>
      <c r="T246" s="372"/>
      <c r="U246" s="372"/>
      <c r="V246" s="372"/>
      <c r="W246" s="372"/>
      <c r="X246" s="372"/>
      <c r="Y246" s="372"/>
      <c r="Z246" s="372"/>
    </row>
    <row r="247">
      <c r="A247" s="372"/>
      <c r="B247" s="372"/>
      <c r="C247" s="372"/>
      <c r="D247" s="372"/>
      <c r="E247" s="372"/>
      <c r="F247" s="372"/>
      <c r="G247" s="372"/>
      <c r="H247" s="372"/>
      <c r="I247" s="372"/>
      <c r="J247" s="372"/>
      <c r="K247" s="372"/>
      <c r="L247" s="372"/>
      <c r="M247" s="372"/>
      <c r="N247" s="372"/>
      <c r="O247" s="372"/>
      <c r="P247" s="372"/>
      <c r="Q247" s="372"/>
      <c r="R247" s="372"/>
      <c r="S247" s="372"/>
      <c r="T247" s="372"/>
      <c r="U247" s="372"/>
      <c r="V247" s="372"/>
      <c r="W247" s="372"/>
      <c r="X247" s="372"/>
      <c r="Y247" s="372"/>
      <c r="Z247" s="372"/>
    </row>
    <row r="248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  <c r="O248" s="372"/>
      <c r="P248" s="372"/>
      <c r="Q248" s="372"/>
      <c r="R248" s="372"/>
      <c r="S248" s="372"/>
      <c r="T248" s="372"/>
      <c r="U248" s="372"/>
      <c r="V248" s="372"/>
      <c r="W248" s="372"/>
      <c r="X248" s="372"/>
      <c r="Y248" s="372"/>
      <c r="Z248" s="372"/>
    </row>
    <row r="249">
      <c r="A249" s="372"/>
      <c r="B249" s="372"/>
      <c r="C249" s="372"/>
      <c r="D249" s="372"/>
      <c r="E249" s="372"/>
      <c r="F249" s="372"/>
      <c r="G249" s="372"/>
      <c r="H249" s="372"/>
      <c r="I249" s="372"/>
      <c r="J249" s="372"/>
      <c r="K249" s="372"/>
      <c r="L249" s="372"/>
      <c r="M249" s="372"/>
      <c r="N249" s="372"/>
      <c r="O249" s="372"/>
      <c r="P249" s="372"/>
      <c r="Q249" s="372"/>
      <c r="R249" s="372"/>
      <c r="S249" s="372"/>
      <c r="T249" s="372"/>
      <c r="U249" s="372"/>
      <c r="V249" s="372"/>
      <c r="W249" s="372"/>
      <c r="X249" s="372"/>
      <c r="Y249" s="372"/>
      <c r="Z249" s="372"/>
    </row>
    <row r="250">
      <c r="A250" s="372"/>
      <c r="B250" s="372"/>
      <c r="C250" s="372"/>
      <c r="D250" s="372"/>
      <c r="E250" s="372"/>
      <c r="F250" s="372"/>
      <c r="G250" s="372"/>
      <c r="H250" s="372"/>
      <c r="I250" s="372"/>
      <c r="J250" s="372"/>
      <c r="K250" s="372"/>
      <c r="L250" s="372"/>
      <c r="M250" s="372"/>
      <c r="N250" s="372"/>
      <c r="O250" s="372"/>
      <c r="P250" s="372"/>
      <c r="Q250" s="372"/>
      <c r="R250" s="372"/>
      <c r="S250" s="372"/>
      <c r="T250" s="372"/>
      <c r="U250" s="372"/>
      <c r="V250" s="372"/>
      <c r="W250" s="372"/>
      <c r="X250" s="372"/>
      <c r="Y250" s="372"/>
      <c r="Z250" s="372"/>
    </row>
    <row r="251">
      <c r="A251" s="372"/>
      <c r="B251" s="372"/>
      <c r="C251" s="372"/>
      <c r="D251" s="372"/>
      <c r="E251" s="372"/>
      <c r="F251" s="372"/>
      <c r="G251" s="372"/>
      <c r="H251" s="372"/>
      <c r="I251" s="372"/>
      <c r="J251" s="372"/>
      <c r="K251" s="372"/>
      <c r="L251" s="372"/>
      <c r="M251" s="372"/>
      <c r="N251" s="372"/>
      <c r="O251" s="372"/>
      <c r="P251" s="372"/>
      <c r="Q251" s="372"/>
      <c r="R251" s="372"/>
      <c r="S251" s="372"/>
      <c r="T251" s="372"/>
      <c r="U251" s="372"/>
      <c r="V251" s="372"/>
      <c r="W251" s="372"/>
      <c r="X251" s="372"/>
      <c r="Y251" s="372"/>
      <c r="Z251" s="372"/>
    </row>
    <row r="252">
      <c r="A252" s="372"/>
      <c r="B252" s="372"/>
      <c r="C252" s="372"/>
      <c r="D252" s="372"/>
      <c r="E252" s="372"/>
      <c r="F252" s="372"/>
      <c r="G252" s="372"/>
      <c r="H252" s="372"/>
      <c r="I252" s="372"/>
      <c r="J252" s="372"/>
      <c r="K252" s="372"/>
      <c r="L252" s="372"/>
      <c r="M252" s="372"/>
      <c r="N252" s="372"/>
      <c r="O252" s="372"/>
      <c r="P252" s="372"/>
      <c r="Q252" s="372"/>
      <c r="R252" s="372"/>
      <c r="S252" s="372"/>
      <c r="T252" s="372"/>
      <c r="U252" s="372"/>
      <c r="V252" s="372"/>
      <c r="W252" s="372"/>
      <c r="X252" s="372"/>
      <c r="Y252" s="372"/>
      <c r="Z252" s="372"/>
    </row>
    <row r="253">
      <c r="A253" s="372"/>
      <c r="B253" s="372"/>
      <c r="C253" s="372"/>
      <c r="D253" s="372"/>
      <c r="E253" s="372"/>
      <c r="F253" s="372"/>
      <c r="G253" s="372"/>
      <c r="H253" s="372"/>
      <c r="I253" s="372"/>
      <c r="J253" s="372"/>
      <c r="K253" s="372"/>
      <c r="L253" s="372"/>
      <c r="M253" s="372"/>
      <c r="N253" s="372"/>
      <c r="O253" s="372"/>
      <c r="P253" s="372"/>
      <c r="Q253" s="372"/>
      <c r="R253" s="372"/>
      <c r="S253" s="372"/>
      <c r="T253" s="372"/>
      <c r="U253" s="372"/>
      <c r="V253" s="372"/>
      <c r="W253" s="372"/>
      <c r="X253" s="372"/>
      <c r="Y253" s="372"/>
      <c r="Z253" s="372"/>
    </row>
    <row r="254">
      <c r="A254" s="372"/>
      <c r="B254" s="372"/>
      <c r="C254" s="372"/>
      <c r="D254" s="372"/>
      <c r="E254" s="372"/>
      <c r="F254" s="372"/>
      <c r="G254" s="372"/>
      <c r="H254" s="372"/>
      <c r="I254" s="372"/>
      <c r="J254" s="372"/>
      <c r="K254" s="372"/>
      <c r="L254" s="372"/>
      <c r="M254" s="372"/>
      <c r="N254" s="372"/>
      <c r="O254" s="372"/>
      <c r="P254" s="372"/>
      <c r="Q254" s="372"/>
      <c r="R254" s="372"/>
      <c r="S254" s="372"/>
      <c r="T254" s="372"/>
      <c r="U254" s="372"/>
      <c r="V254" s="372"/>
      <c r="W254" s="372"/>
      <c r="X254" s="372"/>
      <c r="Y254" s="372"/>
      <c r="Z254" s="372"/>
    </row>
    <row r="255">
      <c r="A255" s="372"/>
      <c r="B255" s="372"/>
      <c r="C255" s="372"/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  <c r="N255" s="372"/>
      <c r="O255" s="372"/>
      <c r="P255" s="372"/>
      <c r="Q255" s="372"/>
      <c r="R255" s="372"/>
      <c r="S255" s="372"/>
      <c r="T255" s="372"/>
      <c r="U255" s="372"/>
      <c r="V255" s="372"/>
      <c r="W255" s="372"/>
      <c r="X255" s="372"/>
      <c r="Y255" s="372"/>
      <c r="Z255" s="372"/>
    </row>
    <row r="256">
      <c r="A256" s="372"/>
      <c r="B256" s="372"/>
      <c r="C256" s="372"/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  <c r="N256" s="372"/>
      <c r="O256" s="372"/>
      <c r="P256" s="372"/>
      <c r="Q256" s="372"/>
      <c r="R256" s="372"/>
      <c r="S256" s="372"/>
      <c r="T256" s="372"/>
      <c r="U256" s="372"/>
      <c r="V256" s="372"/>
      <c r="W256" s="372"/>
      <c r="X256" s="372"/>
      <c r="Y256" s="372"/>
      <c r="Z256" s="372"/>
    </row>
    <row r="257">
      <c r="A257" s="372"/>
      <c r="B257" s="372"/>
      <c r="C257" s="372"/>
      <c r="D257" s="372"/>
      <c r="E257" s="372"/>
      <c r="F257" s="372"/>
      <c r="G257" s="372"/>
      <c r="H257" s="372"/>
      <c r="I257" s="372"/>
      <c r="J257" s="372"/>
      <c r="K257" s="372"/>
      <c r="L257" s="372"/>
      <c r="M257" s="372"/>
      <c r="N257" s="372"/>
      <c r="O257" s="372"/>
      <c r="P257" s="372"/>
      <c r="Q257" s="372"/>
      <c r="R257" s="372"/>
      <c r="S257" s="372"/>
      <c r="T257" s="372"/>
      <c r="U257" s="372"/>
      <c r="V257" s="372"/>
      <c r="W257" s="372"/>
      <c r="X257" s="372"/>
      <c r="Y257" s="372"/>
      <c r="Z257" s="372"/>
    </row>
    <row r="258">
      <c r="A258" s="372"/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2"/>
      <c r="Y258" s="372"/>
      <c r="Z258" s="372"/>
    </row>
    <row r="259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2"/>
      <c r="P259" s="372"/>
      <c r="Q259" s="372"/>
      <c r="R259" s="372"/>
      <c r="S259" s="372"/>
      <c r="T259" s="372"/>
      <c r="U259" s="372"/>
      <c r="V259" s="372"/>
      <c r="W259" s="372"/>
      <c r="X259" s="372"/>
      <c r="Y259" s="372"/>
      <c r="Z259" s="372"/>
    </row>
    <row r="260">
      <c r="A260" s="372"/>
      <c r="B260" s="372"/>
      <c r="C260" s="372"/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  <c r="N260" s="372"/>
      <c r="O260" s="372"/>
      <c r="P260" s="372"/>
      <c r="Q260" s="372"/>
      <c r="R260" s="372"/>
      <c r="S260" s="372"/>
      <c r="T260" s="372"/>
      <c r="U260" s="372"/>
      <c r="V260" s="372"/>
      <c r="W260" s="372"/>
      <c r="X260" s="372"/>
      <c r="Y260" s="372"/>
      <c r="Z260" s="372"/>
    </row>
    <row r="261">
      <c r="A261" s="372"/>
      <c r="B261" s="372"/>
      <c r="C261" s="372"/>
      <c r="D261" s="372"/>
      <c r="E261" s="372"/>
      <c r="F261" s="372"/>
      <c r="G261" s="372"/>
      <c r="H261" s="372"/>
      <c r="I261" s="372"/>
      <c r="J261" s="372"/>
      <c r="K261" s="372"/>
      <c r="L261" s="372"/>
      <c r="M261" s="372"/>
      <c r="N261" s="372"/>
      <c r="O261" s="372"/>
      <c r="P261" s="372"/>
      <c r="Q261" s="372"/>
      <c r="R261" s="372"/>
      <c r="S261" s="372"/>
      <c r="T261" s="372"/>
      <c r="U261" s="372"/>
      <c r="V261" s="372"/>
      <c r="W261" s="372"/>
      <c r="X261" s="372"/>
      <c r="Y261" s="372"/>
      <c r="Z261" s="372"/>
    </row>
    <row r="262">
      <c r="A262" s="372"/>
      <c r="B262" s="372"/>
      <c r="C262" s="372"/>
      <c r="D262" s="372"/>
      <c r="E262" s="372"/>
      <c r="F262" s="372"/>
      <c r="G262" s="372"/>
      <c r="H262" s="372"/>
      <c r="I262" s="372"/>
      <c r="J262" s="372"/>
      <c r="K262" s="372"/>
      <c r="L262" s="372"/>
      <c r="M262" s="372"/>
      <c r="N262" s="372"/>
      <c r="O262" s="372"/>
      <c r="P262" s="372"/>
      <c r="Q262" s="372"/>
      <c r="R262" s="372"/>
      <c r="S262" s="372"/>
      <c r="T262" s="372"/>
      <c r="U262" s="372"/>
      <c r="V262" s="372"/>
      <c r="W262" s="372"/>
      <c r="X262" s="372"/>
      <c r="Y262" s="372"/>
      <c r="Z262" s="372"/>
    </row>
    <row r="263">
      <c r="A263" s="372"/>
      <c r="B263" s="372"/>
      <c r="C263" s="372"/>
      <c r="D263" s="372"/>
      <c r="E263" s="372"/>
      <c r="F263" s="372"/>
      <c r="G263" s="372"/>
      <c r="H263" s="372"/>
      <c r="I263" s="372"/>
      <c r="J263" s="372"/>
      <c r="K263" s="372"/>
      <c r="L263" s="372"/>
      <c r="M263" s="372"/>
      <c r="N263" s="372"/>
      <c r="O263" s="372"/>
      <c r="P263" s="372"/>
      <c r="Q263" s="372"/>
      <c r="R263" s="372"/>
      <c r="S263" s="372"/>
      <c r="T263" s="372"/>
      <c r="U263" s="372"/>
      <c r="V263" s="372"/>
      <c r="W263" s="372"/>
      <c r="X263" s="372"/>
      <c r="Y263" s="372"/>
      <c r="Z263" s="372"/>
    </row>
    <row r="264">
      <c r="A264" s="372"/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  <c r="O264" s="372"/>
      <c r="P264" s="372"/>
      <c r="Q264" s="372"/>
      <c r="R264" s="372"/>
      <c r="S264" s="372"/>
      <c r="T264" s="372"/>
      <c r="U264" s="372"/>
      <c r="V264" s="372"/>
      <c r="W264" s="372"/>
      <c r="X264" s="372"/>
      <c r="Y264" s="372"/>
      <c r="Z264" s="372"/>
    </row>
    <row r="265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2"/>
      <c r="P265" s="372"/>
      <c r="Q265" s="372"/>
      <c r="R265" s="372"/>
      <c r="S265" s="372"/>
      <c r="T265" s="372"/>
      <c r="U265" s="372"/>
      <c r="V265" s="372"/>
      <c r="W265" s="372"/>
      <c r="X265" s="372"/>
      <c r="Y265" s="372"/>
      <c r="Z265" s="372"/>
    </row>
    <row r="266">
      <c r="A266" s="372"/>
      <c r="B266" s="372"/>
      <c r="C266" s="372"/>
      <c r="D266" s="372"/>
      <c r="E266" s="372"/>
      <c r="F266" s="372"/>
      <c r="G266" s="372"/>
      <c r="H266" s="372"/>
      <c r="I266" s="372"/>
      <c r="J266" s="372"/>
      <c r="K266" s="372"/>
      <c r="L266" s="372"/>
      <c r="M266" s="372"/>
      <c r="N266" s="372"/>
      <c r="O266" s="372"/>
      <c r="P266" s="372"/>
      <c r="Q266" s="372"/>
      <c r="R266" s="372"/>
      <c r="S266" s="372"/>
      <c r="T266" s="372"/>
      <c r="U266" s="372"/>
      <c r="V266" s="372"/>
      <c r="W266" s="372"/>
      <c r="X266" s="372"/>
      <c r="Y266" s="372"/>
      <c r="Z266" s="372"/>
    </row>
    <row r="267">
      <c r="A267" s="372"/>
      <c r="B267" s="372"/>
      <c r="C267" s="372"/>
      <c r="D267" s="372"/>
      <c r="E267" s="372"/>
      <c r="F267" s="372"/>
      <c r="G267" s="372"/>
      <c r="H267" s="372"/>
      <c r="I267" s="372"/>
      <c r="J267" s="372"/>
      <c r="K267" s="372"/>
      <c r="L267" s="372"/>
      <c r="M267" s="372"/>
      <c r="N267" s="372"/>
      <c r="O267" s="372"/>
      <c r="P267" s="372"/>
      <c r="Q267" s="372"/>
      <c r="R267" s="372"/>
      <c r="S267" s="372"/>
      <c r="T267" s="372"/>
      <c r="U267" s="372"/>
      <c r="V267" s="372"/>
      <c r="W267" s="372"/>
      <c r="X267" s="372"/>
      <c r="Y267" s="372"/>
      <c r="Z267" s="372"/>
    </row>
    <row r="268">
      <c r="A268" s="372"/>
      <c r="B268" s="372"/>
      <c r="C268" s="372"/>
      <c r="D268" s="372"/>
      <c r="E268" s="372"/>
      <c r="F268" s="372"/>
      <c r="G268" s="372"/>
      <c r="H268" s="372"/>
      <c r="I268" s="372"/>
      <c r="J268" s="372"/>
      <c r="K268" s="372"/>
      <c r="L268" s="372"/>
      <c r="M268" s="372"/>
      <c r="N268" s="372"/>
      <c r="O268" s="372"/>
      <c r="P268" s="372"/>
      <c r="Q268" s="372"/>
      <c r="R268" s="372"/>
      <c r="S268" s="372"/>
      <c r="T268" s="372"/>
      <c r="U268" s="372"/>
      <c r="V268" s="372"/>
      <c r="W268" s="372"/>
      <c r="X268" s="372"/>
      <c r="Y268" s="372"/>
      <c r="Z268" s="372"/>
    </row>
    <row r="269">
      <c r="A269" s="372"/>
      <c r="B269" s="372"/>
      <c r="C269" s="372"/>
      <c r="D269" s="372"/>
      <c r="E269" s="372"/>
      <c r="F269" s="372"/>
      <c r="G269" s="372"/>
      <c r="H269" s="372"/>
      <c r="I269" s="372"/>
      <c r="J269" s="372"/>
      <c r="K269" s="372"/>
      <c r="L269" s="372"/>
      <c r="M269" s="372"/>
      <c r="N269" s="372"/>
      <c r="O269" s="372"/>
      <c r="P269" s="372"/>
      <c r="Q269" s="372"/>
      <c r="R269" s="372"/>
      <c r="S269" s="372"/>
      <c r="T269" s="372"/>
      <c r="U269" s="372"/>
      <c r="V269" s="372"/>
      <c r="W269" s="372"/>
      <c r="X269" s="372"/>
      <c r="Y269" s="372"/>
      <c r="Z269" s="372"/>
    </row>
    <row r="270">
      <c r="A270" s="372"/>
      <c r="B270" s="372"/>
      <c r="C270" s="372"/>
      <c r="D270" s="372"/>
      <c r="E270" s="372"/>
      <c r="F270" s="372"/>
      <c r="G270" s="372"/>
      <c r="H270" s="372"/>
      <c r="I270" s="372"/>
      <c r="J270" s="372"/>
      <c r="K270" s="372"/>
      <c r="L270" s="372"/>
      <c r="M270" s="372"/>
      <c r="N270" s="372"/>
      <c r="O270" s="372"/>
      <c r="P270" s="372"/>
      <c r="Q270" s="372"/>
      <c r="R270" s="372"/>
      <c r="S270" s="372"/>
      <c r="T270" s="372"/>
      <c r="U270" s="372"/>
      <c r="V270" s="372"/>
      <c r="W270" s="372"/>
      <c r="X270" s="372"/>
      <c r="Y270" s="372"/>
      <c r="Z270" s="372"/>
    </row>
    <row r="271">
      <c r="A271" s="372"/>
      <c r="B271" s="372"/>
      <c r="C271" s="372"/>
      <c r="D271" s="372"/>
      <c r="E271" s="372"/>
      <c r="F271" s="372"/>
      <c r="G271" s="372"/>
      <c r="H271" s="372"/>
      <c r="I271" s="372"/>
      <c r="J271" s="372"/>
      <c r="K271" s="372"/>
      <c r="L271" s="372"/>
      <c r="M271" s="372"/>
      <c r="N271" s="372"/>
      <c r="O271" s="372"/>
      <c r="P271" s="372"/>
      <c r="Q271" s="372"/>
      <c r="R271" s="372"/>
      <c r="S271" s="372"/>
      <c r="T271" s="372"/>
      <c r="U271" s="372"/>
      <c r="V271" s="372"/>
      <c r="W271" s="372"/>
      <c r="X271" s="372"/>
      <c r="Y271" s="372"/>
      <c r="Z271" s="372"/>
    </row>
    <row r="272">
      <c r="A272" s="372"/>
      <c r="B272" s="372"/>
      <c r="C272" s="372"/>
      <c r="D272" s="372"/>
      <c r="E272" s="372"/>
      <c r="F272" s="372"/>
      <c r="G272" s="372"/>
      <c r="H272" s="372"/>
      <c r="I272" s="372"/>
      <c r="J272" s="372"/>
      <c r="K272" s="372"/>
      <c r="L272" s="372"/>
      <c r="M272" s="372"/>
      <c r="N272" s="372"/>
      <c r="O272" s="372"/>
      <c r="P272" s="372"/>
      <c r="Q272" s="372"/>
      <c r="R272" s="372"/>
      <c r="S272" s="372"/>
      <c r="T272" s="372"/>
      <c r="U272" s="372"/>
      <c r="V272" s="372"/>
      <c r="W272" s="372"/>
      <c r="X272" s="372"/>
      <c r="Y272" s="372"/>
      <c r="Z272" s="372"/>
    </row>
    <row r="273">
      <c r="A273" s="372"/>
      <c r="B273" s="372"/>
      <c r="C273" s="372"/>
      <c r="D273" s="372"/>
      <c r="E273" s="372"/>
      <c r="F273" s="372"/>
      <c r="G273" s="372"/>
      <c r="H273" s="372"/>
      <c r="I273" s="372"/>
      <c r="J273" s="372"/>
      <c r="K273" s="372"/>
      <c r="L273" s="372"/>
      <c r="M273" s="372"/>
      <c r="N273" s="372"/>
      <c r="O273" s="372"/>
      <c r="P273" s="372"/>
      <c r="Q273" s="372"/>
      <c r="R273" s="372"/>
      <c r="S273" s="372"/>
      <c r="T273" s="372"/>
      <c r="U273" s="372"/>
      <c r="V273" s="372"/>
      <c r="W273" s="372"/>
      <c r="X273" s="372"/>
      <c r="Y273" s="372"/>
      <c r="Z273" s="372"/>
    </row>
    <row r="274">
      <c r="A274" s="372"/>
      <c r="B274" s="372"/>
      <c r="C274" s="372"/>
      <c r="D274" s="372"/>
      <c r="E274" s="372"/>
      <c r="F274" s="372"/>
      <c r="G274" s="372"/>
      <c r="H274" s="372"/>
      <c r="I274" s="372"/>
      <c r="J274" s="372"/>
      <c r="K274" s="372"/>
      <c r="L274" s="372"/>
      <c r="M274" s="372"/>
      <c r="N274" s="372"/>
      <c r="O274" s="372"/>
      <c r="P274" s="372"/>
      <c r="Q274" s="372"/>
      <c r="R274" s="372"/>
      <c r="S274" s="372"/>
      <c r="T274" s="372"/>
      <c r="U274" s="372"/>
      <c r="V274" s="372"/>
      <c r="W274" s="372"/>
      <c r="X274" s="372"/>
      <c r="Y274" s="372"/>
      <c r="Z274" s="372"/>
    </row>
    <row r="275">
      <c r="A275" s="372"/>
      <c r="B275" s="372"/>
      <c r="C275" s="372"/>
      <c r="D275" s="372"/>
      <c r="E275" s="372"/>
      <c r="F275" s="372"/>
      <c r="G275" s="372"/>
      <c r="H275" s="372"/>
      <c r="I275" s="372"/>
      <c r="J275" s="372"/>
      <c r="K275" s="372"/>
      <c r="L275" s="372"/>
      <c r="M275" s="372"/>
      <c r="N275" s="372"/>
      <c r="O275" s="372"/>
      <c r="P275" s="372"/>
      <c r="Q275" s="372"/>
      <c r="R275" s="372"/>
      <c r="S275" s="372"/>
      <c r="T275" s="372"/>
      <c r="U275" s="372"/>
      <c r="V275" s="372"/>
      <c r="W275" s="372"/>
      <c r="X275" s="372"/>
      <c r="Y275" s="372"/>
      <c r="Z275" s="372"/>
    </row>
    <row r="276">
      <c r="A276" s="372"/>
      <c r="B276" s="372"/>
      <c r="C276" s="372"/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  <c r="N276" s="372"/>
      <c r="O276" s="372"/>
      <c r="P276" s="372"/>
      <c r="Q276" s="372"/>
      <c r="R276" s="372"/>
      <c r="S276" s="372"/>
      <c r="T276" s="372"/>
      <c r="U276" s="372"/>
      <c r="V276" s="372"/>
      <c r="W276" s="372"/>
      <c r="X276" s="372"/>
      <c r="Y276" s="372"/>
      <c r="Z276" s="372"/>
    </row>
    <row r="277">
      <c r="A277" s="372"/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  <c r="T277" s="372"/>
      <c r="U277" s="372"/>
      <c r="V277" s="372"/>
      <c r="W277" s="372"/>
      <c r="X277" s="372"/>
      <c r="Y277" s="372"/>
      <c r="Z277" s="372"/>
    </row>
    <row r="278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  <c r="O278" s="372"/>
      <c r="P278" s="372"/>
      <c r="Q278" s="372"/>
      <c r="R278" s="372"/>
      <c r="S278" s="372"/>
      <c r="T278" s="372"/>
      <c r="U278" s="372"/>
      <c r="V278" s="372"/>
      <c r="W278" s="372"/>
      <c r="X278" s="372"/>
      <c r="Y278" s="372"/>
      <c r="Z278" s="372"/>
    </row>
    <row r="279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  <c r="O279" s="372"/>
      <c r="P279" s="372"/>
      <c r="Q279" s="372"/>
      <c r="R279" s="372"/>
      <c r="S279" s="372"/>
      <c r="T279" s="372"/>
      <c r="U279" s="372"/>
      <c r="V279" s="372"/>
      <c r="W279" s="372"/>
      <c r="X279" s="372"/>
      <c r="Y279" s="372"/>
      <c r="Z279" s="372"/>
    </row>
    <row r="280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  <c r="O280" s="372"/>
      <c r="P280" s="372"/>
      <c r="Q280" s="372"/>
      <c r="R280" s="372"/>
      <c r="S280" s="372"/>
      <c r="T280" s="372"/>
      <c r="U280" s="372"/>
      <c r="V280" s="372"/>
      <c r="W280" s="372"/>
      <c r="X280" s="372"/>
      <c r="Y280" s="372"/>
      <c r="Z280" s="372"/>
    </row>
    <row r="281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372"/>
      <c r="P281" s="372"/>
      <c r="Q281" s="372"/>
      <c r="R281" s="372"/>
      <c r="S281" s="372"/>
      <c r="T281" s="372"/>
      <c r="U281" s="372"/>
      <c r="V281" s="372"/>
      <c r="W281" s="372"/>
      <c r="X281" s="372"/>
      <c r="Y281" s="372"/>
      <c r="Z281" s="372"/>
    </row>
    <row r="282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372"/>
      <c r="P282" s="372"/>
      <c r="Q282" s="372"/>
      <c r="R282" s="372"/>
      <c r="S282" s="372"/>
      <c r="T282" s="372"/>
      <c r="U282" s="372"/>
      <c r="V282" s="372"/>
      <c r="W282" s="372"/>
      <c r="X282" s="372"/>
      <c r="Y282" s="372"/>
      <c r="Z282" s="372"/>
    </row>
    <row r="283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372"/>
      <c r="P283" s="372"/>
      <c r="Q283" s="372"/>
      <c r="R283" s="372"/>
      <c r="S283" s="372"/>
      <c r="T283" s="372"/>
      <c r="U283" s="372"/>
      <c r="V283" s="372"/>
      <c r="W283" s="372"/>
      <c r="X283" s="372"/>
      <c r="Y283" s="372"/>
      <c r="Z283" s="372"/>
    </row>
    <row r="284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372"/>
      <c r="P284" s="372"/>
      <c r="Q284" s="372"/>
      <c r="R284" s="372"/>
      <c r="S284" s="372"/>
      <c r="T284" s="372"/>
      <c r="U284" s="372"/>
      <c r="V284" s="372"/>
      <c r="W284" s="372"/>
      <c r="X284" s="372"/>
      <c r="Y284" s="372"/>
      <c r="Z284" s="372"/>
    </row>
    <row r="285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  <c r="O285" s="372"/>
      <c r="P285" s="372"/>
      <c r="Q285" s="372"/>
      <c r="R285" s="372"/>
      <c r="S285" s="372"/>
      <c r="T285" s="372"/>
      <c r="U285" s="372"/>
      <c r="V285" s="372"/>
      <c r="W285" s="372"/>
      <c r="X285" s="372"/>
      <c r="Y285" s="372"/>
      <c r="Z285" s="372"/>
    </row>
    <row r="286">
      <c r="A286" s="372"/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  <c r="O286" s="372"/>
      <c r="P286" s="372"/>
      <c r="Q286" s="372"/>
      <c r="R286" s="372"/>
      <c r="S286" s="372"/>
      <c r="T286" s="372"/>
      <c r="U286" s="372"/>
      <c r="V286" s="372"/>
      <c r="W286" s="372"/>
      <c r="X286" s="372"/>
      <c r="Y286" s="372"/>
      <c r="Z286" s="372"/>
    </row>
    <row r="287">
      <c r="A287" s="372"/>
      <c r="B287" s="372"/>
      <c r="C287" s="372"/>
      <c r="D287" s="372"/>
      <c r="E287" s="372"/>
      <c r="F287" s="372"/>
      <c r="G287" s="372"/>
      <c r="H287" s="372"/>
      <c r="I287" s="372"/>
      <c r="J287" s="372"/>
      <c r="K287" s="372"/>
      <c r="L287" s="372"/>
      <c r="M287" s="372"/>
      <c r="N287" s="372"/>
      <c r="O287" s="372"/>
      <c r="P287" s="372"/>
      <c r="Q287" s="372"/>
      <c r="R287" s="372"/>
      <c r="S287" s="372"/>
      <c r="T287" s="372"/>
      <c r="U287" s="372"/>
      <c r="V287" s="372"/>
      <c r="W287" s="372"/>
      <c r="X287" s="372"/>
      <c r="Y287" s="372"/>
      <c r="Z287" s="372"/>
    </row>
    <row r="288">
      <c r="A288" s="372"/>
      <c r="B288" s="372"/>
      <c r="C288" s="372"/>
      <c r="D288" s="372"/>
      <c r="E288" s="372"/>
      <c r="F288" s="372"/>
      <c r="G288" s="372"/>
      <c r="H288" s="372"/>
      <c r="I288" s="372"/>
      <c r="J288" s="372"/>
      <c r="K288" s="372"/>
      <c r="L288" s="372"/>
      <c r="M288" s="372"/>
      <c r="N288" s="372"/>
      <c r="O288" s="372"/>
      <c r="P288" s="372"/>
      <c r="Q288" s="372"/>
      <c r="R288" s="372"/>
      <c r="S288" s="372"/>
      <c r="T288" s="372"/>
      <c r="U288" s="372"/>
      <c r="V288" s="372"/>
      <c r="W288" s="372"/>
      <c r="X288" s="372"/>
      <c r="Y288" s="372"/>
      <c r="Z288" s="372"/>
    </row>
    <row r="289">
      <c r="A289" s="372"/>
      <c r="B289" s="372"/>
      <c r="C289" s="372"/>
      <c r="D289" s="372"/>
      <c r="E289" s="372"/>
      <c r="F289" s="372"/>
      <c r="G289" s="372"/>
      <c r="H289" s="372"/>
      <c r="I289" s="372"/>
      <c r="J289" s="372"/>
      <c r="K289" s="372"/>
      <c r="L289" s="372"/>
      <c r="M289" s="372"/>
      <c r="N289" s="372"/>
      <c r="O289" s="372"/>
      <c r="P289" s="372"/>
      <c r="Q289" s="372"/>
      <c r="R289" s="372"/>
      <c r="S289" s="372"/>
      <c r="T289" s="372"/>
      <c r="U289" s="372"/>
      <c r="V289" s="372"/>
      <c r="W289" s="372"/>
      <c r="X289" s="372"/>
      <c r="Y289" s="372"/>
      <c r="Z289" s="372"/>
    </row>
    <row r="290">
      <c r="A290" s="372"/>
      <c r="B290" s="372"/>
      <c r="C290" s="372"/>
      <c r="D290" s="372"/>
      <c r="E290" s="372"/>
      <c r="F290" s="372"/>
      <c r="G290" s="372"/>
      <c r="H290" s="372"/>
      <c r="I290" s="372"/>
      <c r="J290" s="372"/>
      <c r="K290" s="372"/>
      <c r="L290" s="372"/>
      <c r="M290" s="372"/>
      <c r="N290" s="372"/>
      <c r="O290" s="372"/>
      <c r="P290" s="372"/>
      <c r="Q290" s="372"/>
      <c r="R290" s="372"/>
      <c r="S290" s="372"/>
      <c r="T290" s="372"/>
      <c r="U290" s="372"/>
      <c r="V290" s="372"/>
      <c r="W290" s="372"/>
      <c r="X290" s="372"/>
      <c r="Y290" s="372"/>
      <c r="Z290" s="372"/>
    </row>
    <row r="291">
      <c r="A291" s="372"/>
      <c r="B291" s="372"/>
      <c r="C291" s="372"/>
      <c r="D291" s="372"/>
      <c r="E291" s="372"/>
      <c r="F291" s="372"/>
      <c r="G291" s="372"/>
      <c r="H291" s="372"/>
      <c r="I291" s="372"/>
      <c r="J291" s="372"/>
      <c r="K291" s="372"/>
      <c r="L291" s="372"/>
      <c r="M291" s="372"/>
      <c r="N291" s="372"/>
      <c r="O291" s="372"/>
      <c r="P291" s="372"/>
      <c r="Q291" s="372"/>
      <c r="R291" s="372"/>
      <c r="S291" s="372"/>
      <c r="T291" s="372"/>
      <c r="U291" s="372"/>
      <c r="V291" s="372"/>
      <c r="W291" s="372"/>
      <c r="X291" s="372"/>
      <c r="Y291" s="372"/>
      <c r="Z291" s="372"/>
    </row>
    <row r="292">
      <c r="A292" s="372"/>
      <c r="B292" s="372"/>
      <c r="C292" s="372"/>
      <c r="D292" s="372"/>
      <c r="E292" s="372"/>
      <c r="F292" s="372"/>
      <c r="G292" s="372"/>
      <c r="H292" s="372"/>
      <c r="I292" s="372"/>
      <c r="J292" s="372"/>
      <c r="K292" s="372"/>
      <c r="L292" s="372"/>
      <c r="M292" s="372"/>
      <c r="N292" s="372"/>
      <c r="O292" s="372"/>
      <c r="P292" s="372"/>
      <c r="Q292" s="372"/>
      <c r="R292" s="372"/>
      <c r="S292" s="372"/>
      <c r="T292" s="372"/>
      <c r="U292" s="372"/>
      <c r="V292" s="372"/>
      <c r="W292" s="372"/>
      <c r="X292" s="372"/>
      <c r="Y292" s="372"/>
      <c r="Z292" s="372"/>
    </row>
    <row r="293">
      <c r="A293" s="372"/>
      <c r="B293" s="372"/>
      <c r="C293" s="372"/>
      <c r="D293" s="372"/>
      <c r="E293" s="372"/>
      <c r="F293" s="372"/>
      <c r="G293" s="372"/>
      <c r="H293" s="372"/>
      <c r="I293" s="372"/>
      <c r="J293" s="372"/>
      <c r="K293" s="372"/>
      <c r="L293" s="372"/>
      <c r="M293" s="372"/>
      <c r="N293" s="372"/>
      <c r="O293" s="372"/>
      <c r="P293" s="372"/>
      <c r="Q293" s="372"/>
      <c r="R293" s="372"/>
      <c r="S293" s="372"/>
      <c r="T293" s="372"/>
      <c r="U293" s="372"/>
      <c r="V293" s="372"/>
      <c r="W293" s="372"/>
      <c r="X293" s="372"/>
      <c r="Y293" s="372"/>
      <c r="Z293" s="372"/>
    </row>
    <row r="294">
      <c r="A294" s="372"/>
      <c r="B294" s="372"/>
      <c r="C294" s="372"/>
      <c r="D294" s="372"/>
      <c r="E294" s="372"/>
      <c r="F294" s="372"/>
      <c r="G294" s="372"/>
      <c r="H294" s="372"/>
      <c r="I294" s="372"/>
      <c r="J294" s="372"/>
      <c r="K294" s="372"/>
      <c r="L294" s="372"/>
      <c r="M294" s="372"/>
      <c r="N294" s="372"/>
      <c r="O294" s="372"/>
      <c r="P294" s="372"/>
      <c r="Q294" s="372"/>
      <c r="R294" s="372"/>
      <c r="S294" s="372"/>
      <c r="T294" s="372"/>
      <c r="U294" s="372"/>
      <c r="V294" s="372"/>
      <c r="W294" s="372"/>
      <c r="X294" s="372"/>
      <c r="Y294" s="372"/>
      <c r="Z294" s="372"/>
    </row>
    <row r="295">
      <c r="A295" s="372"/>
      <c r="B295" s="372"/>
      <c r="C295" s="372"/>
      <c r="D295" s="372"/>
      <c r="E295" s="372"/>
      <c r="F295" s="372"/>
      <c r="G295" s="372"/>
      <c r="H295" s="372"/>
      <c r="I295" s="372"/>
      <c r="J295" s="372"/>
      <c r="K295" s="372"/>
      <c r="L295" s="372"/>
      <c r="M295" s="372"/>
      <c r="N295" s="372"/>
      <c r="O295" s="372"/>
      <c r="P295" s="372"/>
      <c r="Q295" s="372"/>
      <c r="R295" s="372"/>
      <c r="S295" s="372"/>
      <c r="T295" s="372"/>
      <c r="U295" s="372"/>
      <c r="V295" s="372"/>
      <c r="W295" s="372"/>
      <c r="X295" s="372"/>
      <c r="Y295" s="372"/>
      <c r="Z295" s="372"/>
    </row>
    <row r="296">
      <c r="A296" s="372"/>
      <c r="B296" s="372"/>
      <c r="C296" s="372"/>
      <c r="D296" s="372"/>
      <c r="E296" s="372"/>
      <c r="F296" s="372"/>
      <c r="G296" s="372"/>
      <c r="H296" s="372"/>
      <c r="I296" s="372"/>
      <c r="J296" s="372"/>
      <c r="K296" s="372"/>
      <c r="L296" s="372"/>
      <c r="M296" s="372"/>
      <c r="N296" s="372"/>
      <c r="O296" s="372"/>
      <c r="P296" s="372"/>
      <c r="Q296" s="372"/>
      <c r="R296" s="372"/>
      <c r="S296" s="372"/>
      <c r="T296" s="372"/>
      <c r="U296" s="372"/>
      <c r="V296" s="372"/>
      <c r="W296" s="372"/>
      <c r="X296" s="372"/>
      <c r="Y296" s="372"/>
      <c r="Z296" s="372"/>
    </row>
    <row r="297">
      <c r="A297" s="372"/>
      <c r="B297" s="372"/>
      <c r="C297" s="372"/>
      <c r="D297" s="372"/>
      <c r="E297" s="372"/>
      <c r="F297" s="372"/>
      <c r="G297" s="372"/>
      <c r="H297" s="372"/>
      <c r="I297" s="372"/>
      <c r="J297" s="372"/>
      <c r="K297" s="372"/>
      <c r="L297" s="372"/>
      <c r="M297" s="372"/>
      <c r="N297" s="372"/>
      <c r="O297" s="372"/>
      <c r="P297" s="372"/>
      <c r="Q297" s="372"/>
      <c r="R297" s="372"/>
      <c r="S297" s="372"/>
      <c r="T297" s="372"/>
      <c r="U297" s="372"/>
      <c r="V297" s="372"/>
      <c r="W297" s="372"/>
      <c r="X297" s="372"/>
      <c r="Y297" s="372"/>
      <c r="Z297" s="372"/>
    </row>
    <row r="298">
      <c r="A298" s="372"/>
      <c r="B298" s="372"/>
      <c r="C298" s="372"/>
      <c r="D298" s="372"/>
      <c r="E298" s="372"/>
      <c r="F298" s="372"/>
      <c r="G298" s="372"/>
      <c r="H298" s="372"/>
      <c r="I298" s="372"/>
      <c r="J298" s="372"/>
      <c r="K298" s="372"/>
      <c r="L298" s="372"/>
      <c r="M298" s="372"/>
      <c r="N298" s="372"/>
      <c r="O298" s="372"/>
      <c r="P298" s="372"/>
      <c r="Q298" s="372"/>
      <c r="R298" s="372"/>
      <c r="S298" s="372"/>
      <c r="T298" s="372"/>
      <c r="U298" s="372"/>
      <c r="V298" s="372"/>
      <c r="W298" s="372"/>
      <c r="X298" s="372"/>
      <c r="Y298" s="372"/>
      <c r="Z298" s="372"/>
    </row>
    <row r="299">
      <c r="A299" s="372"/>
      <c r="B299" s="372"/>
      <c r="C299" s="372"/>
      <c r="D299" s="372"/>
      <c r="E299" s="372"/>
      <c r="F299" s="372"/>
      <c r="G299" s="372"/>
      <c r="H299" s="372"/>
      <c r="I299" s="372"/>
      <c r="J299" s="372"/>
      <c r="K299" s="372"/>
      <c r="L299" s="372"/>
      <c r="M299" s="372"/>
      <c r="N299" s="372"/>
      <c r="O299" s="372"/>
      <c r="P299" s="372"/>
      <c r="Q299" s="372"/>
      <c r="R299" s="372"/>
      <c r="S299" s="372"/>
      <c r="T299" s="372"/>
      <c r="U299" s="372"/>
      <c r="V299" s="372"/>
      <c r="W299" s="372"/>
      <c r="X299" s="372"/>
      <c r="Y299" s="372"/>
      <c r="Z299" s="372"/>
    </row>
    <row r="300">
      <c r="A300" s="372"/>
      <c r="B300" s="372"/>
      <c r="C300" s="372"/>
      <c r="D300" s="372"/>
      <c r="E300" s="372"/>
      <c r="F300" s="372"/>
      <c r="G300" s="372"/>
      <c r="H300" s="372"/>
      <c r="I300" s="372"/>
      <c r="J300" s="372"/>
      <c r="K300" s="372"/>
      <c r="L300" s="372"/>
      <c r="M300" s="372"/>
      <c r="N300" s="372"/>
      <c r="O300" s="372"/>
      <c r="P300" s="372"/>
      <c r="Q300" s="372"/>
      <c r="R300" s="372"/>
      <c r="S300" s="372"/>
      <c r="T300" s="372"/>
      <c r="U300" s="372"/>
      <c r="V300" s="372"/>
      <c r="W300" s="372"/>
      <c r="X300" s="372"/>
      <c r="Y300" s="372"/>
      <c r="Z300" s="372"/>
    </row>
    <row r="301">
      <c r="A301" s="372"/>
      <c r="B301" s="372"/>
      <c r="C301" s="372"/>
      <c r="D301" s="372"/>
      <c r="E301" s="372"/>
      <c r="F301" s="372"/>
      <c r="G301" s="372"/>
      <c r="H301" s="372"/>
      <c r="I301" s="372"/>
      <c r="J301" s="372"/>
      <c r="K301" s="372"/>
      <c r="L301" s="372"/>
      <c r="M301" s="372"/>
      <c r="N301" s="372"/>
      <c r="O301" s="372"/>
      <c r="P301" s="372"/>
      <c r="Q301" s="372"/>
      <c r="R301" s="372"/>
      <c r="S301" s="372"/>
      <c r="T301" s="372"/>
      <c r="U301" s="372"/>
      <c r="V301" s="372"/>
      <c r="W301" s="372"/>
      <c r="X301" s="372"/>
      <c r="Y301" s="372"/>
      <c r="Z301" s="372"/>
    </row>
    <row r="302">
      <c r="A302" s="372"/>
      <c r="B302" s="372"/>
      <c r="C302" s="372"/>
      <c r="D302" s="372"/>
      <c r="E302" s="372"/>
      <c r="F302" s="372"/>
      <c r="G302" s="372"/>
      <c r="H302" s="372"/>
      <c r="I302" s="372"/>
      <c r="J302" s="372"/>
      <c r="K302" s="372"/>
      <c r="L302" s="372"/>
      <c r="M302" s="372"/>
      <c r="N302" s="372"/>
      <c r="O302" s="372"/>
      <c r="P302" s="372"/>
      <c r="Q302" s="372"/>
      <c r="R302" s="372"/>
      <c r="S302" s="372"/>
      <c r="T302" s="372"/>
      <c r="U302" s="372"/>
      <c r="V302" s="372"/>
      <c r="W302" s="372"/>
      <c r="X302" s="372"/>
      <c r="Y302" s="372"/>
      <c r="Z302" s="372"/>
    </row>
    <row r="303">
      <c r="A303" s="372"/>
      <c r="B303" s="372"/>
      <c r="C303" s="372"/>
      <c r="D303" s="372"/>
      <c r="E303" s="372"/>
      <c r="F303" s="372"/>
      <c r="G303" s="372"/>
      <c r="H303" s="372"/>
      <c r="I303" s="372"/>
      <c r="J303" s="372"/>
      <c r="K303" s="372"/>
      <c r="L303" s="372"/>
      <c r="M303" s="372"/>
      <c r="N303" s="372"/>
      <c r="O303" s="372"/>
      <c r="P303" s="372"/>
      <c r="Q303" s="372"/>
      <c r="R303" s="372"/>
      <c r="S303" s="372"/>
      <c r="T303" s="372"/>
      <c r="U303" s="372"/>
      <c r="V303" s="372"/>
      <c r="W303" s="372"/>
      <c r="X303" s="372"/>
      <c r="Y303" s="372"/>
      <c r="Z303" s="372"/>
    </row>
    <row r="304">
      <c r="A304" s="372"/>
      <c r="B304" s="372"/>
      <c r="C304" s="372"/>
      <c r="D304" s="372"/>
      <c r="E304" s="372"/>
      <c r="F304" s="372"/>
      <c r="G304" s="372"/>
      <c r="H304" s="372"/>
      <c r="I304" s="372"/>
      <c r="J304" s="372"/>
      <c r="K304" s="372"/>
      <c r="L304" s="372"/>
      <c r="M304" s="372"/>
      <c r="N304" s="372"/>
      <c r="O304" s="372"/>
      <c r="P304" s="372"/>
      <c r="Q304" s="372"/>
      <c r="R304" s="372"/>
      <c r="S304" s="372"/>
      <c r="T304" s="372"/>
      <c r="U304" s="372"/>
      <c r="V304" s="372"/>
      <c r="W304" s="372"/>
      <c r="X304" s="372"/>
      <c r="Y304" s="372"/>
      <c r="Z304" s="372"/>
    </row>
    <row r="305">
      <c r="A305" s="372"/>
      <c r="B305" s="372"/>
      <c r="C305" s="372"/>
      <c r="D305" s="372"/>
      <c r="E305" s="372"/>
      <c r="F305" s="372"/>
      <c r="G305" s="372"/>
      <c r="H305" s="372"/>
      <c r="I305" s="372"/>
      <c r="J305" s="372"/>
      <c r="K305" s="372"/>
      <c r="L305" s="372"/>
      <c r="M305" s="372"/>
      <c r="N305" s="372"/>
      <c r="O305" s="372"/>
      <c r="P305" s="372"/>
      <c r="Q305" s="372"/>
      <c r="R305" s="372"/>
      <c r="S305" s="372"/>
      <c r="T305" s="372"/>
      <c r="U305" s="372"/>
      <c r="V305" s="372"/>
      <c r="W305" s="372"/>
      <c r="X305" s="372"/>
      <c r="Y305" s="372"/>
      <c r="Z305" s="372"/>
    </row>
    <row r="306">
      <c r="A306" s="372"/>
      <c r="B306" s="372"/>
      <c r="C306" s="372"/>
      <c r="D306" s="372"/>
      <c r="E306" s="372"/>
      <c r="F306" s="372"/>
      <c r="G306" s="372"/>
      <c r="H306" s="372"/>
      <c r="I306" s="372"/>
      <c r="J306" s="372"/>
      <c r="K306" s="372"/>
      <c r="L306" s="372"/>
      <c r="M306" s="372"/>
      <c r="N306" s="372"/>
      <c r="O306" s="372"/>
      <c r="P306" s="372"/>
      <c r="Q306" s="372"/>
      <c r="R306" s="372"/>
      <c r="S306" s="372"/>
      <c r="T306" s="372"/>
      <c r="U306" s="372"/>
      <c r="V306" s="372"/>
      <c r="W306" s="372"/>
      <c r="X306" s="372"/>
      <c r="Y306" s="372"/>
      <c r="Z306" s="372"/>
    </row>
    <row r="307">
      <c r="A307" s="372"/>
      <c r="B307" s="372"/>
      <c r="C307" s="372"/>
      <c r="D307" s="372"/>
      <c r="E307" s="372"/>
      <c r="F307" s="372"/>
      <c r="G307" s="372"/>
      <c r="H307" s="372"/>
      <c r="I307" s="372"/>
      <c r="J307" s="372"/>
      <c r="K307" s="372"/>
      <c r="L307" s="372"/>
      <c r="M307" s="372"/>
      <c r="N307" s="372"/>
      <c r="O307" s="372"/>
      <c r="P307" s="372"/>
      <c r="Q307" s="372"/>
      <c r="R307" s="372"/>
      <c r="S307" s="372"/>
      <c r="T307" s="372"/>
      <c r="U307" s="372"/>
      <c r="V307" s="372"/>
      <c r="W307" s="372"/>
      <c r="X307" s="372"/>
      <c r="Y307" s="372"/>
      <c r="Z307" s="372"/>
    </row>
    <row r="308">
      <c r="A308" s="372"/>
      <c r="B308" s="372"/>
      <c r="C308" s="372"/>
      <c r="D308" s="372"/>
      <c r="E308" s="372"/>
      <c r="F308" s="372"/>
      <c r="G308" s="372"/>
      <c r="H308" s="372"/>
      <c r="I308" s="372"/>
      <c r="J308" s="372"/>
      <c r="K308" s="372"/>
      <c r="L308" s="372"/>
      <c r="M308" s="372"/>
      <c r="N308" s="372"/>
      <c r="O308" s="372"/>
      <c r="P308" s="372"/>
      <c r="Q308" s="372"/>
      <c r="R308" s="372"/>
      <c r="S308" s="372"/>
      <c r="T308" s="372"/>
      <c r="U308" s="372"/>
      <c r="V308" s="372"/>
      <c r="W308" s="372"/>
      <c r="X308" s="372"/>
      <c r="Y308" s="372"/>
      <c r="Z308" s="372"/>
    </row>
    <row r="309">
      <c r="A309" s="372"/>
      <c r="B309" s="372"/>
      <c r="C309" s="372"/>
      <c r="D309" s="372"/>
      <c r="E309" s="372"/>
      <c r="F309" s="372"/>
      <c r="G309" s="372"/>
      <c r="H309" s="372"/>
      <c r="I309" s="372"/>
      <c r="J309" s="372"/>
      <c r="K309" s="372"/>
      <c r="L309" s="372"/>
      <c r="M309" s="372"/>
      <c r="N309" s="372"/>
      <c r="O309" s="372"/>
      <c r="P309" s="372"/>
      <c r="Q309" s="372"/>
      <c r="R309" s="372"/>
      <c r="S309" s="372"/>
      <c r="T309" s="372"/>
      <c r="U309" s="372"/>
      <c r="V309" s="372"/>
      <c r="W309" s="372"/>
      <c r="X309" s="372"/>
      <c r="Y309" s="372"/>
      <c r="Z309" s="372"/>
    </row>
    <row r="310">
      <c r="A310" s="372"/>
      <c r="B310" s="372"/>
      <c r="C310" s="372"/>
      <c r="D310" s="372"/>
      <c r="E310" s="372"/>
      <c r="F310" s="372"/>
      <c r="G310" s="372"/>
      <c r="H310" s="372"/>
      <c r="I310" s="372"/>
      <c r="J310" s="372"/>
      <c r="K310" s="372"/>
      <c r="L310" s="372"/>
      <c r="M310" s="372"/>
      <c r="N310" s="372"/>
      <c r="O310" s="372"/>
      <c r="P310" s="372"/>
      <c r="Q310" s="372"/>
      <c r="R310" s="372"/>
      <c r="S310" s="372"/>
      <c r="T310" s="372"/>
      <c r="U310" s="372"/>
      <c r="V310" s="372"/>
      <c r="W310" s="372"/>
      <c r="X310" s="372"/>
      <c r="Y310" s="372"/>
      <c r="Z310" s="372"/>
    </row>
    <row r="311">
      <c r="A311" s="372"/>
      <c r="B311" s="372"/>
      <c r="C311" s="372"/>
      <c r="D311" s="372"/>
      <c r="E311" s="372"/>
      <c r="F311" s="372"/>
      <c r="G311" s="372"/>
      <c r="H311" s="372"/>
      <c r="I311" s="372"/>
      <c r="J311" s="372"/>
      <c r="K311" s="372"/>
      <c r="L311" s="372"/>
      <c r="M311" s="372"/>
      <c r="N311" s="372"/>
      <c r="O311" s="372"/>
      <c r="P311" s="372"/>
      <c r="Q311" s="372"/>
      <c r="R311" s="372"/>
      <c r="S311" s="372"/>
      <c r="T311" s="372"/>
      <c r="U311" s="372"/>
      <c r="V311" s="372"/>
      <c r="W311" s="372"/>
      <c r="X311" s="372"/>
      <c r="Y311" s="372"/>
      <c r="Z311" s="372"/>
    </row>
    <row r="312">
      <c r="A312" s="372"/>
      <c r="B312" s="372"/>
      <c r="C312" s="372"/>
      <c r="D312" s="372"/>
      <c r="E312" s="372"/>
      <c r="F312" s="372"/>
      <c r="G312" s="372"/>
      <c r="H312" s="372"/>
      <c r="I312" s="372"/>
      <c r="J312" s="372"/>
      <c r="K312" s="372"/>
      <c r="L312" s="372"/>
      <c r="M312" s="372"/>
      <c r="N312" s="372"/>
      <c r="O312" s="372"/>
      <c r="P312" s="372"/>
      <c r="Q312" s="372"/>
      <c r="R312" s="372"/>
      <c r="S312" s="372"/>
      <c r="T312" s="372"/>
      <c r="U312" s="372"/>
      <c r="V312" s="372"/>
      <c r="W312" s="372"/>
      <c r="X312" s="372"/>
      <c r="Y312" s="372"/>
      <c r="Z312" s="372"/>
    </row>
    <row r="313">
      <c r="A313" s="372"/>
      <c r="B313" s="372"/>
      <c r="C313" s="372"/>
      <c r="D313" s="372"/>
      <c r="E313" s="372"/>
      <c r="F313" s="372"/>
      <c r="G313" s="372"/>
      <c r="H313" s="372"/>
      <c r="I313" s="372"/>
      <c r="J313" s="372"/>
      <c r="K313" s="372"/>
      <c r="L313" s="372"/>
      <c r="M313" s="372"/>
      <c r="N313" s="372"/>
      <c r="O313" s="372"/>
      <c r="P313" s="372"/>
      <c r="Q313" s="372"/>
      <c r="R313" s="372"/>
      <c r="S313" s="372"/>
      <c r="T313" s="372"/>
      <c r="U313" s="372"/>
      <c r="V313" s="372"/>
      <c r="W313" s="372"/>
      <c r="X313" s="372"/>
      <c r="Y313" s="372"/>
      <c r="Z313" s="372"/>
    </row>
    <row r="314">
      <c r="A314" s="372"/>
      <c r="B314" s="372"/>
      <c r="C314" s="372"/>
      <c r="D314" s="372"/>
      <c r="E314" s="372"/>
      <c r="F314" s="372"/>
      <c r="G314" s="372"/>
      <c r="H314" s="372"/>
      <c r="I314" s="372"/>
      <c r="J314" s="372"/>
      <c r="K314" s="372"/>
      <c r="L314" s="372"/>
      <c r="M314" s="372"/>
      <c r="N314" s="372"/>
      <c r="O314" s="372"/>
      <c r="P314" s="372"/>
      <c r="Q314" s="372"/>
      <c r="R314" s="372"/>
      <c r="S314" s="372"/>
      <c r="T314" s="372"/>
      <c r="U314" s="372"/>
      <c r="V314" s="372"/>
      <c r="W314" s="372"/>
      <c r="X314" s="372"/>
      <c r="Y314" s="372"/>
      <c r="Z314" s="372"/>
    </row>
    <row r="315">
      <c r="A315" s="372"/>
      <c r="B315" s="372"/>
      <c r="C315" s="372"/>
      <c r="D315" s="372"/>
      <c r="E315" s="372"/>
      <c r="F315" s="372"/>
      <c r="G315" s="372"/>
      <c r="H315" s="372"/>
      <c r="I315" s="372"/>
      <c r="J315" s="372"/>
      <c r="K315" s="372"/>
      <c r="L315" s="372"/>
      <c r="M315" s="372"/>
      <c r="N315" s="372"/>
      <c r="O315" s="372"/>
      <c r="P315" s="372"/>
      <c r="Q315" s="372"/>
      <c r="R315" s="372"/>
      <c r="S315" s="372"/>
      <c r="T315" s="372"/>
      <c r="U315" s="372"/>
      <c r="V315" s="372"/>
      <c r="W315" s="372"/>
      <c r="X315" s="372"/>
      <c r="Y315" s="372"/>
      <c r="Z315" s="372"/>
    </row>
    <row r="316">
      <c r="A316" s="372"/>
      <c r="B316" s="372"/>
      <c r="C316" s="372"/>
      <c r="D316" s="372"/>
      <c r="E316" s="372"/>
      <c r="F316" s="372"/>
      <c r="G316" s="372"/>
      <c r="H316" s="372"/>
      <c r="I316" s="372"/>
      <c r="J316" s="372"/>
      <c r="K316" s="372"/>
      <c r="L316" s="372"/>
      <c r="M316" s="372"/>
      <c r="N316" s="372"/>
      <c r="O316" s="372"/>
      <c r="P316" s="372"/>
      <c r="Q316" s="372"/>
      <c r="R316" s="372"/>
      <c r="S316" s="372"/>
      <c r="T316" s="372"/>
      <c r="U316" s="372"/>
      <c r="V316" s="372"/>
      <c r="W316" s="372"/>
      <c r="X316" s="372"/>
      <c r="Y316" s="372"/>
      <c r="Z316" s="372"/>
    </row>
    <row r="317">
      <c r="A317" s="372"/>
      <c r="B317" s="372"/>
      <c r="C317" s="372"/>
      <c r="D317" s="372"/>
      <c r="E317" s="372"/>
      <c r="F317" s="372"/>
      <c r="G317" s="372"/>
      <c r="H317" s="372"/>
      <c r="I317" s="372"/>
      <c r="J317" s="372"/>
      <c r="K317" s="372"/>
      <c r="L317" s="372"/>
      <c r="M317" s="372"/>
      <c r="N317" s="372"/>
      <c r="O317" s="372"/>
      <c r="P317" s="372"/>
      <c r="Q317" s="372"/>
      <c r="R317" s="372"/>
      <c r="S317" s="372"/>
      <c r="T317" s="372"/>
      <c r="U317" s="372"/>
      <c r="V317" s="372"/>
      <c r="W317" s="372"/>
      <c r="X317" s="372"/>
      <c r="Y317" s="372"/>
      <c r="Z317" s="372"/>
    </row>
    <row r="318">
      <c r="A318" s="372"/>
      <c r="B318" s="372"/>
      <c r="C318" s="372"/>
      <c r="D318" s="372"/>
      <c r="E318" s="372"/>
      <c r="F318" s="372"/>
      <c r="G318" s="372"/>
      <c r="H318" s="372"/>
      <c r="I318" s="372"/>
      <c r="J318" s="372"/>
      <c r="K318" s="372"/>
      <c r="L318" s="372"/>
      <c r="M318" s="372"/>
      <c r="N318" s="372"/>
      <c r="O318" s="372"/>
      <c r="P318" s="372"/>
      <c r="Q318" s="372"/>
      <c r="R318" s="372"/>
      <c r="S318" s="372"/>
      <c r="T318" s="372"/>
      <c r="U318" s="372"/>
      <c r="V318" s="372"/>
      <c r="W318" s="372"/>
      <c r="X318" s="372"/>
      <c r="Y318" s="372"/>
      <c r="Z318" s="372"/>
    </row>
    <row r="319">
      <c r="A319" s="372"/>
      <c r="B319" s="372"/>
      <c r="C319" s="372"/>
      <c r="D319" s="372"/>
      <c r="E319" s="372"/>
      <c r="F319" s="372"/>
      <c r="G319" s="372"/>
      <c r="H319" s="372"/>
      <c r="I319" s="372"/>
      <c r="J319" s="372"/>
      <c r="K319" s="372"/>
      <c r="L319" s="372"/>
      <c r="M319" s="372"/>
      <c r="N319" s="372"/>
      <c r="O319" s="372"/>
      <c r="P319" s="372"/>
      <c r="Q319" s="372"/>
      <c r="R319" s="372"/>
      <c r="S319" s="372"/>
      <c r="T319" s="372"/>
      <c r="U319" s="372"/>
      <c r="V319" s="372"/>
      <c r="W319" s="372"/>
      <c r="X319" s="372"/>
      <c r="Y319" s="372"/>
      <c r="Z319" s="372"/>
    </row>
    <row r="320">
      <c r="A320" s="372"/>
      <c r="B320" s="372"/>
      <c r="C320" s="372"/>
      <c r="D320" s="372"/>
      <c r="E320" s="372"/>
      <c r="F320" s="372"/>
      <c r="G320" s="372"/>
      <c r="H320" s="372"/>
      <c r="I320" s="372"/>
      <c r="J320" s="372"/>
      <c r="K320" s="372"/>
      <c r="L320" s="372"/>
      <c r="M320" s="372"/>
      <c r="N320" s="372"/>
      <c r="O320" s="372"/>
      <c r="P320" s="372"/>
      <c r="Q320" s="372"/>
      <c r="R320" s="372"/>
      <c r="S320" s="372"/>
      <c r="T320" s="372"/>
      <c r="U320" s="372"/>
      <c r="V320" s="372"/>
      <c r="W320" s="372"/>
      <c r="X320" s="372"/>
      <c r="Y320" s="372"/>
      <c r="Z320" s="372"/>
    </row>
    <row r="321">
      <c r="A321" s="372"/>
      <c r="B321" s="372"/>
      <c r="C321" s="372"/>
      <c r="D321" s="372"/>
      <c r="E321" s="372"/>
      <c r="F321" s="372"/>
      <c r="G321" s="372"/>
      <c r="H321" s="372"/>
      <c r="I321" s="372"/>
      <c r="J321" s="372"/>
      <c r="K321" s="372"/>
      <c r="L321" s="372"/>
      <c r="M321" s="372"/>
      <c r="N321" s="372"/>
      <c r="O321" s="372"/>
      <c r="P321" s="372"/>
      <c r="Q321" s="372"/>
      <c r="R321" s="372"/>
      <c r="S321" s="372"/>
      <c r="T321" s="372"/>
      <c r="U321" s="372"/>
      <c r="V321" s="372"/>
      <c r="W321" s="372"/>
      <c r="X321" s="372"/>
      <c r="Y321" s="372"/>
      <c r="Z321" s="372"/>
    </row>
    <row r="322">
      <c r="A322" s="372"/>
      <c r="B322" s="372"/>
      <c r="C322" s="372"/>
      <c r="D322" s="372"/>
      <c r="E322" s="372"/>
      <c r="F322" s="372"/>
      <c r="G322" s="372"/>
      <c r="H322" s="372"/>
      <c r="I322" s="372"/>
      <c r="J322" s="372"/>
      <c r="K322" s="372"/>
      <c r="L322" s="372"/>
      <c r="M322" s="372"/>
      <c r="N322" s="372"/>
      <c r="O322" s="372"/>
      <c r="P322" s="372"/>
      <c r="Q322" s="372"/>
      <c r="R322" s="372"/>
      <c r="S322" s="372"/>
      <c r="T322" s="372"/>
      <c r="U322" s="372"/>
      <c r="V322" s="372"/>
      <c r="W322" s="372"/>
      <c r="X322" s="372"/>
      <c r="Y322" s="372"/>
      <c r="Z322" s="372"/>
    </row>
    <row r="323">
      <c r="A323" s="372"/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  <c r="T323" s="372"/>
      <c r="U323" s="372"/>
      <c r="V323" s="372"/>
      <c r="W323" s="372"/>
      <c r="X323" s="372"/>
      <c r="Y323" s="372"/>
      <c r="Z323" s="372"/>
    </row>
    <row r="324">
      <c r="A324" s="372"/>
      <c r="B324" s="372"/>
      <c r="C324" s="372"/>
      <c r="D324" s="372"/>
      <c r="E324" s="372"/>
      <c r="F324" s="372"/>
      <c r="G324" s="372"/>
      <c r="H324" s="372"/>
      <c r="I324" s="372"/>
      <c r="J324" s="372"/>
      <c r="K324" s="372"/>
      <c r="L324" s="372"/>
      <c r="M324" s="372"/>
      <c r="N324" s="372"/>
      <c r="O324" s="372"/>
      <c r="P324" s="372"/>
      <c r="Q324" s="372"/>
      <c r="R324" s="372"/>
      <c r="S324" s="372"/>
      <c r="T324" s="372"/>
      <c r="U324" s="372"/>
      <c r="V324" s="372"/>
      <c r="W324" s="372"/>
      <c r="X324" s="372"/>
      <c r="Y324" s="372"/>
      <c r="Z324" s="372"/>
    </row>
    <row r="325">
      <c r="A325" s="372"/>
      <c r="B325" s="372"/>
      <c r="C325" s="372"/>
      <c r="D325" s="372"/>
      <c r="E325" s="372"/>
      <c r="F325" s="372"/>
      <c r="G325" s="372"/>
      <c r="H325" s="372"/>
      <c r="I325" s="372"/>
      <c r="J325" s="372"/>
      <c r="K325" s="372"/>
      <c r="L325" s="372"/>
      <c r="M325" s="372"/>
      <c r="N325" s="372"/>
      <c r="O325" s="372"/>
      <c r="P325" s="372"/>
      <c r="Q325" s="372"/>
      <c r="R325" s="372"/>
      <c r="S325" s="372"/>
      <c r="T325" s="372"/>
      <c r="U325" s="372"/>
      <c r="V325" s="372"/>
      <c r="W325" s="372"/>
      <c r="X325" s="372"/>
      <c r="Y325" s="372"/>
      <c r="Z325" s="372"/>
    </row>
    <row r="326">
      <c r="A326" s="372"/>
      <c r="B326" s="372"/>
      <c r="C326" s="372"/>
      <c r="D326" s="372"/>
      <c r="E326" s="372"/>
      <c r="F326" s="372"/>
      <c r="G326" s="372"/>
      <c r="H326" s="372"/>
      <c r="I326" s="372"/>
      <c r="J326" s="372"/>
      <c r="K326" s="372"/>
      <c r="L326" s="372"/>
      <c r="M326" s="372"/>
      <c r="N326" s="372"/>
      <c r="O326" s="372"/>
      <c r="P326" s="372"/>
      <c r="Q326" s="372"/>
      <c r="R326" s="372"/>
      <c r="S326" s="372"/>
      <c r="T326" s="372"/>
      <c r="U326" s="372"/>
      <c r="V326" s="372"/>
      <c r="W326" s="372"/>
      <c r="X326" s="372"/>
      <c r="Y326" s="372"/>
      <c r="Z326" s="372"/>
    </row>
    <row r="327">
      <c r="A327" s="372"/>
      <c r="B327" s="372"/>
      <c r="C327" s="372"/>
      <c r="D327" s="372"/>
      <c r="E327" s="372"/>
      <c r="F327" s="372"/>
      <c r="G327" s="372"/>
      <c r="H327" s="372"/>
      <c r="I327" s="372"/>
      <c r="J327" s="372"/>
      <c r="K327" s="372"/>
      <c r="L327" s="372"/>
      <c r="M327" s="372"/>
      <c r="N327" s="372"/>
      <c r="O327" s="372"/>
      <c r="P327" s="372"/>
      <c r="Q327" s="372"/>
      <c r="R327" s="372"/>
      <c r="S327" s="372"/>
      <c r="T327" s="372"/>
      <c r="U327" s="372"/>
      <c r="V327" s="372"/>
      <c r="W327" s="372"/>
      <c r="X327" s="372"/>
      <c r="Y327" s="372"/>
      <c r="Z327" s="372"/>
    </row>
    <row r="328">
      <c r="A328" s="372"/>
      <c r="B328" s="372"/>
      <c r="C328" s="372"/>
      <c r="D328" s="372"/>
      <c r="E328" s="372"/>
      <c r="F328" s="372"/>
      <c r="G328" s="372"/>
      <c r="H328" s="372"/>
      <c r="I328" s="372"/>
      <c r="J328" s="372"/>
      <c r="K328" s="372"/>
      <c r="L328" s="372"/>
      <c r="M328" s="372"/>
      <c r="N328" s="372"/>
      <c r="O328" s="372"/>
      <c r="P328" s="372"/>
      <c r="Q328" s="372"/>
      <c r="R328" s="372"/>
      <c r="S328" s="372"/>
      <c r="T328" s="372"/>
      <c r="U328" s="372"/>
      <c r="V328" s="372"/>
      <c r="W328" s="372"/>
      <c r="X328" s="372"/>
      <c r="Y328" s="372"/>
      <c r="Z328" s="372"/>
    </row>
    <row r="329">
      <c r="A329" s="372"/>
      <c r="B329" s="372"/>
      <c r="C329" s="372"/>
      <c r="D329" s="372"/>
      <c r="E329" s="372"/>
      <c r="F329" s="372"/>
      <c r="G329" s="372"/>
      <c r="H329" s="372"/>
      <c r="I329" s="372"/>
      <c r="J329" s="372"/>
      <c r="K329" s="372"/>
      <c r="L329" s="372"/>
      <c r="M329" s="372"/>
      <c r="N329" s="372"/>
      <c r="O329" s="372"/>
      <c r="P329" s="372"/>
      <c r="Q329" s="372"/>
      <c r="R329" s="372"/>
      <c r="S329" s="372"/>
      <c r="T329" s="372"/>
      <c r="U329" s="372"/>
      <c r="V329" s="372"/>
      <c r="W329" s="372"/>
      <c r="X329" s="372"/>
      <c r="Y329" s="372"/>
      <c r="Z329" s="372"/>
    </row>
    <row r="330">
      <c r="A330" s="372"/>
      <c r="B330" s="372"/>
      <c r="C330" s="372"/>
      <c r="D330" s="372"/>
      <c r="E330" s="372"/>
      <c r="F330" s="372"/>
      <c r="G330" s="372"/>
      <c r="H330" s="372"/>
      <c r="I330" s="372"/>
      <c r="J330" s="372"/>
      <c r="K330" s="372"/>
      <c r="L330" s="372"/>
      <c r="M330" s="372"/>
      <c r="N330" s="372"/>
      <c r="O330" s="372"/>
      <c r="P330" s="372"/>
      <c r="Q330" s="372"/>
      <c r="R330" s="372"/>
      <c r="S330" s="372"/>
      <c r="T330" s="372"/>
      <c r="U330" s="372"/>
      <c r="V330" s="372"/>
      <c r="W330" s="372"/>
      <c r="X330" s="372"/>
      <c r="Y330" s="372"/>
      <c r="Z330" s="372"/>
    </row>
    <row r="331">
      <c r="A331" s="372"/>
      <c r="B331" s="372"/>
      <c r="C331" s="372"/>
      <c r="D331" s="372"/>
      <c r="E331" s="372"/>
      <c r="F331" s="372"/>
      <c r="G331" s="372"/>
      <c r="H331" s="372"/>
      <c r="I331" s="372"/>
      <c r="J331" s="372"/>
      <c r="K331" s="372"/>
      <c r="L331" s="372"/>
      <c r="M331" s="372"/>
      <c r="N331" s="372"/>
      <c r="O331" s="372"/>
      <c r="P331" s="372"/>
      <c r="Q331" s="372"/>
      <c r="R331" s="372"/>
      <c r="S331" s="372"/>
      <c r="T331" s="372"/>
      <c r="U331" s="372"/>
      <c r="V331" s="372"/>
      <c r="W331" s="372"/>
      <c r="X331" s="372"/>
      <c r="Y331" s="372"/>
      <c r="Z331" s="372"/>
    </row>
    <row r="332">
      <c r="A332" s="372"/>
      <c r="B332" s="372"/>
      <c r="C332" s="372"/>
      <c r="D332" s="372"/>
      <c r="E332" s="372"/>
      <c r="F332" s="372"/>
      <c r="G332" s="372"/>
      <c r="H332" s="372"/>
      <c r="I332" s="372"/>
      <c r="J332" s="372"/>
      <c r="K332" s="372"/>
      <c r="L332" s="372"/>
      <c r="M332" s="372"/>
      <c r="N332" s="372"/>
      <c r="O332" s="372"/>
      <c r="P332" s="372"/>
      <c r="Q332" s="372"/>
      <c r="R332" s="372"/>
      <c r="S332" s="372"/>
      <c r="T332" s="372"/>
      <c r="U332" s="372"/>
      <c r="V332" s="372"/>
      <c r="W332" s="372"/>
      <c r="X332" s="372"/>
      <c r="Y332" s="372"/>
      <c r="Z332" s="372"/>
    </row>
    <row r="333">
      <c r="A333" s="372"/>
      <c r="B333" s="372"/>
      <c r="C333" s="372"/>
      <c r="D333" s="372"/>
      <c r="E333" s="372"/>
      <c r="F333" s="372"/>
      <c r="G333" s="372"/>
      <c r="H333" s="372"/>
      <c r="I333" s="372"/>
      <c r="J333" s="372"/>
      <c r="K333" s="372"/>
      <c r="L333" s="372"/>
      <c r="M333" s="372"/>
      <c r="N333" s="372"/>
      <c r="O333" s="372"/>
      <c r="P333" s="372"/>
      <c r="Q333" s="372"/>
      <c r="R333" s="372"/>
      <c r="S333" s="372"/>
      <c r="T333" s="372"/>
      <c r="U333" s="372"/>
      <c r="V333" s="372"/>
      <c r="W333" s="372"/>
      <c r="X333" s="372"/>
      <c r="Y333" s="372"/>
      <c r="Z333" s="372"/>
    </row>
    <row r="334">
      <c r="A334" s="372"/>
      <c r="B334" s="372"/>
      <c r="C334" s="372"/>
      <c r="D334" s="372"/>
      <c r="E334" s="372"/>
      <c r="F334" s="372"/>
      <c r="G334" s="372"/>
      <c r="H334" s="372"/>
      <c r="I334" s="372"/>
      <c r="J334" s="372"/>
      <c r="K334" s="372"/>
      <c r="L334" s="372"/>
      <c r="M334" s="372"/>
      <c r="N334" s="372"/>
      <c r="O334" s="372"/>
      <c r="P334" s="372"/>
      <c r="Q334" s="372"/>
      <c r="R334" s="372"/>
      <c r="S334" s="372"/>
      <c r="T334" s="372"/>
      <c r="U334" s="372"/>
      <c r="V334" s="372"/>
      <c r="W334" s="372"/>
      <c r="X334" s="372"/>
      <c r="Y334" s="372"/>
      <c r="Z334" s="372"/>
    </row>
    <row r="335">
      <c r="A335" s="372"/>
      <c r="B335" s="372"/>
      <c r="C335" s="372"/>
      <c r="D335" s="372"/>
      <c r="E335" s="372"/>
      <c r="F335" s="372"/>
      <c r="G335" s="372"/>
      <c r="H335" s="372"/>
      <c r="I335" s="372"/>
      <c r="J335" s="372"/>
      <c r="K335" s="372"/>
      <c r="L335" s="372"/>
      <c r="M335" s="372"/>
      <c r="N335" s="372"/>
      <c r="O335" s="372"/>
      <c r="P335" s="372"/>
      <c r="Q335" s="372"/>
      <c r="R335" s="372"/>
      <c r="S335" s="372"/>
      <c r="T335" s="372"/>
      <c r="U335" s="372"/>
      <c r="V335" s="372"/>
      <c r="W335" s="372"/>
      <c r="X335" s="372"/>
      <c r="Y335" s="372"/>
      <c r="Z335" s="372"/>
    </row>
    <row r="336">
      <c r="A336" s="372"/>
      <c r="B336" s="372"/>
      <c r="C336" s="372"/>
      <c r="D336" s="372"/>
      <c r="E336" s="372"/>
      <c r="F336" s="372"/>
      <c r="G336" s="372"/>
      <c r="H336" s="372"/>
      <c r="I336" s="372"/>
      <c r="J336" s="372"/>
      <c r="K336" s="372"/>
      <c r="L336" s="372"/>
      <c r="M336" s="372"/>
      <c r="N336" s="372"/>
      <c r="O336" s="372"/>
      <c r="P336" s="372"/>
      <c r="Q336" s="372"/>
      <c r="R336" s="372"/>
      <c r="S336" s="372"/>
      <c r="T336" s="372"/>
      <c r="U336" s="372"/>
      <c r="V336" s="372"/>
      <c r="W336" s="372"/>
      <c r="X336" s="372"/>
      <c r="Y336" s="372"/>
      <c r="Z336" s="372"/>
    </row>
    <row r="337">
      <c r="A337" s="372"/>
      <c r="B337" s="372"/>
      <c r="C337" s="372"/>
      <c r="D337" s="372"/>
      <c r="E337" s="372"/>
      <c r="F337" s="372"/>
      <c r="G337" s="372"/>
      <c r="H337" s="372"/>
      <c r="I337" s="372"/>
      <c r="J337" s="372"/>
      <c r="K337" s="372"/>
      <c r="L337" s="372"/>
      <c r="M337" s="372"/>
      <c r="N337" s="372"/>
      <c r="O337" s="372"/>
      <c r="P337" s="372"/>
      <c r="Q337" s="372"/>
      <c r="R337" s="372"/>
      <c r="S337" s="372"/>
      <c r="T337" s="372"/>
      <c r="U337" s="372"/>
      <c r="V337" s="372"/>
      <c r="W337" s="372"/>
      <c r="X337" s="372"/>
      <c r="Y337" s="372"/>
      <c r="Z337" s="372"/>
    </row>
    <row r="338">
      <c r="A338" s="372"/>
      <c r="B338" s="372"/>
      <c r="C338" s="372"/>
      <c r="D338" s="372"/>
      <c r="E338" s="372"/>
      <c r="F338" s="372"/>
      <c r="G338" s="372"/>
      <c r="H338" s="372"/>
      <c r="I338" s="372"/>
      <c r="J338" s="372"/>
      <c r="K338" s="372"/>
      <c r="L338" s="372"/>
      <c r="M338" s="372"/>
      <c r="N338" s="372"/>
      <c r="O338" s="372"/>
      <c r="P338" s="372"/>
      <c r="Q338" s="372"/>
      <c r="R338" s="372"/>
      <c r="S338" s="372"/>
      <c r="T338" s="372"/>
      <c r="U338" s="372"/>
      <c r="V338" s="372"/>
      <c r="W338" s="372"/>
      <c r="X338" s="372"/>
      <c r="Y338" s="372"/>
      <c r="Z338" s="372"/>
    </row>
    <row r="339">
      <c r="A339" s="372"/>
      <c r="B339" s="372"/>
      <c r="C339" s="372"/>
      <c r="D339" s="372"/>
      <c r="E339" s="372"/>
      <c r="F339" s="372"/>
      <c r="G339" s="372"/>
      <c r="H339" s="372"/>
      <c r="I339" s="372"/>
      <c r="J339" s="372"/>
      <c r="K339" s="372"/>
      <c r="L339" s="372"/>
      <c r="M339" s="372"/>
      <c r="N339" s="372"/>
      <c r="O339" s="372"/>
      <c r="P339" s="372"/>
      <c r="Q339" s="372"/>
      <c r="R339" s="372"/>
      <c r="S339" s="372"/>
      <c r="T339" s="372"/>
      <c r="U339" s="372"/>
      <c r="V339" s="372"/>
      <c r="W339" s="372"/>
      <c r="X339" s="372"/>
      <c r="Y339" s="372"/>
      <c r="Z339" s="372"/>
    </row>
    <row r="340">
      <c r="A340" s="372"/>
      <c r="B340" s="372"/>
      <c r="C340" s="372"/>
      <c r="D340" s="372"/>
      <c r="E340" s="372"/>
      <c r="F340" s="372"/>
      <c r="G340" s="372"/>
      <c r="H340" s="372"/>
      <c r="I340" s="372"/>
      <c r="J340" s="372"/>
      <c r="K340" s="372"/>
      <c r="L340" s="372"/>
      <c r="M340" s="372"/>
      <c r="N340" s="372"/>
      <c r="O340" s="372"/>
      <c r="P340" s="372"/>
      <c r="Q340" s="372"/>
      <c r="R340" s="372"/>
      <c r="S340" s="372"/>
      <c r="T340" s="372"/>
      <c r="U340" s="372"/>
      <c r="V340" s="372"/>
      <c r="W340" s="372"/>
      <c r="X340" s="372"/>
      <c r="Y340" s="372"/>
      <c r="Z340" s="372"/>
    </row>
    <row r="341">
      <c r="A341" s="372"/>
      <c r="B341" s="372"/>
      <c r="C341" s="372"/>
      <c r="D341" s="372"/>
      <c r="E341" s="372"/>
      <c r="F341" s="372"/>
      <c r="G341" s="372"/>
      <c r="H341" s="372"/>
      <c r="I341" s="372"/>
      <c r="J341" s="372"/>
      <c r="K341" s="372"/>
      <c r="L341" s="372"/>
      <c r="M341" s="372"/>
      <c r="N341" s="372"/>
      <c r="O341" s="372"/>
      <c r="P341" s="372"/>
      <c r="Q341" s="372"/>
      <c r="R341" s="372"/>
      <c r="S341" s="372"/>
      <c r="T341" s="372"/>
      <c r="U341" s="372"/>
      <c r="V341" s="372"/>
      <c r="W341" s="372"/>
      <c r="X341" s="372"/>
      <c r="Y341" s="372"/>
      <c r="Z341" s="372"/>
    </row>
    <row r="342">
      <c r="A342" s="372"/>
      <c r="B342" s="372"/>
      <c r="C342" s="372"/>
      <c r="D342" s="372"/>
      <c r="E342" s="372"/>
      <c r="F342" s="372"/>
      <c r="G342" s="372"/>
      <c r="H342" s="372"/>
      <c r="I342" s="372"/>
      <c r="J342" s="372"/>
      <c r="K342" s="372"/>
      <c r="L342" s="372"/>
      <c r="M342" s="372"/>
      <c r="N342" s="372"/>
      <c r="O342" s="372"/>
      <c r="P342" s="372"/>
      <c r="Q342" s="372"/>
      <c r="R342" s="372"/>
      <c r="S342" s="372"/>
      <c r="T342" s="372"/>
      <c r="U342" s="372"/>
      <c r="V342" s="372"/>
      <c r="W342" s="372"/>
      <c r="X342" s="372"/>
      <c r="Y342" s="372"/>
      <c r="Z342" s="372"/>
    </row>
    <row r="343">
      <c r="A343" s="372"/>
      <c r="B343" s="372"/>
      <c r="C343" s="372"/>
      <c r="D343" s="372"/>
      <c r="E343" s="372"/>
      <c r="F343" s="372"/>
      <c r="G343" s="372"/>
      <c r="H343" s="372"/>
      <c r="I343" s="372"/>
      <c r="J343" s="372"/>
      <c r="K343" s="372"/>
      <c r="L343" s="372"/>
      <c r="M343" s="372"/>
      <c r="N343" s="372"/>
      <c r="O343" s="372"/>
      <c r="P343" s="372"/>
      <c r="Q343" s="372"/>
      <c r="R343" s="372"/>
      <c r="S343" s="372"/>
      <c r="T343" s="372"/>
      <c r="U343" s="372"/>
      <c r="V343" s="372"/>
      <c r="W343" s="372"/>
      <c r="X343" s="372"/>
      <c r="Y343" s="372"/>
      <c r="Z343" s="372"/>
    </row>
    <row r="344">
      <c r="A344" s="372"/>
      <c r="B344" s="372"/>
      <c r="C344" s="372"/>
      <c r="D344" s="372"/>
      <c r="E344" s="372"/>
      <c r="F344" s="372"/>
      <c r="G344" s="372"/>
      <c r="H344" s="372"/>
      <c r="I344" s="372"/>
      <c r="J344" s="372"/>
      <c r="K344" s="372"/>
      <c r="L344" s="372"/>
      <c r="M344" s="372"/>
      <c r="N344" s="372"/>
      <c r="O344" s="372"/>
      <c r="P344" s="372"/>
      <c r="Q344" s="372"/>
      <c r="R344" s="372"/>
      <c r="S344" s="372"/>
      <c r="T344" s="372"/>
      <c r="U344" s="372"/>
      <c r="V344" s="372"/>
      <c r="W344" s="372"/>
      <c r="X344" s="372"/>
      <c r="Y344" s="372"/>
      <c r="Z344" s="372"/>
    </row>
    <row r="345">
      <c r="A345" s="372"/>
      <c r="B345" s="372"/>
      <c r="C345" s="372"/>
      <c r="D345" s="372"/>
      <c r="E345" s="372"/>
      <c r="F345" s="372"/>
      <c r="G345" s="372"/>
      <c r="H345" s="372"/>
      <c r="I345" s="372"/>
      <c r="J345" s="372"/>
      <c r="K345" s="372"/>
      <c r="L345" s="372"/>
      <c r="M345" s="372"/>
      <c r="N345" s="372"/>
      <c r="O345" s="372"/>
      <c r="P345" s="372"/>
      <c r="Q345" s="372"/>
      <c r="R345" s="372"/>
      <c r="S345" s="372"/>
      <c r="T345" s="372"/>
      <c r="U345" s="372"/>
      <c r="V345" s="372"/>
      <c r="W345" s="372"/>
      <c r="X345" s="372"/>
      <c r="Y345" s="372"/>
      <c r="Z345" s="372"/>
    </row>
    <row r="346">
      <c r="A346" s="372"/>
      <c r="B346" s="372"/>
      <c r="C346" s="372"/>
      <c r="D346" s="372"/>
      <c r="E346" s="372"/>
      <c r="F346" s="372"/>
      <c r="G346" s="372"/>
      <c r="H346" s="372"/>
      <c r="I346" s="372"/>
      <c r="J346" s="372"/>
      <c r="K346" s="372"/>
      <c r="L346" s="372"/>
      <c r="M346" s="372"/>
      <c r="N346" s="372"/>
      <c r="O346" s="372"/>
      <c r="P346" s="372"/>
      <c r="Q346" s="372"/>
      <c r="R346" s="372"/>
      <c r="S346" s="372"/>
      <c r="T346" s="372"/>
      <c r="U346" s="372"/>
      <c r="V346" s="372"/>
      <c r="W346" s="372"/>
      <c r="X346" s="372"/>
      <c r="Y346" s="372"/>
      <c r="Z346" s="372"/>
    </row>
    <row r="347">
      <c r="A347" s="372"/>
      <c r="B347" s="372"/>
      <c r="C347" s="372"/>
      <c r="D347" s="372"/>
      <c r="E347" s="372"/>
      <c r="F347" s="372"/>
      <c r="G347" s="372"/>
      <c r="H347" s="372"/>
      <c r="I347" s="372"/>
      <c r="J347" s="372"/>
      <c r="K347" s="372"/>
      <c r="L347" s="372"/>
      <c r="M347" s="372"/>
      <c r="N347" s="372"/>
      <c r="O347" s="372"/>
      <c r="P347" s="372"/>
      <c r="Q347" s="372"/>
      <c r="R347" s="372"/>
      <c r="S347" s="372"/>
      <c r="T347" s="372"/>
      <c r="U347" s="372"/>
      <c r="V347" s="372"/>
      <c r="W347" s="372"/>
      <c r="X347" s="372"/>
      <c r="Y347" s="372"/>
      <c r="Z347" s="372"/>
    </row>
    <row r="348">
      <c r="A348" s="372"/>
      <c r="B348" s="372"/>
      <c r="C348" s="372"/>
      <c r="D348" s="372"/>
      <c r="E348" s="372"/>
      <c r="F348" s="372"/>
      <c r="G348" s="372"/>
      <c r="H348" s="372"/>
      <c r="I348" s="372"/>
      <c r="J348" s="372"/>
      <c r="K348" s="372"/>
      <c r="L348" s="372"/>
      <c r="M348" s="372"/>
      <c r="N348" s="372"/>
      <c r="O348" s="372"/>
      <c r="P348" s="372"/>
      <c r="Q348" s="372"/>
      <c r="R348" s="372"/>
      <c r="S348" s="372"/>
      <c r="T348" s="372"/>
      <c r="U348" s="372"/>
      <c r="V348" s="372"/>
      <c r="W348" s="372"/>
      <c r="X348" s="372"/>
      <c r="Y348" s="372"/>
      <c r="Z348" s="372"/>
    </row>
    <row r="349">
      <c r="A349" s="372"/>
      <c r="B349" s="372"/>
      <c r="C349" s="372"/>
      <c r="D349" s="372"/>
      <c r="E349" s="372"/>
      <c r="F349" s="372"/>
      <c r="G349" s="372"/>
      <c r="H349" s="372"/>
      <c r="I349" s="372"/>
      <c r="J349" s="372"/>
      <c r="K349" s="372"/>
      <c r="L349" s="372"/>
      <c r="M349" s="372"/>
      <c r="N349" s="372"/>
      <c r="O349" s="372"/>
      <c r="P349" s="372"/>
      <c r="Q349" s="372"/>
      <c r="R349" s="372"/>
      <c r="S349" s="372"/>
      <c r="T349" s="372"/>
      <c r="U349" s="372"/>
      <c r="V349" s="372"/>
      <c r="W349" s="372"/>
      <c r="X349" s="372"/>
      <c r="Y349" s="372"/>
      <c r="Z349" s="372"/>
    </row>
    <row r="350">
      <c r="A350" s="372"/>
      <c r="B350" s="372"/>
      <c r="C350" s="372"/>
      <c r="D350" s="372"/>
      <c r="E350" s="372"/>
      <c r="F350" s="372"/>
      <c r="G350" s="372"/>
      <c r="H350" s="372"/>
      <c r="I350" s="372"/>
      <c r="J350" s="372"/>
      <c r="K350" s="372"/>
      <c r="L350" s="372"/>
      <c r="M350" s="372"/>
      <c r="N350" s="372"/>
      <c r="O350" s="372"/>
      <c r="P350" s="372"/>
      <c r="Q350" s="372"/>
      <c r="R350" s="372"/>
      <c r="S350" s="372"/>
      <c r="T350" s="372"/>
      <c r="U350" s="372"/>
      <c r="V350" s="372"/>
      <c r="W350" s="372"/>
      <c r="X350" s="372"/>
      <c r="Y350" s="372"/>
      <c r="Z350" s="372"/>
    </row>
    <row r="351">
      <c r="A351" s="372"/>
      <c r="B351" s="372"/>
      <c r="C351" s="372"/>
      <c r="D351" s="372"/>
      <c r="E351" s="372"/>
      <c r="F351" s="372"/>
      <c r="G351" s="372"/>
      <c r="H351" s="372"/>
      <c r="I351" s="372"/>
      <c r="J351" s="372"/>
      <c r="K351" s="372"/>
      <c r="L351" s="372"/>
      <c r="M351" s="372"/>
      <c r="N351" s="372"/>
      <c r="O351" s="372"/>
      <c r="P351" s="372"/>
      <c r="Q351" s="372"/>
      <c r="R351" s="372"/>
      <c r="S351" s="372"/>
      <c r="T351" s="372"/>
      <c r="U351" s="372"/>
      <c r="V351" s="372"/>
      <c r="W351" s="372"/>
      <c r="X351" s="372"/>
      <c r="Y351" s="372"/>
      <c r="Z351" s="372"/>
    </row>
    <row r="352">
      <c r="A352" s="372"/>
      <c r="B352" s="372"/>
      <c r="C352" s="372"/>
      <c r="D352" s="372"/>
      <c r="E352" s="372"/>
      <c r="F352" s="372"/>
      <c r="G352" s="372"/>
      <c r="H352" s="372"/>
      <c r="I352" s="372"/>
      <c r="J352" s="372"/>
      <c r="K352" s="372"/>
      <c r="L352" s="372"/>
      <c r="M352" s="372"/>
      <c r="N352" s="372"/>
      <c r="O352" s="372"/>
      <c r="P352" s="372"/>
      <c r="Q352" s="372"/>
      <c r="R352" s="372"/>
      <c r="S352" s="372"/>
      <c r="T352" s="372"/>
      <c r="U352" s="372"/>
      <c r="V352" s="372"/>
      <c r="W352" s="372"/>
      <c r="X352" s="372"/>
      <c r="Y352" s="372"/>
      <c r="Z352" s="372"/>
    </row>
    <row r="353">
      <c r="A353" s="372"/>
      <c r="B353" s="372"/>
      <c r="C353" s="372"/>
      <c r="D353" s="372"/>
      <c r="E353" s="372"/>
      <c r="F353" s="372"/>
      <c r="G353" s="372"/>
      <c r="H353" s="372"/>
      <c r="I353" s="372"/>
      <c r="J353" s="372"/>
      <c r="K353" s="372"/>
      <c r="L353" s="372"/>
      <c r="M353" s="372"/>
      <c r="N353" s="372"/>
      <c r="O353" s="372"/>
      <c r="P353" s="372"/>
      <c r="Q353" s="372"/>
      <c r="R353" s="372"/>
      <c r="S353" s="372"/>
      <c r="T353" s="372"/>
      <c r="U353" s="372"/>
      <c r="V353" s="372"/>
      <c r="W353" s="372"/>
      <c r="X353" s="372"/>
      <c r="Y353" s="372"/>
      <c r="Z353" s="372"/>
    </row>
    <row r="354">
      <c r="A354" s="372"/>
      <c r="B354" s="372"/>
      <c r="C354" s="372"/>
      <c r="D354" s="372"/>
      <c r="E354" s="372"/>
      <c r="F354" s="372"/>
      <c r="G354" s="372"/>
      <c r="H354" s="372"/>
      <c r="I354" s="372"/>
      <c r="J354" s="372"/>
      <c r="K354" s="372"/>
      <c r="L354" s="372"/>
      <c r="M354" s="372"/>
      <c r="N354" s="372"/>
      <c r="O354" s="372"/>
      <c r="P354" s="372"/>
      <c r="Q354" s="372"/>
      <c r="R354" s="372"/>
      <c r="S354" s="372"/>
      <c r="T354" s="372"/>
      <c r="U354" s="372"/>
      <c r="V354" s="372"/>
      <c r="W354" s="372"/>
      <c r="X354" s="372"/>
      <c r="Y354" s="372"/>
      <c r="Z354" s="372"/>
    </row>
    <row r="355">
      <c r="A355" s="372"/>
      <c r="B355" s="372"/>
      <c r="C355" s="372"/>
      <c r="D355" s="372"/>
      <c r="E355" s="372"/>
      <c r="F355" s="372"/>
      <c r="G355" s="372"/>
      <c r="H355" s="372"/>
      <c r="I355" s="372"/>
      <c r="J355" s="372"/>
      <c r="K355" s="372"/>
      <c r="L355" s="372"/>
      <c r="M355" s="372"/>
      <c r="N355" s="372"/>
      <c r="O355" s="372"/>
      <c r="P355" s="372"/>
      <c r="Q355" s="372"/>
      <c r="R355" s="372"/>
      <c r="S355" s="372"/>
      <c r="T355" s="372"/>
      <c r="U355" s="372"/>
      <c r="V355" s="372"/>
      <c r="W355" s="372"/>
      <c r="X355" s="372"/>
      <c r="Y355" s="372"/>
      <c r="Z355" s="372"/>
    </row>
    <row r="356">
      <c r="A356" s="372"/>
      <c r="B356" s="372"/>
      <c r="C356" s="372"/>
      <c r="D356" s="372"/>
      <c r="E356" s="372"/>
      <c r="F356" s="372"/>
      <c r="G356" s="372"/>
      <c r="H356" s="372"/>
      <c r="I356" s="372"/>
      <c r="J356" s="372"/>
      <c r="K356" s="372"/>
      <c r="L356" s="372"/>
      <c r="M356" s="372"/>
      <c r="N356" s="372"/>
      <c r="O356" s="372"/>
      <c r="P356" s="372"/>
      <c r="Q356" s="372"/>
      <c r="R356" s="372"/>
      <c r="S356" s="372"/>
      <c r="T356" s="372"/>
      <c r="U356" s="372"/>
      <c r="V356" s="372"/>
      <c r="W356" s="372"/>
      <c r="X356" s="372"/>
      <c r="Y356" s="372"/>
      <c r="Z356" s="372"/>
    </row>
    <row r="357">
      <c r="A357" s="372"/>
      <c r="B357" s="372"/>
      <c r="C357" s="372"/>
      <c r="D357" s="372"/>
      <c r="E357" s="372"/>
      <c r="F357" s="372"/>
      <c r="G357" s="372"/>
      <c r="H357" s="372"/>
      <c r="I357" s="372"/>
      <c r="J357" s="372"/>
      <c r="K357" s="372"/>
      <c r="L357" s="372"/>
      <c r="M357" s="372"/>
      <c r="N357" s="372"/>
      <c r="O357" s="372"/>
      <c r="P357" s="372"/>
      <c r="Q357" s="372"/>
      <c r="R357" s="372"/>
      <c r="S357" s="372"/>
      <c r="T357" s="372"/>
      <c r="U357" s="372"/>
      <c r="V357" s="372"/>
      <c r="W357" s="372"/>
      <c r="X357" s="372"/>
      <c r="Y357" s="372"/>
      <c r="Z357" s="372"/>
    </row>
    <row r="358">
      <c r="A358" s="372"/>
      <c r="B358" s="372"/>
      <c r="C358" s="372"/>
      <c r="D358" s="372"/>
      <c r="E358" s="372"/>
      <c r="F358" s="372"/>
      <c r="G358" s="372"/>
      <c r="H358" s="372"/>
      <c r="I358" s="372"/>
      <c r="J358" s="372"/>
      <c r="K358" s="372"/>
      <c r="L358" s="372"/>
      <c r="M358" s="372"/>
      <c r="N358" s="372"/>
      <c r="O358" s="372"/>
      <c r="P358" s="372"/>
      <c r="Q358" s="372"/>
      <c r="R358" s="372"/>
      <c r="S358" s="372"/>
      <c r="T358" s="372"/>
      <c r="U358" s="372"/>
      <c r="V358" s="372"/>
      <c r="W358" s="372"/>
      <c r="X358" s="372"/>
      <c r="Y358" s="372"/>
      <c r="Z358" s="372"/>
    </row>
    <row r="359">
      <c r="A359" s="372"/>
      <c r="B359" s="372"/>
      <c r="C359" s="372"/>
      <c r="D359" s="372"/>
      <c r="E359" s="372"/>
      <c r="F359" s="372"/>
      <c r="G359" s="372"/>
      <c r="H359" s="372"/>
      <c r="I359" s="372"/>
      <c r="J359" s="372"/>
      <c r="K359" s="372"/>
      <c r="L359" s="372"/>
      <c r="M359" s="372"/>
      <c r="N359" s="372"/>
      <c r="O359" s="372"/>
      <c r="P359" s="372"/>
      <c r="Q359" s="372"/>
      <c r="R359" s="372"/>
      <c r="S359" s="372"/>
      <c r="T359" s="372"/>
      <c r="U359" s="372"/>
      <c r="V359" s="372"/>
      <c r="W359" s="372"/>
      <c r="X359" s="372"/>
      <c r="Y359" s="372"/>
      <c r="Z359" s="372"/>
    </row>
    <row r="360">
      <c r="A360" s="372"/>
      <c r="B360" s="372"/>
      <c r="C360" s="372"/>
      <c r="D360" s="372"/>
      <c r="E360" s="372"/>
      <c r="F360" s="372"/>
      <c r="G360" s="372"/>
      <c r="H360" s="372"/>
      <c r="I360" s="372"/>
      <c r="J360" s="372"/>
      <c r="K360" s="372"/>
      <c r="L360" s="372"/>
      <c r="M360" s="372"/>
      <c r="N360" s="372"/>
      <c r="O360" s="372"/>
      <c r="P360" s="372"/>
      <c r="Q360" s="372"/>
      <c r="R360" s="372"/>
      <c r="S360" s="372"/>
      <c r="T360" s="372"/>
      <c r="U360" s="372"/>
      <c r="V360" s="372"/>
      <c r="W360" s="372"/>
      <c r="X360" s="372"/>
      <c r="Y360" s="372"/>
      <c r="Z360" s="372"/>
    </row>
    <row r="361">
      <c r="A361" s="372"/>
      <c r="B361" s="372"/>
      <c r="C361" s="372"/>
      <c r="D361" s="372"/>
      <c r="E361" s="372"/>
      <c r="F361" s="372"/>
      <c r="G361" s="372"/>
      <c r="H361" s="372"/>
      <c r="I361" s="372"/>
      <c r="J361" s="372"/>
      <c r="K361" s="372"/>
      <c r="L361" s="372"/>
      <c r="M361" s="372"/>
      <c r="N361" s="372"/>
      <c r="O361" s="372"/>
      <c r="P361" s="372"/>
      <c r="Q361" s="372"/>
      <c r="R361" s="372"/>
      <c r="S361" s="372"/>
      <c r="T361" s="372"/>
      <c r="U361" s="372"/>
      <c r="V361" s="372"/>
      <c r="W361" s="372"/>
      <c r="X361" s="372"/>
      <c r="Y361" s="372"/>
      <c r="Z361" s="372"/>
    </row>
    <row r="362">
      <c r="A362" s="372"/>
      <c r="B362" s="372"/>
      <c r="C362" s="372"/>
      <c r="D362" s="372"/>
      <c r="E362" s="372"/>
      <c r="F362" s="372"/>
      <c r="G362" s="372"/>
      <c r="H362" s="372"/>
      <c r="I362" s="372"/>
      <c r="J362" s="372"/>
      <c r="K362" s="372"/>
      <c r="L362" s="372"/>
      <c r="M362" s="372"/>
      <c r="N362" s="372"/>
      <c r="O362" s="372"/>
      <c r="P362" s="372"/>
      <c r="Q362" s="372"/>
      <c r="R362" s="372"/>
      <c r="S362" s="372"/>
      <c r="T362" s="372"/>
      <c r="U362" s="372"/>
      <c r="V362" s="372"/>
      <c r="W362" s="372"/>
      <c r="X362" s="372"/>
      <c r="Y362" s="372"/>
      <c r="Z362" s="372"/>
    </row>
    <row r="363">
      <c r="A363" s="372"/>
      <c r="B363" s="372"/>
      <c r="C363" s="372"/>
      <c r="D363" s="372"/>
      <c r="E363" s="372"/>
      <c r="F363" s="372"/>
      <c r="G363" s="372"/>
      <c r="H363" s="372"/>
      <c r="I363" s="372"/>
      <c r="J363" s="372"/>
      <c r="K363" s="372"/>
      <c r="L363" s="372"/>
      <c r="M363" s="372"/>
      <c r="N363" s="372"/>
      <c r="O363" s="372"/>
      <c r="P363" s="372"/>
      <c r="Q363" s="372"/>
      <c r="R363" s="372"/>
      <c r="S363" s="372"/>
      <c r="T363" s="372"/>
      <c r="U363" s="372"/>
      <c r="V363" s="372"/>
      <c r="W363" s="372"/>
      <c r="X363" s="372"/>
      <c r="Y363" s="372"/>
      <c r="Z363" s="372"/>
    </row>
    <row r="364">
      <c r="A364" s="372"/>
      <c r="B364" s="372"/>
      <c r="C364" s="372"/>
      <c r="D364" s="372"/>
      <c r="E364" s="372"/>
      <c r="F364" s="372"/>
      <c r="G364" s="372"/>
      <c r="H364" s="372"/>
      <c r="I364" s="372"/>
      <c r="J364" s="372"/>
      <c r="K364" s="372"/>
      <c r="L364" s="372"/>
      <c r="M364" s="372"/>
      <c r="N364" s="372"/>
      <c r="O364" s="372"/>
      <c r="P364" s="372"/>
      <c r="Q364" s="372"/>
      <c r="R364" s="372"/>
      <c r="S364" s="372"/>
      <c r="T364" s="372"/>
      <c r="U364" s="372"/>
      <c r="V364" s="372"/>
      <c r="W364" s="372"/>
      <c r="X364" s="372"/>
      <c r="Y364" s="372"/>
      <c r="Z364" s="372"/>
    </row>
    <row r="365">
      <c r="A365" s="372"/>
      <c r="B365" s="372"/>
      <c r="C365" s="372"/>
      <c r="D365" s="372"/>
      <c r="E365" s="372"/>
      <c r="F365" s="372"/>
      <c r="G365" s="372"/>
      <c r="H365" s="372"/>
      <c r="I365" s="372"/>
      <c r="J365" s="372"/>
      <c r="K365" s="372"/>
      <c r="L365" s="372"/>
      <c r="M365" s="372"/>
      <c r="N365" s="372"/>
      <c r="O365" s="372"/>
      <c r="P365" s="372"/>
      <c r="Q365" s="372"/>
      <c r="R365" s="372"/>
      <c r="S365" s="372"/>
      <c r="T365" s="372"/>
      <c r="U365" s="372"/>
      <c r="V365" s="372"/>
      <c r="W365" s="372"/>
      <c r="X365" s="372"/>
      <c r="Y365" s="372"/>
      <c r="Z365" s="372"/>
    </row>
    <row r="366">
      <c r="A366" s="372"/>
      <c r="B366" s="372"/>
      <c r="C366" s="372"/>
      <c r="D366" s="372"/>
      <c r="E366" s="372"/>
      <c r="F366" s="372"/>
      <c r="G366" s="372"/>
      <c r="H366" s="372"/>
      <c r="I366" s="372"/>
      <c r="J366" s="372"/>
      <c r="K366" s="372"/>
      <c r="L366" s="372"/>
      <c r="M366" s="372"/>
      <c r="N366" s="372"/>
      <c r="O366" s="372"/>
      <c r="P366" s="372"/>
      <c r="Q366" s="372"/>
      <c r="R366" s="372"/>
      <c r="S366" s="372"/>
      <c r="T366" s="372"/>
      <c r="U366" s="372"/>
      <c r="V366" s="372"/>
      <c r="W366" s="372"/>
      <c r="X366" s="372"/>
      <c r="Y366" s="372"/>
      <c r="Z366" s="372"/>
    </row>
    <row r="367">
      <c r="A367" s="372"/>
      <c r="B367" s="372"/>
      <c r="C367" s="372"/>
      <c r="D367" s="372"/>
      <c r="E367" s="372"/>
      <c r="F367" s="372"/>
      <c r="G367" s="372"/>
      <c r="H367" s="372"/>
      <c r="I367" s="372"/>
      <c r="J367" s="372"/>
      <c r="K367" s="372"/>
      <c r="L367" s="372"/>
      <c r="M367" s="372"/>
      <c r="N367" s="372"/>
      <c r="O367" s="372"/>
      <c r="P367" s="372"/>
      <c r="Q367" s="372"/>
      <c r="R367" s="372"/>
      <c r="S367" s="372"/>
      <c r="T367" s="372"/>
      <c r="U367" s="372"/>
      <c r="V367" s="372"/>
      <c r="W367" s="372"/>
      <c r="X367" s="372"/>
      <c r="Y367" s="372"/>
      <c r="Z367" s="372"/>
    </row>
    <row r="368">
      <c r="A368" s="372"/>
      <c r="B368" s="372"/>
      <c r="C368" s="372"/>
      <c r="D368" s="372"/>
      <c r="E368" s="372"/>
      <c r="F368" s="372"/>
      <c r="G368" s="372"/>
      <c r="H368" s="372"/>
      <c r="I368" s="372"/>
      <c r="J368" s="372"/>
      <c r="K368" s="372"/>
      <c r="L368" s="372"/>
      <c r="M368" s="372"/>
      <c r="N368" s="372"/>
      <c r="O368" s="372"/>
      <c r="P368" s="372"/>
      <c r="Q368" s="372"/>
      <c r="R368" s="372"/>
      <c r="S368" s="372"/>
      <c r="T368" s="372"/>
      <c r="U368" s="372"/>
      <c r="V368" s="372"/>
      <c r="W368" s="372"/>
      <c r="X368" s="372"/>
      <c r="Y368" s="372"/>
      <c r="Z368" s="372"/>
    </row>
    <row r="369">
      <c r="A369" s="372"/>
      <c r="B369" s="372"/>
      <c r="C369" s="372"/>
      <c r="D369" s="372"/>
      <c r="E369" s="372"/>
      <c r="F369" s="372"/>
      <c r="G369" s="372"/>
      <c r="H369" s="372"/>
      <c r="I369" s="372"/>
      <c r="J369" s="372"/>
      <c r="K369" s="372"/>
      <c r="L369" s="372"/>
      <c r="M369" s="372"/>
      <c r="N369" s="372"/>
      <c r="O369" s="372"/>
      <c r="P369" s="372"/>
      <c r="Q369" s="372"/>
      <c r="R369" s="372"/>
      <c r="S369" s="372"/>
      <c r="T369" s="372"/>
      <c r="U369" s="372"/>
      <c r="V369" s="372"/>
      <c r="W369" s="372"/>
      <c r="X369" s="372"/>
      <c r="Y369" s="372"/>
      <c r="Z369" s="372"/>
    </row>
    <row r="370">
      <c r="A370" s="372"/>
      <c r="B370" s="372"/>
      <c r="C370" s="372"/>
      <c r="D370" s="372"/>
      <c r="E370" s="372"/>
      <c r="F370" s="372"/>
      <c r="G370" s="372"/>
      <c r="H370" s="372"/>
      <c r="I370" s="372"/>
      <c r="J370" s="372"/>
      <c r="K370" s="372"/>
      <c r="L370" s="372"/>
      <c r="M370" s="372"/>
      <c r="N370" s="372"/>
      <c r="O370" s="372"/>
      <c r="P370" s="372"/>
      <c r="Q370" s="372"/>
      <c r="R370" s="372"/>
      <c r="S370" s="372"/>
      <c r="T370" s="372"/>
      <c r="U370" s="372"/>
      <c r="V370" s="372"/>
      <c r="W370" s="372"/>
      <c r="X370" s="372"/>
      <c r="Y370" s="372"/>
      <c r="Z370" s="372"/>
    </row>
    <row r="371">
      <c r="A371" s="372"/>
      <c r="B371" s="372"/>
      <c r="C371" s="372"/>
      <c r="D371" s="372"/>
      <c r="E371" s="372"/>
      <c r="F371" s="372"/>
      <c r="G371" s="372"/>
      <c r="H371" s="372"/>
      <c r="I371" s="372"/>
      <c r="J371" s="372"/>
      <c r="K371" s="372"/>
      <c r="L371" s="372"/>
      <c r="M371" s="372"/>
      <c r="N371" s="372"/>
      <c r="O371" s="372"/>
      <c r="P371" s="372"/>
      <c r="Q371" s="372"/>
      <c r="R371" s="372"/>
      <c r="S371" s="372"/>
      <c r="T371" s="372"/>
      <c r="U371" s="372"/>
      <c r="V371" s="372"/>
      <c r="W371" s="372"/>
      <c r="X371" s="372"/>
      <c r="Y371" s="372"/>
      <c r="Z371" s="372"/>
    </row>
    <row r="372">
      <c r="A372" s="372"/>
      <c r="B372" s="372"/>
      <c r="C372" s="372"/>
      <c r="D372" s="372"/>
      <c r="E372" s="372"/>
      <c r="F372" s="372"/>
      <c r="G372" s="372"/>
      <c r="H372" s="372"/>
      <c r="I372" s="372"/>
      <c r="J372" s="372"/>
      <c r="K372" s="372"/>
      <c r="L372" s="372"/>
      <c r="M372" s="372"/>
      <c r="N372" s="372"/>
      <c r="O372" s="372"/>
      <c r="P372" s="372"/>
      <c r="Q372" s="372"/>
      <c r="R372" s="372"/>
      <c r="S372" s="372"/>
      <c r="T372" s="372"/>
      <c r="U372" s="372"/>
      <c r="V372" s="372"/>
      <c r="W372" s="372"/>
      <c r="X372" s="372"/>
      <c r="Y372" s="372"/>
      <c r="Z372" s="372"/>
    </row>
    <row r="373">
      <c r="A373" s="372"/>
      <c r="B373" s="372"/>
      <c r="C373" s="372"/>
      <c r="D373" s="372"/>
      <c r="E373" s="372"/>
      <c r="F373" s="372"/>
      <c r="G373" s="372"/>
      <c r="H373" s="372"/>
      <c r="I373" s="372"/>
      <c r="J373" s="372"/>
      <c r="K373" s="372"/>
      <c r="L373" s="372"/>
      <c r="M373" s="372"/>
      <c r="N373" s="372"/>
      <c r="O373" s="372"/>
      <c r="P373" s="372"/>
      <c r="Q373" s="372"/>
      <c r="R373" s="372"/>
      <c r="S373" s="372"/>
      <c r="T373" s="372"/>
      <c r="U373" s="372"/>
      <c r="V373" s="372"/>
      <c r="W373" s="372"/>
      <c r="X373" s="372"/>
      <c r="Y373" s="372"/>
      <c r="Z373" s="372"/>
    </row>
    <row r="374">
      <c r="A374" s="372"/>
      <c r="B374" s="372"/>
      <c r="C374" s="372"/>
      <c r="D374" s="372"/>
      <c r="E374" s="372"/>
      <c r="F374" s="372"/>
      <c r="G374" s="372"/>
      <c r="H374" s="372"/>
      <c r="I374" s="372"/>
      <c r="J374" s="372"/>
      <c r="K374" s="372"/>
      <c r="L374" s="372"/>
      <c r="M374" s="372"/>
      <c r="N374" s="372"/>
      <c r="O374" s="372"/>
      <c r="P374" s="372"/>
      <c r="Q374" s="372"/>
      <c r="R374" s="372"/>
      <c r="S374" s="372"/>
      <c r="T374" s="372"/>
      <c r="U374" s="372"/>
      <c r="V374" s="372"/>
      <c r="W374" s="372"/>
      <c r="X374" s="372"/>
      <c r="Y374" s="372"/>
      <c r="Z374" s="372"/>
    </row>
    <row r="375">
      <c r="A375" s="372"/>
      <c r="B375" s="372"/>
      <c r="C375" s="372"/>
      <c r="D375" s="372"/>
      <c r="E375" s="372"/>
      <c r="F375" s="372"/>
      <c r="G375" s="372"/>
      <c r="H375" s="372"/>
      <c r="I375" s="372"/>
      <c r="J375" s="372"/>
      <c r="K375" s="372"/>
      <c r="L375" s="372"/>
      <c r="M375" s="372"/>
      <c r="N375" s="372"/>
      <c r="O375" s="372"/>
      <c r="P375" s="372"/>
      <c r="Q375" s="372"/>
      <c r="R375" s="372"/>
      <c r="S375" s="372"/>
      <c r="T375" s="372"/>
      <c r="U375" s="372"/>
      <c r="V375" s="372"/>
      <c r="W375" s="372"/>
      <c r="X375" s="372"/>
      <c r="Y375" s="372"/>
      <c r="Z375" s="372"/>
    </row>
    <row r="376">
      <c r="A376" s="372"/>
      <c r="B376" s="372"/>
      <c r="C376" s="372"/>
      <c r="D376" s="372"/>
      <c r="E376" s="372"/>
      <c r="F376" s="372"/>
      <c r="G376" s="372"/>
      <c r="H376" s="372"/>
      <c r="I376" s="372"/>
      <c r="J376" s="372"/>
      <c r="K376" s="372"/>
      <c r="L376" s="372"/>
      <c r="M376" s="372"/>
      <c r="N376" s="372"/>
      <c r="O376" s="372"/>
      <c r="P376" s="372"/>
      <c r="Q376" s="372"/>
      <c r="R376" s="372"/>
      <c r="S376" s="372"/>
      <c r="T376" s="372"/>
      <c r="U376" s="372"/>
      <c r="V376" s="372"/>
      <c r="W376" s="372"/>
      <c r="X376" s="372"/>
      <c r="Y376" s="372"/>
      <c r="Z376" s="372"/>
    </row>
    <row r="377">
      <c r="A377" s="372"/>
      <c r="B377" s="372"/>
      <c r="C377" s="372"/>
      <c r="D377" s="372"/>
      <c r="E377" s="372"/>
      <c r="F377" s="372"/>
      <c r="G377" s="372"/>
      <c r="H377" s="372"/>
      <c r="I377" s="372"/>
      <c r="J377" s="372"/>
      <c r="K377" s="372"/>
      <c r="L377" s="372"/>
      <c r="M377" s="372"/>
      <c r="N377" s="372"/>
      <c r="O377" s="372"/>
      <c r="P377" s="372"/>
      <c r="Q377" s="372"/>
      <c r="R377" s="372"/>
      <c r="S377" s="372"/>
      <c r="T377" s="372"/>
      <c r="U377" s="372"/>
      <c r="V377" s="372"/>
      <c r="W377" s="372"/>
      <c r="X377" s="372"/>
      <c r="Y377" s="372"/>
      <c r="Z377" s="372"/>
    </row>
    <row r="378">
      <c r="A378" s="372"/>
      <c r="B378" s="372"/>
      <c r="C378" s="372"/>
      <c r="D378" s="372"/>
      <c r="E378" s="372"/>
      <c r="F378" s="372"/>
      <c r="G378" s="372"/>
      <c r="H378" s="372"/>
      <c r="I378" s="372"/>
      <c r="J378" s="372"/>
      <c r="K378" s="372"/>
      <c r="L378" s="372"/>
      <c r="M378" s="372"/>
      <c r="N378" s="372"/>
      <c r="O378" s="372"/>
      <c r="P378" s="372"/>
      <c r="Q378" s="372"/>
      <c r="R378" s="372"/>
      <c r="S378" s="372"/>
      <c r="T378" s="372"/>
      <c r="U378" s="372"/>
      <c r="V378" s="372"/>
      <c r="W378" s="372"/>
      <c r="X378" s="372"/>
      <c r="Y378" s="372"/>
      <c r="Z378" s="372"/>
    </row>
    <row r="379">
      <c r="A379" s="372"/>
      <c r="B379" s="372"/>
      <c r="C379" s="372"/>
      <c r="D379" s="372"/>
      <c r="E379" s="372"/>
      <c r="F379" s="372"/>
      <c r="G379" s="372"/>
      <c r="H379" s="372"/>
      <c r="I379" s="372"/>
      <c r="J379" s="372"/>
      <c r="K379" s="372"/>
      <c r="L379" s="372"/>
      <c r="M379" s="372"/>
      <c r="N379" s="372"/>
      <c r="O379" s="372"/>
      <c r="P379" s="372"/>
      <c r="Q379" s="372"/>
      <c r="R379" s="372"/>
      <c r="S379" s="372"/>
      <c r="T379" s="372"/>
      <c r="U379" s="372"/>
      <c r="V379" s="372"/>
      <c r="W379" s="372"/>
      <c r="X379" s="372"/>
      <c r="Y379" s="372"/>
      <c r="Z379" s="372"/>
    </row>
    <row r="380">
      <c r="A380" s="372"/>
      <c r="B380" s="372"/>
      <c r="C380" s="372"/>
      <c r="D380" s="372"/>
      <c r="E380" s="372"/>
      <c r="F380" s="372"/>
      <c r="G380" s="372"/>
      <c r="H380" s="372"/>
      <c r="I380" s="372"/>
      <c r="J380" s="372"/>
      <c r="K380" s="372"/>
      <c r="L380" s="372"/>
      <c r="M380" s="372"/>
      <c r="N380" s="372"/>
      <c r="O380" s="372"/>
      <c r="P380" s="372"/>
      <c r="Q380" s="372"/>
      <c r="R380" s="372"/>
      <c r="S380" s="372"/>
      <c r="T380" s="372"/>
      <c r="U380" s="372"/>
      <c r="V380" s="372"/>
      <c r="W380" s="372"/>
      <c r="X380" s="372"/>
      <c r="Y380" s="372"/>
      <c r="Z380" s="372"/>
    </row>
    <row r="381">
      <c r="A381" s="372"/>
      <c r="B381" s="372"/>
      <c r="C381" s="372"/>
      <c r="D381" s="372"/>
      <c r="E381" s="372"/>
      <c r="F381" s="372"/>
      <c r="G381" s="372"/>
      <c r="H381" s="372"/>
      <c r="I381" s="372"/>
      <c r="J381" s="372"/>
      <c r="K381" s="372"/>
      <c r="L381" s="372"/>
      <c r="M381" s="372"/>
      <c r="N381" s="372"/>
      <c r="O381" s="372"/>
      <c r="P381" s="372"/>
      <c r="Q381" s="372"/>
      <c r="R381" s="372"/>
      <c r="S381" s="372"/>
      <c r="T381" s="372"/>
      <c r="U381" s="372"/>
      <c r="V381" s="372"/>
      <c r="W381" s="372"/>
      <c r="X381" s="372"/>
      <c r="Y381" s="372"/>
      <c r="Z381" s="372"/>
    </row>
    <row r="382">
      <c r="A382" s="372"/>
      <c r="B382" s="372"/>
      <c r="C382" s="372"/>
      <c r="D382" s="372"/>
      <c r="E382" s="372"/>
      <c r="F382" s="372"/>
      <c r="G382" s="372"/>
      <c r="H382" s="372"/>
      <c r="I382" s="372"/>
      <c r="J382" s="372"/>
      <c r="K382" s="372"/>
      <c r="L382" s="372"/>
      <c r="M382" s="372"/>
      <c r="N382" s="372"/>
      <c r="O382" s="372"/>
      <c r="P382" s="372"/>
      <c r="Q382" s="372"/>
      <c r="R382" s="372"/>
      <c r="S382" s="372"/>
      <c r="T382" s="372"/>
      <c r="U382" s="372"/>
      <c r="V382" s="372"/>
      <c r="W382" s="372"/>
      <c r="X382" s="372"/>
      <c r="Y382" s="372"/>
      <c r="Z382" s="372"/>
    </row>
    <row r="383">
      <c r="A383" s="372"/>
      <c r="B383" s="372"/>
      <c r="C383" s="372"/>
      <c r="D383" s="372"/>
      <c r="E383" s="372"/>
      <c r="F383" s="372"/>
      <c r="G383" s="372"/>
      <c r="H383" s="372"/>
      <c r="I383" s="37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  <c r="Z383" s="372"/>
    </row>
    <row r="384">
      <c r="A384" s="372"/>
      <c r="B384" s="372"/>
      <c r="C384" s="372"/>
      <c r="D384" s="372"/>
      <c r="E384" s="372"/>
      <c r="F384" s="372"/>
      <c r="G384" s="372"/>
      <c r="H384" s="372"/>
      <c r="I384" s="37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  <c r="Z384" s="372"/>
    </row>
    <row r="385">
      <c r="A385" s="372"/>
      <c r="B385" s="372"/>
      <c r="C385" s="372"/>
      <c r="D385" s="372"/>
      <c r="E385" s="372"/>
      <c r="F385" s="372"/>
      <c r="G385" s="372"/>
      <c r="H385" s="372"/>
      <c r="I385" s="372"/>
      <c r="J385" s="372"/>
      <c r="K385" s="372"/>
      <c r="L385" s="372"/>
      <c r="M385" s="372"/>
      <c r="N385" s="372"/>
      <c r="O385" s="372"/>
      <c r="P385" s="372"/>
      <c r="Q385" s="372"/>
      <c r="R385" s="372"/>
      <c r="S385" s="372"/>
      <c r="T385" s="372"/>
      <c r="U385" s="372"/>
      <c r="V385" s="372"/>
      <c r="W385" s="372"/>
      <c r="X385" s="372"/>
      <c r="Y385" s="372"/>
      <c r="Z385" s="372"/>
    </row>
    <row r="386">
      <c r="A386" s="372"/>
      <c r="B386" s="372"/>
      <c r="C386" s="372"/>
      <c r="D386" s="372"/>
      <c r="E386" s="372"/>
      <c r="F386" s="372"/>
      <c r="G386" s="372"/>
      <c r="H386" s="372"/>
      <c r="I386" s="372"/>
      <c r="J386" s="372"/>
      <c r="K386" s="372"/>
      <c r="L386" s="372"/>
      <c r="M386" s="372"/>
      <c r="N386" s="372"/>
      <c r="O386" s="372"/>
      <c r="P386" s="372"/>
      <c r="Q386" s="372"/>
      <c r="R386" s="372"/>
      <c r="S386" s="372"/>
      <c r="T386" s="372"/>
      <c r="U386" s="372"/>
      <c r="V386" s="372"/>
      <c r="W386" s="372"/>
      <c r="X386" s="372"/>
      <c r="Y386" s="372"/>
      <c r="Z386" s="372"/>
    </row>
    <row r="387">
      <c r="A387" s="372"/>
      <c r="B387" s="372"/>
      <c r="C387" s="372"/>
      <c r="D387" s="372"/>
      <c r="E387" s="372"/>
      <c r="F387" s="372"/>
      <c r="G387" s="372"/>
      <c r="H387" s="372"/>
      <c r="I387" s="372"/>
      <c r="J387" s="372"/>
      <c r="K387" s="372"/>
      <c r="L387" s="372"/>
      <c r="M387" s="372"/>
      <c r="N387" s="372"/>
      <c r="O387" s="372"/>
      <c r="P387" s="372"/>
      <c r="Q387" s="372"/>
      <c r="R387" s="372"/>
      <c r="S387" s="372"/>
      <c r="T387" s="372"/>
      <c r="U387" s="372"/>
      <c r="V387" s="372"/>
      <c r="W387" s="372"/>
      <c r="X387" s="372"/>
      <c r="Y387" s="372"/>
      <c r="Z387" s="372"/>
    </row>
    <row r="388">
      <c r="A388" s="372"/>
      <c r="B388" s="372"/>
      <c r="C388" s="372"/>
      <c r="D388" s="372"/>
      <c r="E388" s="372"/>
      <c r="F388" s="372"/>
      <c r="G388" s="372"/>
      <c r="H388" s="372"/>
      <c r="I388" s="372"/>
      <c r="J388" s="372"/>
      <c r="K388" s="372"/>
      <c r="L388" s="372"/>
      <c r="M388" s="372"/>
      <c r="N388" s="372"/>
      <c r="O388" s="372"/>
      <c r="P388" s="372"/>
      <c r="Q388" s="372"/>
      <c r="R388" s="372"/>
      <c r="S388" s="372"/>
      <c r="T388" s="372"/>
      <c r="U388" s="372"/>
      <c r="V388" s="372"/>
      <c r="W388" s="372"/>
      <c r="X388" s="372"/>
      <c r="Y388" s="372"/>
      <c r="Z388" s="372"/>
    </row>
    <row r="389">
      <c r="A389" s="372"/>
      <c r="B389" s="372"/>
      <c r="C389" s="372"/>
      <c r="D389" s="372"/>
      <c r="E389" s="372"/>
      <c r="F389" s="372"/>
      <c r="G389" s="372"/>
      <c r="H389" s="372"/>
      <c r="I389" s="372"/>
      <c r="J389" s="372"/>
      <c r="K389" s="372"/>
      <c r="L389" s="372"/>
      <c r="M389" s="372"/>
      <c r="N389" s="372"/>
      <c r="O389" s="372"/>
      <c r="P389" s="372"/>
      <c r="Q389" s="372"/>
      <c r="R389" s="372"/>
      <c r="S389" s="372"/>
      <c r="T389" s="372"/>
      <c r="U389" s="372"/>
      <c r="V389" s="372"/>
      <c r="W389" s="372"/>
      <c r="X389" s="372"/>
      <c r="Y389" s="372"/>
      <c r="Z389" s="372"/>
    </row>
    <row r="390">
      <c r="A390" s="372"/>
      <c r="B390" s="372"/>
      <c r="C390" s="372"/>
      <c r="D390" s="372"/>
      <c r="E390" s="372"/>
      <c r="F390" s="372"/>
      <c r="G390" s="372"/>
      <c r="H390" s="372"/>
      <c r="I390" s="372"/>
      <c r="J390" s="372"/>
      <c r="K390" s="372"/>
      <c r="L390" s="372"/>
      <c r="M390" s="372"/>
      <c r="N390" s="372"/>
      <c r="O390" s="372"/>
      <c r="P390" s="372"/>
      <c r="Q390" s="372"/>
      <c r="R390" s="372"/>
      <c r="S390" s="372"/>
      <c r="T390" s="372"/>
      <c r="U390" s="372"/>
      <c r="V390" s="372"/>
      <c r="W390" s="372"/>
      <c r="X390" s="372"/>
      <c r="Y390" s="372"/>
      <c r="Z390" s="372"/>
    </row>
    <row r="391">
      <c r="A391" s="372"/>
      <c r="B391" s="372"/>
      <c r="C391" s="372"/>
      <c r="D391" s="372"/>
      <c r="E391" s="372"/>
      <c r="F391" s="372"/>
      <c r="G391" s="372"/>
      <c r="H391" s="372"/>
      <c r="I391" s="372"/>
      <c r="J391" s="372"/>
      <c r="K391" s="372"/>
      <c r="L391" s="372"/>
      <c r="M391" s="372"/>
      <c r="N391" s="372"/>
      <c r="O391" s="372"/>
      <c r="P391" s="372"/>
      <c r="Q391" s="372"/>
      <c r="R391" s="372"/>
      <c r="S391" s="372"/>
      <c r="T391" s="372"/>
      <c r="U391" s="372"/>
      <c r="V391" s="372"/>
      <c r="W391" s="372"/>
      <c r="X391" s="372"/>
      <c r="Y391" s="372"/>
      <c r="Z391" s="372"/>
    </row>
    <row r="392">
      <c r="A392" s="372"/>
      <c r="B392" s="372"/>
      <c r="C392" s="372"/>
      <c r="D392" s="372"/>
      <c r="E392" s="372"/>
      <c r="F392" s="372"/>
      <c r="G392" s="372"/>
      <c r="H392" s="372"/>
      <c r="I392" s="372"/>
      <c r="J392" s="372"/>
      <c r="K392" s="372"/>
      <c r="L392" s="372"/>
      <c r="M392" s="372"/>
      <c r="N392" s="372"/>
      <c r="O392" s="372"/>
      <c r="P392" s="372"/>
      <c r="Q392" s="372"/>
      <c r="R392" s="372"/>
      <c r="S392" s="372"/>
      <c r="T392" s="372"/>
      <c r="U392" s="372"/>
      <c r="V392" s="372"/>
      <c r="W392" s="372"/>
      <c r="X392" s="372"/>
      <c r="Y392" s="372"/>
      <c r="Z392" s="372"/>
    </row>
    <row r="393">
      <c r="A393" s="372"/>
      <c r="B393" s="372"/>
      <c r="C393" s="372"/>
      <c r="D393" s="372"/>
      <c r="E393" s="372"/>
      <c r="F393" s="372"/>
      <c r="G393" s="372"/>
      <c r="H393" s="372"/>
      <c r="I393" s="372"/>
      <c r="J393" s="372"/>
      <c r="K393" s="372"/>
      <c r="L393" s="372"/>
      <c r="M393" s="372"/>
      <c r="N393" s="372"/>
      <c r="O393" s="372"/>
      <c r="P393" s="372"/>
      <c r="Q393" s="372"/>
      <c r="R393" s="372"/>
      <c r="S393" s="372"/>
      <c r="T393" s="372"/>
      <c r="U393" s="372"/>
      <c r="V393" s="372"/>
      <c r="W393" s="372"/>
      <c r="X393" s="372"/>
      <c r="Y393" s="372"/>
      <c r="Z393" s="372"/>
    </row>
    <row r="394">
      <c r="A394" s="372"/>
      <c r="B394" s="372"/>
      <c r="C394" s="372"/>
      <c r="D394" s="372"/>
      <c r="E394" s="372"/>
      <c r="F394" s="372"/>
      <c r="G394" s="372"/>
      <c r="H394" s="372"/>
      <c r="I394" s="372"/>
      <c r="J394" s="372"/>
      <c r="K394" s="372"/>
      <c r="L394" s="372"/>
      <c r="M394" s="372"/>
      <c r="N394" s="372"/>
      <c r="O394" s="372"/>
      <c r="P394" s="372"/>
      <c r="Q394" s="372"/>
      <c r="R394" s="372"/>
      <c r="S394" s="372"/>
      <c r="T394" s="372"/>
      <c r="U394" s="372"/>
      <c r="V394" s="372"/>
      <c r="W394" s="372"/>
      <c r="X394" s="372"/>
      <c r="Y394" s="372"/>
      <c r="Z394" s="372"/>
    </row>
    <row r="395">
      <c r="A395" s="372"/>
      <c r="B395" s="372"/>
      <c r="C395" s="372"/>
      <c r="D395" s="372"/>
      <c r="E395" s="372"/>
      <c r="F395" s="372"/>
      <c r="G395" s="372"/>
      <c r="H395" s="372"/>
      <c r="I395" s="372"/>
      <c r="J395" s="372"/>
      <c r="K395" s="372"/>
      <c r="L395" s="372"/>
      <c r="M395" s="372"/>
      <c r="N395" s="372"/>
      <c r="O395" s="372"/>
      <c r="P395" s="372"/>
      <c r="Q395" s="372"/>
      <c r="R395" s="372"/>
      <c r="S395" s="372"/>
      <c r="T395" s="372"/>
      <c r="U395" s="372"/>
      <c r="V395" s="372"/>
      <c r="W395" s="372"/>
      <c r="X395" s="372"/>
      <c r="Y395" s="372"/>
      <c r="Z395" s="372"/>
    </row>
    <row r="396">
      <c r="A396" s="372"/>
      <c r="B396" s="372"/>
      <c r="C396" s="372"/>
      <c r="D396" s="372"/>
      <c r="E396" s="372"/>
      <c r="F396" s="372"/>
      <c r="G396" s="372"/>
      <c r="H396" s="372"/>
      <c r="I396" s="372"/>
      <c r="J396" s="372"/>
      <c r="K396" s="372"/>
      <c r="L396" s="372"/>
      <c r="M396" s="372"/>
      <c r="N396" s="372"/>
      <c r="O396" s="372"/>
      <c r="P396" s="372"/>
      <c r="Q396" s="372"/>
      <c r="R396" s="372"/>
      <c r="S396" s="372"/>
      <c r="T396" s="372"/>
      <c r="U396" s="372"/>
      <c r="V396" s="372"/>
      <c r="W396" s="372"/>
      <c r="X396" s="372"/>
      <c r="Y396" s="372"/>
      <c r="Z396" s="372"/>
    </row>
    <row r="397">
      <c r="A397" s="372"/>
      <c r="B397" s="372"/>
      <c r="C397" s="372"/>
      <c r="D397" s="372"/>
      <c r="E397" s="372"/>
      <c r="F397" s="372"/>
      <c r="G397" s="372"/>
      <c r="H397" s="372"/>
      <c r="I397" s="372"/>
      <c r="J397" s="372"/>
      <c r="K397" s="372"/>
      <c r="L397" s="372"/>
      <c r="M397" s="372"/>
      <c r="N397" s="372"/>
      <c r="O397" s="372"/>
      <c r="P397" s="372"/>
      <c r="Q397" s="372"/>
      <c r="R397" s="372"/>
      <c r="S397" s="372"/>
      <c r="T397" s="372"/>
      <c r="U397" s="372"/>
      <c r="V397" s="372"/>
      <c r="W397" s="372"/>
      <c r="X397" s="372"/>
      <c r="Y397" s="372"/>
      <c r="Z397" s="372"/>
    </row>
    <row r="398">
      <c r="A398" s="372"/>
      <c r="B398" s="372"/>
      <c r="C398" s="372"/>
      <c r="D398" s="372"/>
      <c r="E398" s="372"/>
      <c r="F398" s="372"/>
      <c r="G398" s="372"/>
      <c r="H398" s="372"/>
      <c r="I398" s="372"/>
      <c r="J398" s="372"/>
      <c r="K398" s="372"/>
      <c r="L398" s="372"/>
      <c r="M398" s="372"/>
      <c r="N398" s="372"/>
      <c r="O398" s="372"/>
      <c r="P398" s="372"/>
      <c r="Q398" s="372"/>
      <c r="R398" s="372"/>
      <c r="S398" s="372"/>
      <c r="T398" s="372"/>
      <c r="U398" s="372"/>
      <c r="V398" s="372"/>
      <c r="W398" s="372"/>
      <c r="X398" s="372"/>
      <c r="Y398" s="372"/>
      <c r="Z398" s="372"/>
    </row>
    <row r="399">
      <c r="A399" s="372"/>
      <c r="B399" s="372"/>
      <c r="C399" s="372"/>
      <c r="D399" s="372"/>
      <c r="E399" s="372"/>
      <c r="F399" s="372"/>
      <c r="G399" s="372"/>
      <c r="H399" s="372"/>
      <c r="I399" s="372"/>
      <c r="J399" s="372"/>
      <c r="K399" s="372"/>
      <c r="L399" s="372"/>
      <c r="M399" s="372"/>
      <c r="N399" s="372"/>
      <c r="O399" s="372"/>
      <c r="P399" s="372"/>
      <c r="Q399" s="372"/>
      <c r="R399" s="372"/>
      <c r="S399" s="372"/>
      <c r="T399" s="372"/>
      <c r="U399" s="372"/>
      <c r="V399" s="372"/>
      <c r="W399" s="372"/>
      <c r="X399" s="372"/>
      <c r="Y399" s="372"/>
      <c r="Z399" s="372"/>
    </row>
    <row r="400">
      <c r="A400" s="372"/>
      <c r="B400" s="372"/>
      <c r="C400" s="372"/>
      <c r="D400" s="372"/>
      <c r="E400" s="372"/>
      <c r="F400" s="372"/>
      <c r="G400" s="372"/>
      <c r="H400" s="372"/>
      <c r="I400" s="372"/>
      <c r="J400" s="372"/>
      <c r="K400" s="372"/>
      <c r="L400" s="372"/>
      <c r="M400" s="372"/>
      <c r="N400" s="372"/>
      <c r="O400" s="372"/>
      <c r="P400" s="372"/>
      <c r="Q400" s="372"/>
      <c r="R400" s="372"/>
      <c r="S400" s="372"/>
      <c r="T400" s="372"/>
      <c r="U400" s="372"/>
      <c r="V400" s="372"/>
      <c r="W400" s="372"/>
      <c r="X400" s="372"/>
      <c r="Y400" s="372"/>
      <c r="Z400" s="372"/>
    </row>
    <row r="401">
      <c r="A401" s="372"/>
      <c r="B401" s="372"/>
      <c r="C401" s="372"/>
      <c r="D401" s="372"/>
      <c r="E401" s="372"/>
      <c r="F401" s="372"/>
      <c r="G401" s="372"/>
      <c r="H401" s="372"/>
      <c r="I401" s="372"/>
      <c r="J401" s="372"/>
      <c r="K401" s="372"/>
      <c r="L401" s="372"/>
      <c r="M401" s="372"/>
      <c r="N401" s="372"/>
      <c r="O401" s="372"/>
      <c r="P401" s="372"/>
      <c r="Q401" s="372"/>
      <c r="R401" s="372"/>
      <c r="S401" s="372"/>
      <c r="T401" s="372"/>
      <c r="U401" s="372"/>
      <c r="V401" s="372"/>
      <c r="W401" s="372"/>
      <c r="X401" s="372"/>
      <c r="Y401" s="372"/>
      <c r="Z401" s="372"/>
    </row>
    <row r="402">
      <c r="A402" s="372"/>
      <c r="B402" s="372"/>
      <c r="C402" s="372"/>
      <c r="D402" s="372"/>
      <c r="E402" s="372"/>
      <c r="F402" s="372"/>
      <c r="G402" s="372"/>
      <c r="H402" s="372"/>
      <c r="I402" s="372"/>
      <c r="J402" s="372"/>
      <c r="K402" s="372"/>
      <c r="L402" s="372"/>
      <c r="M402" s="372"/>
      <c r="N402" s="372"/>
      <c r="O402" s="372"/>
      <c r="P402" s="372"/>
      <c r="Q402" s="372"/>
      <c r="R402" s="372"/>
      <c r="S402" s="372"/>
      <c r="T402" s="372"/>
      <c r="U402" s="372"/>
      <c r="V402" s="372"/>
      <c r="W402" s="372"/>
      <c r="X402" s="372"/>
      <c r="Y402" s="372"/>
      <c r="Z402" s="372"/>
    </row>
    <row r="403">
      <c r="A403" s="372"/>
      <c r="B403" s="372"/>
      <c r="C403" s="372"/>
      <c r="D403" s="372"/>
      <c r="E403" s="372"/>
      <c r="F403" s="372"/>
      <c r="G403" s="372"/>
      <c r="H403" s="372"/>
      <c r="I403" s="372"/>
      <c r="J403" s="372"/>
      <c r="K403" s="372"/>
      <c r="L403" s="372"/>
      <c r="M403" s="372"/>
      <c r="N403" s="372"/>
      <c r="O403" s="372"/>
      <c r="P403" s="372"/>
      <c r="Q403" s="372"/>
      <c r="R403" s="372"/>
      <c r="S403" s="372"/>
      <c r="T403" s="372"/>
      <c r="U403" s="372"/>
      <c r="V403" s="372"/>
      <c r="W403" s="372"/>
      <c r="X403" s="372"/>
      <c r="Y403" s="372"/>
      <c r="Z403" s="372"/>
    </row>
    <row r="404">
      <c r="A404" s="372"/>
      <c r="B404" s="372"/>
      <c r="C404" s="372"/>
      <c r="D404" s="372"/>
      <c r="E404" s="372"/>
      <c r="F404" s="372"/>
      <c r="G404" s="372"/>
      <c r="H404" s="372"/>
      <c r="I404" s="372"/>
      <c r="J404" s="372"/>
      <c r="K404" s="372"/>
      <c r="L404" s="372"/>
      <c r="M404" s="372"/>
      <c r="N404" s="372"/>
      <c r="O404" s="372"/>
      <c r="P404" s="372"/>
      <c r="Q404" s="372"/>
      <c r="R404" s="372"/>
      <c r="S404" s="372"/>
      <c r="T404" s="372"/>
      <c r="U404" s="372"/>
      <c r="V404" s="372"/>
      <c r="W404" s="372"/>
      <c r="X404" s="372"/>
      <c r="Y404" s="372"/>
      <c r="Z404" s="372"/>
    </row>
    <row r="405">
      <c r="A405" s="372"/>
      <c r="B405" s="372"/>
      <c r="C405" s="372"/>
      <c r="D405" s="372"/>
      <c r="E405" s="372"/>
      <c r="F405" s="372"/>
      <c r="G405" s="372"/>
      <c r="H405" s="372"/>
      <c r="I405" s="372"/>
      <c r="J405" s="372"/>
      <c r="K405" s="372"/>
      <c r="L405" s="372"/>
      <c r="M405" s="372"/>
      <c r="N405" s="372"/>
      <c r="O405" s="372"/>
      <c r="P405" s="372"/>
      <c r="Q405" s="372"/>
      <c r="R405" s="372"/>
      <c r="S405" s="372"/>
      <c r="T405" s="372"/>
      <c r="U405" s="372"/>
      <c r="V405" s="372"/>
      <c r="W405" s="372"/>
      <c r="X405" s="372"/>
      <c r="Y405" s="372"/>
      <c r="Z405" s="372"/>
    </row>
    <row r="406">
      <c r="A406" s="372"/>
      <c r="B406" s="372"/>
      <c r="C406" s="372"/>
      <c r="D406" s="372"/>
      <c r="E406" s="372"/>
      <c r="F406" s="372"/>
      <c r="G406" s="372"/>
      <c r="H406" s="372"/>
      <c r="I406" s="372"/>
      <c r="J406" s="372"/>
      <c r="K406" s="372"/>
      <c r="L406" s="372"/>
      <c r="M406" s="372"/>
      <c r="N406" s="372"/>
      <c r="O406" s="372"/>
      <c r="P406" s="372"/>
      <c r="Q406" s="372"/>
      <c r="R406" s="372"/>
      <c r="S406" s="372"/>
      <c r="T406" s="372"/>
      <c r="U406" s="372"/>
      <c r="V406" s="372"/>
      <c r="W406" s="372"/>
      <c r="X406" s="372"/>
      <c r="Y406" s="372"/>
      <c r="Z406" s="372"/>
    </row>
    <row r="407">
      <c r="A407" s="372"/>
      <c r="B407" s="372"/>
      <c r="C407" s="372"/>
      <c r="D407" s="372"/>
      <c r="E407" s="372"/>
      <c r="F407" s="372"/>
      <c r="G407" s="372"/>
      <c r="H407" s="372"/>
      <c r="I407" s="372"/>
      <c r="J407" s="372"/>
      <c r="K407" s="372"/>
      <c r="L407" s="372"/>
      <c r="M407" s="372"/>
      <c r="N407" s="372"/>
      <c r="O407" s="372"/>
      <c r="P407" s="372"/>
      <c r="Q407" s="372"/>
      <c r="R407" s="372"/>
      <c r="S407" s="372"/>
      <c r="T407" s="372"/>
      <c r="U407" s="372"/>
      <c r="V407" s="372"/>
      <c r="W407" s="372"/>
      <c r="X407" s="372"/>
      <c r="Y407" s="372"/>
      <c r="Z407" s="372"/>
    </row>
    <row r="408">
      <c r="A408" s="372"/>
      <c r="B408" s="372"/>
      <c r="C408" s="372"/>
      <c r="D408" s="372"/>
      <c r="E408" s="372"/>
      <c r="F408" s="372"/>
      <c r="G408" s="372"/>
      <c r="H408" s="372"/>
      <c r="I408" s="372"/>
      <c r="J408" s="372"/>
      <c r="K408" s="372"/>
      <c r="L408" s="372"/>
      <c r="M408" s="372"/>
      <c r="N408" s="372"/>
      <c r="O408" s="372"/>
      <c r="P408" s="372"/>
      <c r="Q408" s="372"/>
      <c r="R408" s="372"/>
      <c r="S408" s="372"/>
      <c r="T408" s="372"/>
      <c r="U408" s="372"/>
      <c r="V408" s="372"/>
      <c r="W408" s="372"/>
      <c r="X408" s="372"/>
      <c r="Y408" s="372"/>
      <c r="Z408" s="372"/>
    </row>
    <row r="409">
      <c r="A409" s="372"/>
      <c r="B409" s="372"/>
      <c r="C409" s="372"/>
      <c r="D409" s="372"/>
      <c r="E409" s="372"/>
      <c r="F409" s="372"/>
      <c r="G409" s="372"/>
      <c r="H409" s="372"/>
      <c r="I409" s="372"/>
      <c r="J409" s="372"/>
      <c r="K409" s="372"/>
      <c r="L409" s="372"/>
      <c r="M409" s="372"/>
      <c r="N409" s="372"/>
      <c r="O409" s="372"/>
      <c r="P409" s="372"/>
      <c r="Q409" s="372"/>
      <c r="R409" s="372"/>
      <c r="S409" s="372"/>
      <c r="T409" s="372"/>
      <c r="U409" s="372"/>
      <c r="V409" s="372"/>
      <c r="W409" s="372"/>
      <c r="X409" s="372"/>
      <c r="Y409" s="372"/>
      <c r="Z409" s="372"/>
    </row>
    <row r="410">
      <c r="A410" s="372"/>
      <c r="B410" s="372"/>
      <c r="C410" s="372"/>
      <c r="D410" s="372"/>
      <c r="E410" s="372"/>
      <c r="F410" s="372"/>
      <c r="G410" s="372"/>
      <c r="H410" s="372"/>
      <c r="I410" s="372"/>
      <c r="J410" s="372"/>
      <c r="K410" s="372"/>
      <c r="L410" s="372"/>
      <c r="M410" s="372"/>
      <c r="N410" s="372"/>
      <c r="O410" s="372"/>
      <c r="P410" s="372"/>
      <c r="Q410" s="372"/>
      <c r="R410" s="372"/>
      <c r="S410" s="372"/>
      <c r="T410" s="372"/>
      <c r="U410" s="372"/>
      <c r="V410" s="372"/>
      <c r="W410" s="372"/>
      <c r="X410" s="372"/>
      <c r="Y410" s="372"/>
      <c r="Z410" s="372"/>
    </row>
    <row r="411">
      <c r="A411" s="372"/>
      <c r="B411" s="372"/>
      <c r="C411" s="372"/>
      <c r="D411" s="372"/>
      <c r="E411" s="372"/>
      <c r="F411" s="372"/>
      <c r="G411" s="372"/>
      <c r="H411" s="372"/>
      <c r="I411" s="372"/>
      <c r="J411" s="372"/>
      <c r="K411" s="372"/>
      <c r="L411" s="372"/>
      <c r="M411" s="372"/>
      <c r="N411" s="372"/>
      <c r="O411" s="372"/>
      <c r="P411" s="372"/>
      <c r="Q411" s="372"/>
      <c r="R411" s="372"/>
      <c r="S411" s="372"/>
      <c r="T411" s="372"/>
      <c r="U411" s="372"/>
      <c r="V411" s="372"/>
      <c r="W411" s="372"/>
      <c r="X411" s="372"/>
      <c r="Y411" s="372"/>
      <c r="Z411" s="372"/>
    </row>
    <row r="412">
      <c r="A412" s="372"/>
      <c r="B412" s="372"/>
      <c r="C412" s="372"/>
      <c r="D412" s="372"/>
      <c r="E412" s="372"/>
      <c r="F412" s="372"/>
      <c r="G412" s="372"/>
      <c r="H412" s="372"/>
      <c r="I412" s="372"/>
      <c r="J412" s="372"/>
      <c r="K412" s="372"/>
      <c r="L412" s="372"/>
      <c r="M412" s="372"/>
      <c r="N412" s="372"/>
      <c r="O412" s="372"/>
      <c r="P412" s="372"/>
      <c r="Q412" s="372"/>
      <c r="R412" s="372"/>
      <c r="S412" s="372"/>
      <c r="T412" s="372"/>
      <c r="U412" s="372"/>
      <c r="V412" s="372"/>
      <c r="W412" s="372"/>
      <c r="X412" s="372"/>
      <c r="Y412" s="372"/>
      <c r="Z412" s="372"/>
    </row>
    <row r="413">
      <c r="A413" s="372"/>
      <c r="B413" s="372"/>
      <c r="C413" s="372"/>
      <c r="D413" s="372"/>
      <c r="E413" s="372"/>
      <c r="F413" s="372"/>
      <c r="G413" s="372"/>
      <c r="H413" s="372"/>
      <c r="I413" s="372"/>
      <c r="J413" s="372"/>
      <c r="K413" s="372"/>
      <c r="L413" s="372"/>
      <c r="M413" s="372"/>
      <c r="N413" s="372"/>
      <c r="O413" s="372"/>
      <c r="P413" s="372"/>
      <c r="Q413" s="372"/>
      <c r="R413" s="372"/>
      <c r="S413" s="372"/>
      <c r="T413" s="372"/>
      <c r="U413" s="372"/>
      <c r="V413" s="372"/>
      <c r="W413" s="372"/>
      <c r="X413" s="372"/>
      <c r="Y413" s="372"/>
      <c r="Z413" s="372"/>
    </row>
    <row r="414">
      <c r="A414" s="372"/>
      <c r="B414" s="372"/>
      <c r="C414" s="372"/>
      <c r="D414" s="372"/>
      <c r="E414" s="372"/>
      <c r="F414" s="372"/>
      <c r="G414" s="372"/>
      <c r="H414" s="372"/>
      <c r="I414" s="372"/>
      <c r="J414" s="372"/>
      <c r="K414" s="372"/>
      <c r="L414" s="372"/>
      <c r="M414" s="372"/>
      <c r="N414" s="372"/>
      <c r="O414" s="372"/>
      <c r="P414" s="372"/>
      <c r="Q414" s="372"/>
      <c r="R414" s="372"/>
      <c r="S414" s="372"/>
      <c r="T414" s="372"/>
      <c r="U414" s="372"/>
      <c r="V414" s="372"/>
      <c r="W414" s="372"/>
      <c r="X414" s="372"/>
      <c r="Y414" s="372"/>
      <c r="Z414" s="372"/>
    </row>
    <row r="415">
      <c r="A415" s="372"/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  <c r="T415" s="372"/>
      <c r="U415" s="372"/>
      <c r="V415" s="372"/>
      <c r="W415" s="372"/>
      <c r="X415" s="372"/>
      <c r="Y415" s="372"/>
      <c r="Z415" s="372"/>
    </row>
    <row r="416">
      <c r="A416" s="372"/>
      <c r="B416" s="372"/>
      <c r="C416" s="372"/>
      <c r="D416" s="372"/>
      <c r="E416" s="372"/>
      <c r="F416" s="372"/>
      <c r="G416" s="372"/>
      <c r="H416" s="372"/>
      <c r="I416" s="372"/>
      <c r="J416" s="372"/>
      <c r="K416" s="372"/>
      <c r="L416" s="372"/>
      <c r="M416" s="372"/>
      <c r="N416" s="372"/>
      <c r="O416" s="372"/>
      <c r="P416" s="372"/>
      <c r="Q416" s="372"/>
      <c r="R416" s="372"/>
      <c r="S416" s="372"/>
      <c r="T416" s="372"/>
      <c r="U416" s="372"/>
      <c r="V416" s="372"/>
      <c r="W416" s="372"/>
      <c r="X416" s="372"/>
      <c r="Y416" s="372"/>
      <c r="Z416" s="372"/>
    </row>
    <row r="417">
      <c r="A417" s="372"/>
      <c r="B417" s="372"/>
      <c r="C417" s="372"/>
      <c r="D417" s="372"/>
      <c r="E417" s="372"/>
      <c r="F417" s="372"/>
      <c r="G417" s="372"/>
      <c r="H417" s="372"/>
      <c r="I417" s="372"/>
      <c r="J417" s="372"/>
      <c r="K417" s="372"/>
      <c r="L417" s="372"/>
      <c r="M417" s="372"/>
      <c r="N417" s="372"/>
      <c r="O417" s="372"/>
      <c r="P417" s="372"/>
      <c r="Q417" s="372"/>
      <c r="R417" s="372"/>
      <c r="S417" s="372"/>
      <c r="T417" s="372"/>
      <c r="U417" s="372"/>
      <c r="V417" s="372"/>
      <c r="W417" s="372"/>
      <c r="X417" s="372"/>
      <c r="Y417" s="372"/>
      <c r="Z417" s="372"/>
    </row>
    <row r="418">
      <c r="A418" s="372"/>
      <c r="B418" s="372"/>
      <c r="C418" s="372"/>
      <c r="D418" s="372"/>
      <c r="E418" s="372"/>
      <c r="F418" s="372"/>
      <c r="G418" s="372"/>
      <c r="H418" s="372"/>
      <c r="I418" s="372"/>
      <c r="J418" s="372"/>
      <c r="K418" s="372"/>
      <c r="L418" s="372"/>
      <c r="M418" s="372"/>
      <c r="N418" s="372"/>
      <c r="O418" s="372"/>
      <c r="P418" s="372"/>
      <c r="Q418" s="372"/>
      <c r="R418" s="372"/>
      <c r="S418" s="372"/>
      <c r="T418" s="372"/>
      <c r="U418" s="372"/>
      <c r="V418" s="372"/>
      <c r="W418" s="372"/>
      <c r="X418" s="372"/>
      <c r="Y418" s="372"/>
      <c r="Z418" s="372"/>
    </row>
    <row r="419">
      <c r="A419" s="372"/>
      <c r="B419" s="372"/>
      <c r="C419" s="372"/>
      <c r="D419" s="372"/>
      <c r="E419" s="372"/>
      <c r="F419" s="372"/>
      <c r="G419" s="372"/>
      <c r="H419" s="372"/>
      <c r="I419" s="372"/>
      <c r="J419" s="372"/>
      <c r="K419" s="372"/>
      <c r="L419" s="372"/>
      <c r="M419" s="372"/>
      <c r="N419" s="372"/>
      <c r="O419" s="372"/>
      <c r="P419" s="372"/>
      <c r="Q419" s="372"/>
      <c r="R419" s="372"/>
      <c r="S419" s="372"/>
      <c r="T419" s="372"/>
      <c r="U419" s="372"/>
      <c r="V419" s="372"/>
      <c r="W419" s="372"/>
      <c r="X419" s="372"/>
      <c r="Y419" s="372"/>
      <c r="Z419" s="372"/>
    </row>
    <row r="420">
      <c r="A420" s="372"/>
      <c r="B420" s="372"/>
      <c r="C420" s="372"/>
      <c r="D420" s="372"/>
      <c r="E420" s="372"/>
      <c r="F420" s="372"/>
      <c r="G420" s="372"/>
      <c r="H420" s="372"/>
      <c r="I420" s="372"/>
      <c r="J420" s="372"/>
      <c r="K420" s="372"/>
      <c r="L420" s="372"/>
      <c r="M420" s="372"/>
      <c r="N420" s="372"/>
      <c r="O420" s="372"/>
      <c r="P420" s="372"/>
      <c r="Q420" s="372"/>
      <c r="R420" s="372"/>
      <c r="S420" s="372"/>
      <c r="T420" s="372"/>
      <c r="U420" s="372"/>
      <c r="V420" s="372"/>
      <c r="W420" s="372"/>
      <c r="X420" s="372"/>
      <c r="Y420" s="372"/>
      <c r="Z420" s="372"/>
    </row>
    <row r="421">
      <c r="A421" s="372"/>
      <c r="B421" s="372"/>
      <c r="C421" s="372"/>
      <c r="D421" s="372"/>
      <c r="E421" s="372"/>
      <c r="F421" s="372"/>
      <c r="G421" s="372"/>
      <c r="H421" s="372"/>
      <c r="I421" s="372"/>
      <c r="J421" s="372"/>
      <c r="K421" s="372"/>
      <c r="L421" s="372"/>
      <c r="M421" s="372"/>
      <c r="N421" s="372"/>
      <c r="O421" s="372"/>
      <c r="P421" s="372"/>
      <c r="Q421" s="372"/>
      <c r="R421" s="372"/>
      <c r="S421" s="372"/>
      <c r="T421" s="372"/>
      <c r="U421" s="372"/>
      <c r="V421" s="372"/>
      <c r="W421" s="372"/>
      <c r="X421" s="372"/>
      <c r="Y421" s="372"/>
      <c r="Z421" s="372"/>
    </row>
    <row r="422">
      <c r="A422" s="372"/>
      <c r="B422" s="372"/>
      <c r="C422" s="372"/>
      <c r="D422" s="372"/>
      <c r="E422" s="372"/>
      <c r="F422" s="372"/>
      <c r="G422" s="372"/>
      <c r="H422" s="372"/>
      <c r="I422" s="372"/>
      <c r="J422" s="372"/>
      <c r="K422" s="372"/>
      <c r="L422" s="372"/>
      <c r="M422" s="372"/>
      <c r="N422" s="372"/>
      <c r="O422" s="372"/>
      <c r="P422" s="372"/>
      <c r="Q422" s="372"/>
      <c r="R422" s="372"/>
      <c r="S422" s="372"/>
      <c r="T422" s="372"/>
      <c r="U422" s="372"/>
      <c r="V422" s="372"/>
      <c r="W422" s="372"/>
      <c r="X422" s="372"/>
      <c r="Y422" s="372"/>
      <c r="Z422" s="372"/>
    </row>
    <row r="423">
      <c r="A423" s="372"/>
      <c r="B423" s="372"/>
      <c r="C423" s="372"/>
      <c r="D423" s="372"/>
      <c r="E423" s="372"/>
      <c r="F423" s="372"/>
      <c r="G423" s="372"/>
      <c r="H423" s="372"/>
      <c r="I423" s="372"/>
      <c r="J423" s="372"/>
      <c r="K423" s="372"/>
      <c r="L423" s="372"/>
      <c r="M423" s="372"/>
      <c r="N423" s="372"/>
      <c r="O423" s="372"/>
      <c r="P423" s="372"/>
      <c r="Q423" s="372"/>
      <c r="R423" s="372"/>
      <c r="S423" s="372"/>
      <c r="T423" s="372"/>
      <c r="U423" s="372"/>
      <c r="V423" s="372"/>
      <c r="W423" s="372"/>
      <c r="X423" s="372"/>
      <c r="Y423" s="372"/>
      <c r="Z423" s="372"/>
    </row>
    <row r="424">
      <c r="A424" s="372"/>
      <c r="B424" s="372"/>
      <c r="C424" s="372"/>
      <c r="D424" s="372"/>
      <c r="E424" s="372"/>
      <c r="F424" s="372"/>
      <c r="G424" s="372"/>
      <c r="H424" s="372"/>
      <c r="I424" s="372"/>
      <c r="J424" s="372"/>
      <c r="K424" s="372"/>
      <c r="L424" s="372"/>
      <c r="M424" s="372"/>
      <c r="N424" s="372"/>
      <c r="O424" s="372"/>
      <c r="P424" s="372"/>
      <c r="Q424" s="372"/>
      <c r="R424" s="372"/>
      <c r="S424" s="372"/>
      <c r="T424" s="372"/>
      <c r="U424" s="372"/>
      <c r="V424" s="372"/>
      <c r="W424" s="372"/>
      <c r="X424" s="372"/>
      <c r="Y424" s="372"/>
      <c r="Z424" s="372"/>
    </row>
    <row r="425">
      <c r="A425" s="372"/>
      <c r="B425" s="372"/>
      <c r="C425" s="372"/>
      <c r="D425" s="372"/>
      <c r="E425" s="372"/>
      <c r="F425" s="372"/>
      <c r="G425" s="372"/>
      <c r="H425" s="372"/>
      <c r="I425" s="372"/>
      <c r="J425" s="372"/>
      <c r="K425" s="372"/>
      <c r="L425" s="372"/>
      <c r="M425" s="372"/>
      <c r="N425" s="372"/>
      <c r="O425" s="372"/>
      <c r="P425" s="372"/>
      <c r="Q425" s="372"/>
      <c r="R425" s="372"/>
      <c r="S425" s="372"/>
      <c r="T425" s="372"/>
      <c r="U425" s="372"/>
      <c r="V425" s="372"/>
      <c r="W425" s="372"/>
      <c r="X425" s="372"/>
      <c r="Y425" s="372"/>
      <c r="Z425" s="372"/>
    </row>
    <row r="426">
      <c r="A426" s="372"/>
      <c r="B426" s="372"/>
      <c r="C426" s="372"/>
      <c r="D426" s="372"/>
      <c r="E426" s="372"/>
      <c r="F426" s="372"/>
      <c r="G426" s="372"/>
      <c r="H426" s="372"/>
      <c r="I426" s="372"/>
      <c r="J426" s="372"/>
      <c r="K426" s="372"/>
      <c r="L426" s="372"/>
      <c r="M426" s="372"/>
      <c r="N426" s="372"/>
      <c r="O426" s="372"/>
      <c r="P426" s="372"/>
      <c r="Q426" s="372"/>
      <c r="R426" s="372"/>
      <c r="S426" s="372"/>
      <c r="T426" s="372"/>
      <c r="U426" s="372"/>
      <c r="V426" s="372"/>
      <c r="W426" s="372"/>
      <c r="X426" s="372"/>
      <c r="Y426" s="372"/>
      <c r="Z426" s="372"/>
    </row>
    <row r="427">
      <c r="A427" s="372"/>
      <c r="B427" s="372"/>
      <c r="C427" s="372"/>
      <c r="D427" s="372"/>
      <c r="E427" s="372"/>
      <c r="F427" s="372"/>
      <c r="G427" s="372"/>
      <c r="H427" s="372"/>
      <c r="I427" s="372"/>
      <c r="J427" s="372"/>
      <c r="K427" s="372"/>
      <c r="L427" s="372"/>
      <c r="M427" s="372"/>
      <c r="N427" s="372"/>
      <c r="O427" s="372"/>
      <c r="P427" s="372"/>
      <c r="Q427" s="372"/>
      <c r="R427" s="372"/>
      <c r="S427" s="372"/>
      <c r="T427" s="372"/>
      <c r="U427" s="372"/>
      <c r="V427" s="372"/>
      <c r="W427" s="372"/>
      <c r="X427" s="372"/>
      <c r="Y427" s="372"/>
      <c r="Z427" s="372"/>
    </row>
    <row r="428">
      <c r="A428" s="372"/>
      <c r="B428" s="372"/>
      <c r="C428" s="372"/>
      <c r="D428" s="372"/>
      <c r="E428" s="372"/>
      <c r="F428" s="372"/>
      <c r="G428" s="372"/>
      <c r="H428" s="372"/>
      <c r="I428" s="372"/>
      <c r="J428" s="372"/>
      <c r="K428" s="372"/>
      <c r="L428" s="372"/>
      <c r="M428" s="372"/>
      <c r="N428" s="372"/>
      <c r="O428" s="372"/>
      <c r="P428" s="372"/>
      <c r="Q428" s="372"/>
      <c r="R428" s="372"/>
      <c r="S428" s="372"/>
      <c r="T428" s="372"/>
      <c r="U428" s="372"/>
      <c r="V428" s="372"/>
      <c r="W428" s="372"/>
      <c r="X428" s="372"/>
      <c r="Y428" s="372"/>
      <c r="Z428" s="372"/>
    </row>
    <row r="429">
      <c r="A429" s="372"/>
      <c r="B429" s="372"/>
      <c r="C429" s="372"/>
      <c r="D429" s="372"/>
      <c r="E429" s="372"/>
      <c r="F429" s="372"/>
      <c r="G429" s="372"/>
      <c r="H429" s="372"/>
      <c r="I429" s="372"/>
      <c r="J429" s="372"/>
      <c r="K429" s="372"/>
      <c r="L429" s="372"/>
      <c r="M429" s="372"/>
      <c r="N429" s="372"/>
      <c r="O429" s="372"/>
      <c r="P429" s="372"/>
      <c r="Q429" s="372"/>
      <c r="R429" s="372"/>
      <c r="S429" s="372"/>
      <c r="T429" s="372"/>
      <c r="U429" s="372"/>
      <c r="V429" s="372"/>
      <c r="W429" s="372"/>
      <c r="X429" s="372"/>
      <c r="Y429" s="372"/>
      <c r="Z429" s="372"/>
    </row>
    <row r="430">
      <c r="A430" s="372"/>
      <c r="B430" s="372"/>
      <c r="C430" s="372"/>
      <c r="D430" s="372"/>
      <c r="E430" s="372"/>
      <c r="F430" s="372"/>
      <c r="G430" s="372"/>
      <c r="H430" s="372"/>
      <c r="I430" s="372"/>
      <c r="J430" s="372"/>
      <c r="K430" s="372"/>
      <c r="L430" s="372"/>
      <c r="M430" s="372"/>
      <c r="N430" s="372"/>
      <c r="O430" s="372"/>
      <c r="P430" s="372"/>
      <c r="Q430" s="372"/>
      <c r="R430" s="372"/>
      <c r="S430" s="372"/>
      <c r="T430" s="372"/>
      <c r="U430" s="372"/>
      <c r="V430" s="372"/>
      <c r="W430" s="372"/>
      <c r="X430" s="372"/>
      <c r="Y430" s="372"/>
      <c r="Z430" s="372"/>
    </row>
    <row r="431">
      <c r="A431" s="372"/>
      <c r="B431" s="372"/>
      <c r="C431" s="372"/>
      <c r="D431" s="372"/>
      <c r="E431" s="372"/>
      <c r="F431" s="372"/>
      <c r="G431" s="372"/>
      <c r="H431" s="372"/>
      <c r="I431" s="372"/>
      <c r="J431" s="372"/>
      <c r="K431" s="372"/>
      <c r="L431" s="372"/>
      <c r="M431" s="372"/>
      <c r="N431" s="372"/>
      <c r="O431" s="372"/>
      <c r="P431" s="372"/>
      <c r="Q431" s="372"/>
      <c r="R431" s="372"/>
      <c r="S431" s="372"/>
      <c r="T431" s="372"/>
      <c r="U431" s="372"/>
      <c r="V431" s="372"/>
      <c r="W431" s="372"/>
      <c r="X431" s="372"/>
      <c r="Y431" s="372"/>
      <c r="Z431" s="372"/>
    </row>
    <row r="432">
      <c r="A432" s="372"/>
      <c r="B432" s="372"/>
      <c r="C432" s="372"/>
      <c r="D432" s="372"/>
      <c r="E432" s="372"/>
      <c r="F432" s="372"/>
      <c r="G432" s="372"/>
      <c r="H432" s="372"/>
      <c r="I432" s="372"/>
      <c r="J432" s="372"/>
      <c r="K432" s="372"/>
      <c r="L432" s="372"/>
      <c r="M432" s="372"/>
      <c r="N432" s="372"/>
      <c r="O432" s="372"/>
      <c r="P432" s="372"/>
      <c r="Q432" s="372"/>
      <c r="R432" s="372"/>
      <c r="S432" s="372"/>
      <c r="T432" s="372"/>
      <c r="U432" s="372"/>
      <c r="V432" s="372"/>
      <c r="W432" s="372"/>
      <c r="X432" s="372"/>
      <c r="Y432" s="372"/>
      <c r="Z432" s="372"/>
    </row>
    <row r="433">
      <c r="A433" s="372"/>
      <c r="B433" s="372"/>
      <c r="C433" s="372"/>
      <c r="D433" s="372"/>
      <c r="E433" s="372"/>
      <c r="F433" s="372"/>
      <c r="G433" s="372"/>
      <c r="H433" s="372"/>
      <c r="I433" s="372"/>
      <c r="J433" s="372"/>
      <c r="K433" s="372"/>
      <c r="L433" s="372"/>
      <c r="M433" s="372"/>
      <c r="N433" s="372"/>
      <c r="O433" s="372"/>
      <c r="P433" s="372"/>
      <c r="Q433" s="372"/>
      <c r="R433" s="372"/>
      <c r="S433" s="372"/>
      <c r="T433" s="372"/>
      <c r="U433" s="372"/>
      <c r="V433" s="372"/>
      <c r="W433" s="372"/>
      <c r="X433" s="372"/>
      <c r="Y433" s="372"/>
      <c r="Z433" s="372"/>
    </row>
    <row r="434">
      <c r="A434" s="372"/>
      <c r="B434" s="372"/>
      <c r="C434" s="372"/>
      <c r="D434" s="372"/>
      <c r="E434" s="372"/>
      <c r="F434" s="372"/>
      <c r="G434" s="372"/>
      <c r="H434" s="372"/>
      <c r="I434" s="372"/>
      <c r="J434" s="372"/>
      <c r="K434" s="372"/>
      <c r="L434" s="372"/>
      <c r="M434" s="372"/>
      <c r="N434" s="372"/>
      <c r="O434" s="372"/>
      <c r="P434" s="372"/>
      <c r="Q434" s="372"/>
      <c r="R434" s="372"/>
      <c r="S434" s="372"/>
      <c r="T434" s="372"/>
      <c r="U434" s="372"/>
      <c r="V434" s="372"/>
      <c r="W434" s="372"/>
      <c r="X434" s="372"/>
      <c r="Y434" s="372"/>
      <c r="Z434" s="372"/>
    </row>
    <row r="435">
      <c r="A435" s="372"/>
      <c r="B435" s="372"/>
      <c r="C435" s="372"/>
      <c r="D435" s="372"/>
      <c r="E435" s="372"/>
      <c r="F435" s="372"/>
      <c r="G435" s="372"/>
      <c r="H435" s="372"/>
      <c r="I435" s="372"/>
      <c r="J435" s="372"/>
      <c r="K435" s="372"/>
      <c r="L435" s="372"/>
      <c r="M435" s="372"/>
      <c r="N435" s="372"/>
      <c r="O435" s="372"/>
      <c r="P435" s="372"/>
      <c r="Q435" s="372"/>
      <c r="R435" s="372"/>
      <c r="S435" s="372"/>
      <c r="T435" s="372"/>
      <c r="U435" s="372"/>
      <c r="V435" s="372"/>
      <c r="W435" s="372"/>
      <c r="X435" s="372"/>
      <c r="Y435" s="372"/>
      <c r="Z435" s="372"/>
    </row>
    <row r="436">
      <c r="A436" s="372"/>
      <c r="B436" s="372"/>
      <c r="C436" s="372"/>
      <c r="D436" s="372"/>
      <c r="E436" s="372"/>
      <c r="F436" s="372"/>
      <c r="G436" s="372"/>
      <c r="H436" s="372"/>
      <c r="I436" s="372"/>
      <c r="J436" s="372"/>
      <c r="K436" s="372"/>
      <c r="L436" s="372"/>
      <c r="M436" s="372"/>
      <c r="N436" s="372"/>
      <c r="O436" s="372"/>
      <c r="P436" s="372"/>
      <c r="Q436" s="372"/>
      <c r="R436" s="372"/>
      <c r="S436" s="372"/>
      <c r="T436" s="372"/>
      <c r="U436" s="372"/>
      <c r="V436" s="372"/>
      <c r="W436" s="372"/>
      <c r="X436" s="372"/>
      <c r="Y436" s="372"/>
      <c r="Z436" s="372"/>
    </row>
    <row r="437">
      <c r="A437" s="372"/>
      <c r="B437" s="372"/>
      <c r="C437" s="372"/>
      <c r="D437" s="372"/>
      <c r="E437" s="372"/>
      <c r="F437" s="372"/>
      <c r="G437" s="372"/>
      <c r="H437" s="372"/>
      <c r="I437" s="372"/>
      <c r="J437" s="372"/>
      <c r="K437" s="372"/>
      <c r="L437" s="372"/>
      <c r="M437" s="372"/>
      <c r="N437" s="372"/>
      <c r="O437" s="372"/>
      <c r="P437" s="372"/>
      <c r="Q437" s="372"/>
      <c r="R437" s="372"/>
      <c r="S437" s="372"/>
      <c r="T437" s="372"/>
      <c r="U437" s="372"/>
      <c r="V437" s="372"/>
      <c r="W437" s="372"/>
      <c r="X437" s="372"/>
      <c r="Y437" s="372"/>
      <c r="Z437" s="372"/>
    </row>
    <row r="438">
      <c r="A438" s="372"/>
      <c r="B438" s="372"/>
      <c r="C438" s="372"/>
      <c r="D438" s="372"/>
      <c r="E438" s="372"/>
      <c r="F438" s="372"/>
      <c r="G438" s="372"/>
      <c r="H438" s="372"/>
      <c r="I438" s="372"/>
      <c r="J438" s="372"/>
      <c r="K438" s="372"/>
      <c r="L438" s="372"/>
      <c r="M438" s="372"/>
      <c r="N438" s="372"/>
      <c r="O438" s="372"/>
      <c r="P438" s="372"/>
      <c r="Q438" s="372"/>
      <c r="R438" s="372"/>
      <c r="S438" s="372"/>
      <c r="T438" s="372"/>
      <c r="U438" s="372"/>
      <c r="V438" s="372"/>
      <c r="W438" s="372"/>
      <c r="X438" s="372"/>
      <c r="Y438" s="372"/>
      <c r="Z438" s="372"/>
    </row>
    <row r="439">
      <c r="A439" s="372"/>
      <c r="B439" s="372"/>
      <c r="C439" s="372"/>
      <c r="D439" s="372"/>
      <c r="E439" s="372"/>
      <c r="F439" s="372"/>
      <c r="G439" s="372"/>
      <c r="H439" s="372"/>
      <c r="I439" s="372"/>
      <c r="J439" s="372"/>
      <c r="K439" s="372"/>
      <c r="L439" s="372"/>
      <c r="M439" s="372"/>
      <c r="N439" s="372"/>
      <c r="O439" s="372"/>
      <c r="P439" s="372"/>
      <c r="Q439" s="372"/>
      <c r="R439" s="372"/>
      <c r="S439" s="372"/>
      <c r="T439" s="372"/>
      <c r="U439" s="372"/>
      <c r="V439" s="372"/>
      <c r="W439" s="372"/>
      <c r="X439" s="372"/>
      <c r="Y439" s="372"/>
      <c r="Z439" s="372"/>
    </row>
    <row r="440">
      <c r="A440" s="372"/>
      <c r="B440" s="372"/>
      <c r="C440" s="372"/>
      <c r="D440" s="372"/>
      <c r="E440" s="372"/>
      <c r="F440" s="372"/>
      <c r="G440" s="372"/>
      <c r="H440" s="372"/>
      <c r="I440" s="372"/>
      <c r="J440" s="372"/>
      <c r="K440" s="372"/>
      <c r="L440" s="372"/>
      <c r="M440" s="372"/>
      <c r="N440" s="372"/>
      <c r="O440" s="372"/>
      <c r="P440" s="372"/>
      <c r="Q440" s="372"/>
      <c r="R440" s="372"/>
      <c r="S440" s="372"/>
      <c r="T440" s="372"/>
      <c r="U440" s="372"/>
      <c r="V440" s="372"/>
      <c r="W440" s="372"/>
      <c r="X440" s="372"/>
      <c r="Y440" s="372"/>
      <c r="Z440" s="372"/>
    </row>
    <row r="441">
      <c r="A441" s="372"/>
      <c r="B441" s="372"/>
      <c r="C441" s="372"/>
      <c r="D441" s="372"/>
      <c r="E441" s="372"/>
      <c r="F441" s="372"/>
      <c r="G441" s="372"/>
      <c r="H441" s="372"/>
      <c r="I441" s="372"/>
      <c r="J441" s="372"/>
      <c r="K441" s="372"/>
      <c r="L441" s="372"/>
      <c r="M441" s="372"/>
      <c r="N441" s="372"/>
      <c r="O441" s="372"/>
      <c r="P441" s="372"/>
      <c r="Q441" s="372"/>
      <c r="R441" s="372"/>
      <c r="S441" s="372"/>
      <c r="T441" s="372"/>
      <c r="U441" s="372"/>
      <c r="V441" s="372"/>
      <c r="W441" s="372"/>
      <c r="X441" s="372"/>
      <c r="Y441" s="372"/>
      <c r="Z441" s="372"/>
    </row>
    <row r="442">
      <c r="A442" s="372"/>
      <c r="B442" s="372"/>
      <c r="C442" s="372"/>
      <c r="D442" s="372"/>
      <c r="E442" s="372"/>
      <c r="F442" s="372"/>
      <c r="G442" s="372"/>
      <c r="H442" s="372"/>
      <c r="I442" s="372"/>
      <c r="J442" s="372"/>
      <c r="K442" s="372"/>
      <c r="L442" s="372"/>
      <c r="M442" s="372"/>
      <c r="N442" s="372"/>
      <c r="O442" s="372"/>
      <c r="P442" s="372"/>
      <c r="Q442" s="372"/>
      <c r="R442" s="372"/>
      <c r="S442" s="372"/>
      <c r="T442" s="372"/>
      <c r="U442" s="372"/>
      <c r="V442" s="372"/>
      <c r="W442" s="372"/>
      <c r="X442" s="372"/>
      <c r="Y442" s="372"/>
      <c r="Z442" s="372"/>
    </row>
    <row r="443">
      <c r="A443" s="372"/>
      <c r="B443" s="372"/>
      <c r="C443" s="372"/>
      <c r="D443" s="372"/>
      <c r="E443" s="372"/>
      <c r="F443" s="372"/>
      <c r="G443" s="372"/>
      <c r="H443" s="372"/>
      <c r="I443" s="372"/>
      <c r="J443" s="372"/>
      <c r="K443" s="372"/>
      <c r="L443" s="372"/>
      <c r="M443" s="372"/>
      <c r="N443" s="372"/>
      <c r="O443" s="372"/>
      <c r="P443" s="372"/>
      <c r="Q443" s="372"/>
      <c r="R443" s="372"/>
      <c r="S443" s="372"/>
      <c r="T443" s="372"/>
      <c r="U443" s="372"/>
      <c r="V443" s="372"/>
      <c r="W443" s="372"/>
      <c r="X443" s="372"/>
      <c r="Y443" s="372"/>
      <c r="Z443" s="372"/>
    </row>
    <row r="444">
      <c r="A444" s="372"/>
      <c r="B444" s="372"/>
      <c r="C444" s="372"/>
      <c r="D444" s="372"/>
      <c r="E444" s="372"/>
      <c r="F444" s="372"/>
      <c r="G444" s="372"/>
      <c r="H444" s="372"/>
      <c r="I444" s="372"/>
      <c r="J444" s="372"/>
      <c r="K444" s="372"/>
      <c r="L444" s="372"/>
      <c r="M444" s="372"/>
      <c r="N444" s="372"/>
      <c r="O444" s="372"/>
      <c r="P444" s="372"/>
      <c r="Q444" s="372"/>
      <c r="R444" s="372"/>
      <c r="S444" s="372"/>
      <c r="T444" s="372"/>
      <c r="U444" s="372"/>
      <c r="V444" s="372"/>
      <c r="W444" s="372"/>
      <c r="X444" s="372"/>
      <c r="Y444" s="372"/>
      <c r="Z444" s="372"/>
    </row>
    <row r="445">
      <c r="A445" s="372"/>
      <c r="B445" s="372"/>
      <c r="C445" s="372"/>
      <c r="D445" s="372"/>
      <c r="E445" s="372"/>
      <c r="F445" s="372"/>
      <c r="G445" s="372"/>
      <c r="H445" s="372"/>
      <c r="I445" s="372"/>
      <c r="J445" s="372"/>
      <c r="K445" s="372"/>
      <c r="L445" s="372"/>
      <c r="M445" s="372"/>
      <c r="N445" s="372"/>
      <c r="O445" s="372"/>
      <c r="P445" s="372"/>
      <c r="Q445" s="372"/>
      <c r="R445" s="372"/>
      <c r="S445" s="372"/>
      <c r="T445" s="372"/>
      <c r="U445" s="372"/>
      <c r="V445" s="372"/>
      <c r="W445" s="372"/>
      <c r="X445" s="372"/>
      <c r="Y445" s="372"/>
      <c r="Z445" s="372"/>
    </row>
    <row r="446">
      <c r="A446" s="372"/>
      <c r="B446" s="372"/>
      <c r="C446" s="372"/>
      <c r="D446" s="372"/>
      <c r="E446" s="372"/>
      <c r="F446" s="372"/>
      <c r="G446" s="372"/>
      <c r="H446" s="372"/>
      <c r="I446" s="372"/>
      <c r="J446" s="372"/>
      <c r="K446" s="372"/>
      <c r="L446" s="372"/>
      <c r="M446" s="372"/>
      <c r="N446" s="372"/>
      <c r="O446" s="372"/>
      <c r="P446" s="372"/>
      <c r="Q446" s="372"/>
      <c r="R446" s="372"/>
      <c r="S446" s="372"/>
      <c r="T446" s="372"/>
      <c r="U446" s="372"/>
      <c r="V446" s="372"/>
      <c r="W446" s="372"/>
      <c r="X446" s="372"/>
      <c r="Y446" s="372"/>
      <c r="Z446" s="372"/>
    </row>
    <row r="447">
      <c r="A447" s="372"/>
      <c r="B447" s="372"/>
      <c r="C447" s="372"/>
      <c r="D447" s="372"/>
      <c r="E447" s="372"/>
      <c r="F447" s="372"/>
      <c r="G447" s="372"/>
      <c r="H447" s="372"/>
      <c r="I447" s="372"/>
      <c r="J447" s="372"/>
      <c r="K447" s="372"/>
      <c r="L447" s="372"/>
      <c r="M447" s="372"/>
      <c r="N447" s="372"/>
      <c r="O447" s="372"/>
      <c r="P447" s="372"/>
      <c r="Q447" s="372"/>
      <c r="R447" s="372"/>
      <c r="S447" s="372"/>
      <c r="T447" s="372"/>
      <c r="U447" s="372"/>
      <c r="V447" s="372"/>
      <c r="W447" s="372"/>
      <c r="X447" s="372"/>
      <c r="Y447" s="372"/>
      <c r="Z447" s="372"/>
    </row>
    <row r="448">
      <c r="A448" s="372"/>
      <c r="B448" s="372"/>
      <c r="C448" s="372"/>
      <c r="D448" s="372"/>
      <c r="E448" s="372"/>
      <c r="F448" s="372"/>
      <c r="G448" s="372"/>
      <c r="H448" s="372"/>
      <c r="I448" s="372"/>
      <c r="J448" s="372"/>
      <c r="K448" s="372"/>
      <c r="L448" s="372"/>
      <c r="M448" s="372"/>
      <c r="N448" s="372"/>
      <c r="O448" s="372"/>
      <c r="P448" s="372"/>
      <c r="Q448" s="372"/>
      <c r="R448" s="372"/>
      <c r="S448" s="372"/>
      <c r="T448" s="372"/>
      <c r="U448" s="372"/>
      <c r="V448" s="372"/>
      <c r="W448" s="372"/>
      <c r="X448" s="372"/>
      <c r="Y448" s="372"/>
      <c r="Z448" s="372"/>
    </row>
    <row r="449">
      <c r="A449" s="372"/>
      <c r="B449" s="372"/>
      <c r="C449" s="372"/>
      <c r="D449" s="372"/>
      <c r="E449" s="372"/>
      <c r="F449" s="372"/>
      <c r="G449" s="372"/>
      <c r="H449" s="372"/>
      <c r="I449" s="372"/>
      <c r="J449" s="372"/>
      <c r="K449" s="372"/>
      <c r="L449" s="372"/>
      <c r="M449" s="372"/>
      <c r="N449" s="372"/>
      <c r="O449" s="372"/>
      <c r="P449" s="372"/>
      <c r="Q449" s="372"/>
      <c r="R449" s="372"/>
      <c r="S449" s="372"/>
      <c r="T449" s="372"/>
      <c r="U449" s="372"/>
      <c r="V449" s="372"/>
      <c r="W449" s="372"/>
      <c r="X449" s="372"/>
      <c r="Y449" s="372"/>
      <c r="Z449" s="372"/>
    </row>
    <row r="450">
      <c r="A450" s="372"/>
      <c r="B450" s="372"/>
      <c r="C450" s="372"/>
      <c r="D450" s="372"/>
      <c r="E450" s="372"/>
      <c r="F450" s="372"/>
      <c r="G450" s="372"/>
      <c r="H450" s="372"/>
      <c r="I450" s="372"/>
      <c r="J450" s="372"/>
      <c r="K450" s="372"/>
      <c r="L450" s="372"/>
      <c r="M450" s="372"/>
      <c r="N450" s="372"/>
      <c r="O450" s="372"/>
      <c r="P450" s="372"/>
      <c r="Q450" s="372"/>
      <c r="R450" s="372"/>
      <c r="S450" s="372"/>
      <c r="T450" s="372"/>
      <c r="U450" s="372"/>
      <c r="V450" s="372"/>
      <c r="W450" s="372"/>
      <c r="X450" s="372"/>
      <c r="Y450" s="372"/>
      <c r="Z450" s="372"/>
    </row>
    <row r="451">
      <c r="A451" s="372"/>
      <c r="B451" s="372"/>
      <c r="C451" s="372"/>
      <c r="D451" s="372"/>
      <c r="E451" s="372"/>
      <c r="F451" s="372"/>
      <c r="G451" s="372"/>
      <c r="H451" s="372"/>
      <c r="I451" s="372"/>
      <c r="J451" s="372"/>
      <c r="K451" s="372"/>
      <c r="L451" s="372"/>
      <c r="M451" s="372"/>
      <c r="N451" s="372"/>
      <c r="O451" s="372"/>
      <c r="P451" s="372"/>
      <c r="Q451" s="372"/>
      <c r="R451" s="372"/>
      <c r="S451" s="372"/>
      <c r="T451" s="372"/>
      <c r="U451" s="372"/>
      <c r="V451" s="372"/>
      <c r="W451" s="372"/>
      <c r="X451" s="372"/>
      <c r="Y451" s="372"/>
      <c r="Z451" s="372"/>
    </row>
    <row r="452">
      <c r="A452" s="372"/>
      <c r="B452" s="372"/>
      <c r="C452" s="372"/>
      <c r="D452" s="372"/>
      <c r="E452" s="372"/>
      <c r="F452" s="372"/>
      <c r="G452" s="372"/>
      <c r="H452" s="372"/>
      <c r="I452" s="372"/>
      <c r="J452" s="372"/>
      <c r="K452" s="372"/>
      <c r="L452" s="372"/>
      <c r="M452" s="372"/>
      <c r="N452" s="372"/>
      <c r="O452" s="372"/>
      <c r="P452" s="372"/>
      <c r="Q452" s="372"/>
      <c r="R452" s="372"/>
      <c r="S452" s="372"/>
      <c r="T452" s="372"/>
      <c r="U452" s="372"/>
      <c r="V452" s="372"/>
      <c r="W452" s="372"/>
      <c r="X452" s="372"/>
      <c r="Y452" s="372"/>
      <c r="Z452" s="372"/>
    </row>
    <row r="453">
      <c r="A453" s="372"/>
      <c r="B453" s="372"/>
      <c r="C453" s="372"/>
      <c r="D453" s="372"/>
      <c r="E453" s="372"/>
      <c r="F453" s="372"/>
      <c r="G453" s="372"/>
      <c r="H453" s="372"/>
      <c r="I453" s="372"/>
      <c r="J453" s="372"/>
      <c r="K453" s="372"/>
      <c r="L453" s="372"/>
      <c r="M453" s="372"/>
      <c r="N453" s="372"/>
      <c r="O453" s="372"/>
      <c r="P453" s="372"/>
      <c r="Q453" s="372"/>
      <c r="R453" s="372"/>
      <c r="S453" s="372"/>
      <c r="T453" s="372"/>
      <c r="U453" s="372"/>
      <c r="V453" s="372"/>
      <c r="W453" s="372"/>
      <c r="X453" s="372"/>
      <c r="Y453" s="372"/>
      <c r="Z453" s="372"/>
    </row>
    <row r="454">
      <c r="A454" s="372"/>
      <c r="B454" s="372"/>
      <c r="C454" s="372"/>
      <c r="D454" s="372"/>
      <c r="E454" s="372"/>
      <c r="F454" s="372"/>
      <c r="G454" s="372"/>
      <c r="H454" s="372"/>
      <c r="I454" s="372"/>
      <c r="J454" s="372"/>
      <c r="K454" s="372"/>
      <c r="L454" s="372"/>
      <c r="M454" s="372"/>
      <c r="N454" s="372"/>
      <c r="O454" s="372"/>
      <c r="P454" s="372"/>
      <c r="Q454" s="372"/>
      <c r="R454" s="372"/>
      <c r="S454" s="372"/>
      <c r="T454" s="372"/>
      <c r="U454" s="372"/>
      <c r="V454" s="372"/>
      <c r="W454" s="372"/>
      <c r="X454" s="372"/>
      <c r="Y454" s="372"/>
      <c r="Z454" s="372"/>
    </row>
    <row r="455">
      <c r="A455" s="372"/>
      <c r="B455" s="372"/>
      <c r="C455" s="372"/>
      <c r="D455" s="372"/>
      <c r="E455" s="372"/>
      <c r="F455" s="372"/>
      <c r="G455" s="372"/>
      <c r="H455" s="372"/>
      <c r="I455" s="372"/>
      <c r="J455" s="372"/>
      <c r="K455" s="372"/>
      <c r="L455" s="372"/>
      <c r="M455" s="372"/>
      <c r="N455" s="372"/>
      <c r="O455" s="372"/>
      <c r="P455" s="372"/>
      <c r="Q455" s="372"/>
      <c r="R455" s="372"/>
      <c r="S455" s="372"/>
      <c r="T455" s="372"/>
      <c r="U455" s="372"/>
      <c r="V455" s="372"/>
      <c r="W455" s="372"/>
      <c r="X455" s="372"/>
      <c r="Y455" s="372"/>
      <c r="Z455" s="372"/>
    </row>
    <row r="456">
      <c r="A456" s="372"/>
      <c r="B456" s="372"/>
      <c r="C456" s="372"/>
      <c r="D456" s="372"/>
      <c r="E456" s="372"/>
      <c r="F456" s="372"/>
      <c r="G456" s="372"/>
      <c r="H456" s="372"/>
      <c r="I456" s="372"/>
      <c r="J456" s="372"/>
      <c r="K456" s="372"/>
      <c r="L456" s="372"/>
      <c r="M456" s="372"/>
      <c r="N456" s="372"/>
      <c r="O456" s="372"/>
      <c r="P456" s="372"/>
      <c r="Q456" s="372"/>
      <c r="R456" s="372"/>
      <c r="S456" s="372"/>
      <c r="T456" s="372"/>
      <c r="U456" s="372"/>
      <c r="V456" s="372"/>
      <c r="W456" s="372"/>
      <c r="X456" s="372"/>
      <c r="Y456" s="372"/>
      <c r="Z456" s="372"/>
    </row>
    <row r="457">
      <c r="A457" s="372"/>
      <c r="B457" s="372"/>
      <c r="C457" s="372"/>
      <c r="D457" s="372"/>
      <c r="E457" s="372"/>
      <c r="F457" s="372"/>
      <c r="G457" s="372"/>
      <c r="H457" s="372"/>
      <c r="I457" s="372"/>
      <c r="J457" s="372"/>
      <c r="K457" s="372"/>
      <c r="L457" s="372"/>
      <c r="M457" s="372"/>
      <c r="N457" s="372"/>
      <c r="O457" s="372"/>
      <c r="P457" s="372"/>
      <c r="Q457" s="372"/>
      <c r="R457" s="372"/>
      <c r="S457" s="372"/>
      <c r="T457" s="372"/>
      <c r="U457" s="372"/>
      <c r="V457" s="372"/>
      <c r="W457" s="372"/>
      <c r="X457" s="372"/>
      <c r="Y457" s="372"/>
      <c r="Z457" s="372"/>
    </row>
    <row r="458">
      <c r="A458" s="372"/>
      <c r="B458" s="372"/>
      <c r="C458" s="372"/>
      <c r="D458" s="372"/>
      <c r="E458" s="372"/>
      <c r="F458" s="372"/>
      <c r="G458" s="372"/>
      <c r="H458" s="372"/>
      <c r="I458" s="372"/>
      <c r="J458" s="372"/>
      <c r="K458" s="372"/>
      <c r="L458" s="372"/>
      <c r="M458" s="372"/>
      <c r="N458" s="372"/>
      <c r="O458" s="372"/>
      <c r="P458" s="372"/>
      <c r="Q458" s="372"/>
      <c r="R458" s="372"/>
      <c r="S458" s="372"/>
      <c r="T458" s="372"/>
      <c r="U458" s="372"/>
      <c r="V458" s="372"/>
      <c r="W458" s="372"/>
      <c r="X458" s="372"/>
      <c r="Y458" s="372"/>
      <c r="Z458" s="372"/>
    </row>
    <row r="459">
      <c r="A459" s="372"/>
      <c r="B459" s="372"/>
      <c r="C459" s="372"/>
      <c r="D459" s="372"/>
      <c r="E459" s="372"/>
      <c r="F459" s="372"/>
      <c r="G459" s="372"/>
      <c r="H459" s="372"/>
      <c r="I459" s="372"/>
      <c r="J459" s="372"/>
      <c r="K459" s="372"/>
      <c r="L459" s="372"/>
      <c r="M459" s="372"/>
      <c r="N459" s="372"/>
      <c r="O459" s="372"/>
      <c r="P459" s="372"/>
      <c r="Q459" s="372"/>
      <c r="R459" s="372"/>
      <c r="S459" s="372"/>
      <c r="T459" s="372"/>
      <c r="U459" s="372"/>
      <c r="V459" s="372"/>
      <c r="W459" s="372"/>
      <c r="X459" s="372"/>
      <c r="Y459" s="372"/>
      <c r="Z459" s="372"/>
    </row>
    <row r="460">
      <c r="A460" s="372"/>
      <c r="B460" s="372"/>
      <c r="C460" s="372"/>
      <c r="D460" s="372"/>
      <c r="E460" s="372"/>
      <c r="F460" s="372"/>
      <c r="G460" s="372"/>
      <c r="H460" s="372"/>
      <c r="I460" s="372"/>
      <c r="J460" s="372"/>
      <c r="K460" s="372"/>
      <c r="L460" s="372"/>
      <c r="M460" s="372"/>
      <c r="N460" s="372"/>
      <c r="O460" s="372"/>
      <c r="P460" s="372"/>
      <c r="Q460" s="372"/>
      <c r="R460" s="372"/>
      <c r="S460" s="372"/>
      <c r="T460" s="372"/>
      <c r="U460" s="372"/>
      <c r="V460" s="372"/>
      <c r="W460" s="372"/>
      <c r="X460" s="372"/>
      <c r="Y460" s="372"/>
      <c r="Z460" s="372"/>
    </row>
    <row r="461">
      <c r="A461" s="372"/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  <c r="T461" s="372"/>
      <c r="U461" s="372"/>
      <c r="V461" s="372"/>
      <c r="W461" s="372"/>
      <c r="X461" s="372"/>
      <c r="Y461" s="372"/>
      <c r="Z461" s="372"/>
    </row>
    <row r="462">
      <c r="A462" s="372"/>
      <c r="B462" s="372"/>
      <c r="C462" s="372"/>
      <c r="D462" s="372"/>
      <c r="E462" s="372"/>
      <c r="F462" s="372"/>
      <c r="G462" s="372"/>
      <c r="H462" s="372"/>
      <c r="I462" s="372"/>
      <c r="J462" s="372"/>
      <c r="K462" s="372"/>
      <c r="L462" s="372"/>
      <c r="M462" s="372"/>
      <c r="N462" s="372"/>
      <c r="O462" s="372"/>
      <c r="P462" s="372"/>
      <c r="Q462" s="372"/>
      <c r="R462" s="372"/>
      <c r="S462" s="372"/>
      <c r="T462" s="372"/>
      <c r="U462" s="372"/>
      <c r="V462" s="372"/>
      <c r="W462" s="372"/>
      <c r="X462" s="372"/>
      <c r="Y462" s="372"/>
      <c r="Z462" s="372"/>
    </row>
    <row r="463">
      <c r="A463" s="372"/>
      <c r="B463" s="372"/>
      <c r="C463" s="372"/>
      <c r="D463" s="372"/>
      <c r="E463" s="372"/>
      <c r="F463" s="372"/>
      <c r="G463" s="372"/>
      <c r="H463" s="372"/>
      <c r="I463" s="372"/>
      <c r="J463" s="372"/>
      <c r="K463" s="372"/>
      <c r="L463" s="372"/>
      <c r="M463" s="372"/>
      <c r="N463" s="372"/>
      <c r="O463" s="372"/>
      <c r="P463" s="372"/>
      <c r="Q463" s="372"/>
      <c r="R463" s="372"/>
      <c r="S463" s="372"/>
      <c r="T463" s="372"/>
      <c r="U463" s="372"/>
      <c r="V463" s="372"/>
      <c r="W463" s="372"/>
      <c r="X463" s="372"/>
      <c r="Y463" s="372"/>
      <c r="Z463" s="372"/>
    </row>
    <row r="464">
      <c r="A464" s="372"/>
      <c r="B464" s="372"/>
      <c r="C464" s="372"/>
      <c r="D464" s="372"/>
      <c r="E464" s="372"/>
      <c r="F464" s="372"/>
      <c r="G464" s="372"/>
      <c r="H464" s="372"/>
      <c r="I464" s="372"/>
      <c r="J464" s="372"/>
      <c r="K464" s="372"/>
      <c r="L464" s="372"/>
      <c r="M464" s="372"/>
      <c r="N464" s="372"/>
      <c r="O464" s="372"/>
      <c r="P464" s="372"/>
      <c r="Q464" s="372"/>
      <c r="R464" s="372"/>
      <c r="S464" s="372"/>
      <c r="T464" s="372"/>
      <c r="U464" s="372"/>
      <c r="V464" s="372"/>
      <c r="W464" s="372"/>
      <c r="X464" s="372"/>
      <c r="Y464" s="372"/>
      <c r="Z464" s="372"/>
    </row>
    <row r="465">
      <c r="A465" s="372"/>
      <c r="B465" s="372"/>
      <c r="C465" s="372"/>
      <c r="D465" s="372"/>
      <c r="E465" s="372"/>
      <c r="F465" s="372"/>
      <c r="G465" s="372"/>
      <c r="H465" s="372"/>
      <c r="I465" s="372"/>
      <c r="J465" s="372"/>
      <c r="K465" s="372"/>
      <c r="L465" s="372"/>
      <c r="M465" s="372"/>
      <c r="N465" s="372"/>
      <c r="O465" s="372"/>
      <c r="P465" s="372"/>
      <c r="Q465" s="372"/>
      <c r="R465" s="372"/>
      <c r="S465" s="372"/>
      <c r="T465" s="372"/>
      <c r="U465" s="372"/>
      <c r="V465" s="372"/>
      <c r="W465" s="372"/>
      <c r="X465" s="372"/>
      <c r="Y465" s="372"/>
      <c r="Z465" s="372"/>
    </row>
    <row r="466">
      <c r="A466" s="372"/>
      <c r="B466" s="372"/>
      <c r="C466" s="372"/>
      <c r="D466" s="372"/>
      <c r="E466" s="372"/>
      <c r="F466" s="372"/>
      <c r="G466" s="372"/>
      <c r="H466" s="372"/>
      <c r="I466" s="372"/>
      <c r="J466" s="372"/>
      <c r="K466" s="372"/>
      <c r="L466" s="372"/>
      <c r="M466" s="372"/>
      <c r="N466" s="372"/>
      <c r="O466" s="372"/>
      <c r="P466" s="372"/>
      <c r="Q466" s="372"/>
      <c r="R466" s="372"/>
      <c r="S466" s="372"/>
      <c r="T466" s="372"/>
      <c r="U466" s="372"/>
      <c r="V466" s="372"/>
      <c r="W466" s="372"/>
      <c r="X466" s="372"/>
      <c r="Y466" s="372"/>
      <c r="Z466" s="372"/>
    </row>
    <row r="467">
      <c r="A467" s="372"/>
      <c r="B467" s="372"/>
      <c r="C467" s="372"/>
      <c r="D467" s="372"/>
      <c r="E467" s="372"/>
      <c r="F467" s="372"/>
      <c r="G467" s="372"/>
      <c r="H467" s="372"/>
      <c r="I467" s="372"/>
      <c r="J467" s="372"/>
      <c r="K467" s="372"/>
      <c r="L467" s="372"/>
      <c r="M467" s="372"/>
      <c r="N467" s="372"/>
      <c r="O467" s="372"/>
      <c r="P467" s="372"/>
      <c r="Q467" s="372"/>
      <c r="R467" s="372"/>
      <c r="S467" s="372"/>
      <c r="T467" s="372"/>
      <c r="U467" s="372"/>
      <c r="V467" s="372"/>
      <c r="W467" s="372"/>
      <c r="X467" s="372"/>
      <c r="Y467" s="372"/>
      <c r="Z467" s="372"/>
    </row>
    <row r="468">
      <c r="A468" s="372"/>
      <c r="B468" s="372"/>
      <c r="C468" s="372"/>
      <c r="D468" s="372"/>
      <c r="E468" s="372"/>
      <c r="F468" s="372"/>
      <c r="G468" s="372"/>
      <c r="H468" s="372"/>
      <c r="I468" s="372"/>
      <c r="J468" s="372"/>
      <c r="K468" s="372"/>
      <c r="L468" s="372"/>
      <c r="M468" s="372"/>
      <c r="N468" s="372"/>
      <c r="O468" s="372"/>
      <c r="P468" s="372"/>
      <c r="Q468" s="372"/>
      <c r="R468" s="372"/>
      <c r="S468" s="372"/>
      <c r="T468" s="372"/>
      <c r="U468" s="372"/>
      <c r="V468" s="372"/>
      <c r="W468" s="372"/>
      <c r="X468" s="372"/>
      <c r="Y468" s="372"/>
      <c r="Z468" s="372"/>
    </row>
    <row r="469">
      <c r="A469" s="372"/>
      <c r="B469" s="372"/>
      <c r="C469" s="372"/>
      <c r="D469" s="372"/>
      <c r="E469" s="372"/>
      <c r="F469" s="372"/>
      <c r="G469" s="372"/>
      <c r="H469" s="372"/>
      <c r="I469" s="372"/>
      <c r="J469" s="372"/>
      <c r="K469" s="372"/>
      <c r="L469" s="372"/>
      <c r="M469" s="372"/>
      <c r="N469" s="372"/>
      <c r="O469" s="372"/>
      <c r="P469" s="372"/>
      <c r="Q469" s="372"/>
      <c r="R469" s="372"/>
      <c r="S469" s="372"/>
      <c r="T469" s="372"/>
      <c r="U469" s="372"/>
      <c r="V469" s="372"/>
      <c r="W469" s="372"/>
      <c r="X469" s="372"/>
      <c r="Y469" s="372"/>
      <c r="Z469" s="372"/>
    </row>
    <row r="470">
      <c r="A470" s="372"/>
      <c r="B470" s="372"/>
      <c r="C470" s="372"/>
      <c r="D470" s="372"/>
      <c r="E470" s="372"/>
      <c r="F470" s="372"/>
      <c r="G470" s="372"/>
      <c r="H470" s="372"/>
      <c r="I470" s="372"/>
      <c r="J470" s="372"/>
      <c r="K470" s="372"/>
      <c r="L470" s="372"/>
      <c r="M470" s="372"/>
      <c r="N470" s="372"/>
      <c r="O470" s="372"/>
      <c r="P470" s="372"/>
      <c r="Q470" s="372"/>
      <c r="R470" s="372"/>
      <c r="S470" s="372"/>
      <c r="T470" s="372"/>
      <c r="U470" s="372"/>
      <c r="V470" s="372"/>
      <c r="W470" s="372"/>
      <c r="X470" s="372"/>
      <c r="Y470" s="372"/>
      <c r="Z470" s="372"/>
    </row>
    <row r="471">
      <c r="A471" s="372"/>
      <c r="B471" s="372"/>
      <c r="C471" s="372"/>
      <c r="D471" s="372"/>
      <c r="E471" s="372"/>
      <c r="F471" s="372"/>
      <c r="G471" s="372"/>
      <c r="H471" s="372"/>
      <c r="I471" s="372"/>
      <c r="J471" s="372"/>
      <c r="K471" s="372"/>
      <c r="L471" s="372"/>
      <c r="M471" s="372"/>
      <c r="N471" s="372"/>
      <c r="O471" s="372"/>
      <c r="P471" s="372"/>
      <c r="Q471" s="372"/>
      <c r="R471" s="372"/>
      <c r="S471" s="372"/>
      <c r="T471" s="372"/>
      <c r="U471" s="372"/>
      <c r="V471" s="372"/>
      <c r="W471" s="372"/>
      <c r="X471" s="372"/>
      <c r="Y471" s="372"/>
      <c r="Z471" s="372"/>
    </row>
    <row r="472">
      <c r="A472" s="372"/>
      <c r="B472" s="372"/>
      <c r="C472" s="372"/>
      <c r="D472" s="372"/>
      <c r="E472" s="372"/>
      <c r="F472" s="372"/>
      <c r="G472" s="372"/>
      <c r="H472" s="372"/>
      <c r="I472" s="372"/>
      <c r="J472" s="372"/>
      <c r="K472" s="372"/>
      <c r="L472" s="372"/>
      <c r="M472" s="372"/>
      <c r="N472" s="372"/>
      <c r="O472" s="372"/>
      <c r="P472" s="372"/>
      <c r="Q472" s="372"/>
      <c r="R472" s="372"/>
      <c r="S472" s="372"/>
      <c r="T472" s="372"/>
      <c r="U472" s="372"/>
      <c r="V472" s="372"/>
      <c r="W472" s="372"/>
      <c r="X472" s="372"/>
      <c r="Y472" s="372"/>
      <c r="Z472" s="372"/>
    </row>
    <row r="473">
      <c r="A473" s="372"/>
      <c r="B473" s="372"/>
      <c r="C473" s="372"/>
      <c r="D473" s="372"/>
      <c r="E473" s="372"/>
      <c r="F473" s="372"/>
      <c r="G473" s="372"/>
      <c r="H473" s="372"/>
      <c r="I473" s="372"/>
      <c r="J473" s="372"/>
      <c r="K473" s="372"/>
      <c r="L473" s="372"/>
      <c r="M473" s="372"/>
      <c r="N473" s="372"/>
      <c r="O473" s="372"/>
      <c r="P473" s="372"/>
      <c r="Q473" s="372"/>
      <c r="R473" s="372"/>
      <c r="S473" s="372"/>
      <c r="T473" s="372"/>
      <c r="U473" s="372"/>
      <c r="V473" s="372"/>
      <c r="W473" s="372"/>
      <c r="X473" s="372"/>
      <c r="Y473" s="372"/>
      <c r="Z473" s="372"/>
    </row>
    <row r="474">
      <c r="A474" s="372"/>
      <c r="B474" s="372"/>
      <c r="C474" s="372"/>
      <c r="D474" s="372"/>
      <c r="E474" s="372"/>
      <c r="F474" s="372"/>
      <c r="G474" s="372"/>
      <c r="H474" s="372"/>
      <c r="I474" s="372"/>
      <c r="J474" s="372"/>
      <c r="K474" s="372"/>
      <c r="L474" s="372"/>
      <c r="M474" s="372"/>
      <c r="N474" s="372"/>
      <c r="O474" s="372"/>
      <c r="P474" s="372"/>
      <c r="Q474" s="372"/>
      <c r="R474" s="372"/>
      <c r="S474" s="372"/>
      <c r="T474" s="372"/>
      <c r="U474" s="372"/>
      <c r="V474" s="372"/>
      <c r="W474" s="372"/>
      <c r="X474" s="372"/>
      <c r="Y474" s="372"/>
      <c r="Z474" s="372"/>
    </row>
    <row r="475">
      <c r="A475" s="372"/>
      <c r="B475" s="372"/>
      <c r="C475" s="372"/>
      <c r="D475" s="372"/>
      <c r="E475" s="372"/>
      <c r="F475" s="372"/>
      <c r="G475" s="372"/>
      <c r="H475" s="372"/>
      <c r="I475" s="372"/>
      <c r="J475" s="372"/>
      <c r="K475" s="372"/>
      <c r="L475" s="372"/>
      <c r="M475" s="372"/>
      <c r="N475" s="372"/>
      <c r="O475" s="372"/>
      <c r="P475" s="372"/>
      <c r="Q475" s="372"/>
      <c r="R475" s="372"/>
      <c r="S475" s="372"/>
      <c r="T475" s="372"/>
      <c r="U475" s="372"/>
      <c r="V475" s="372"/>
      <c r="W475" s="372"/>
      <c r="X475" s="372"/>
      <c r="Y475" s="372"/>
      <c r="Z475" s="372"/>
    </row>
    <row r="476">
      <c r="A476" s="372"/>
      <c r="B476" s="372"/>
      <c r="C476" s="372"/>
      <c r="D476" s="372"/>
      <c r="E476" s="372"/>
      <c r="F476" s="372"/>
      <c r="G476" s="372"/>
      <c r="H476" s="372"/>
      <c r="I476" s="372"/>
      <c r="J476" s="372"/>
      <c r="K476" s="372"/>
      <c r="L476" s="372"/>
      <c r="M476" s="372"/>
      <c r="N476" s="372"/>
      <c r="O476" s="372"/>
      <c r="P476" s="372"/>
      <c r="Q476" s="372"/>
      <c r="R476" s="372"/>
      <c r="S476" s="372"/>
      <c r="T476" s="372"/>
      <c r="U476" s="372"/>
      <c r="V476" s="372"/>
      <c r="W476" s="372"/>
      <c r="X476" s="372"/>
      <c r="Y476" s="372"/>
      <c r="Z476" s="372"/>
    </row>
    <row r="477">
      <c r="A477" s="372"/>
      <c r="B477" s="372"/>
      <c r="C477" s="372"/>
      <c r="D477" s="372"/>
      <c r="E477" s="372"/>
      <c r="F477" s="372"/>
      <c r="G477" s="372"/>
      <c r="H477" s="372"/>
      <c r="I477" s="372"/>
      <c r="J477" s="372"/>
      <c r="K477" s="372"/>
      <c r="L477" s="372"/>
      <c r="M477" s="372"/>
      <c r="N477" s="372"/>
      <c r="O477" s="372"/>
      <c r="P477" s="372"/>
      <c r="Q477" s="372"/>
      <c r="R477" s="372"/>
      <c r="S477" s="372"/>
      <c r="T477" s="372"/>
      <c r="U477" s="372"/>
      <c r="V477" s="372"/>
      <c r="W477" s="372"/>
      <c r="X477" s="372"/>
      <c r="Y477" s="372"/>
      <c r="Z477" s="372"/>
    </row>
    <row r="478">
      <c r="A478" s="372"/>
      <c r="B478" s="372"/>
      <c r="C478" s="372"/>
      <c r="D478" s="372"/>
      <c r="E478" s="372"/>
      <c r="F478" s="372"/>
      <c r="G478" s="372"/>
      <c r="H478" s="372"/>
      <c r="I478" s="372"/>
      <c r="J478" s="372"/>
      <c r="K478" s="372"/>
      <c r="L478" s="372"/>
      <c r="M478" s="372"/>
      <c r="N478" s="372"/>
      <c r="O478" s="372"/>
      <c r="P478" s="372"/>
      <c r="Q478" s="372"/>
      <c r="R478" s="372"/>
      <c r="S478" s="372"/>
      <c r="T478" s="372"/>
      <c r="U478" s="372"/>
      <c r="V478" s="372"/>
      <c r="W478" s="372"/>
      <c r="X478" s="372"/>
      <c r="Y478" s="372"/>
      <c r="Z478" s="372"/>
    </row>
    <row r="479">
      <c r="A479" s="372"/>
      <c r="B479" s="372"/>
      <c r="C479" s="372"/>
      <c r="D479" s="372"/>
      <c r="E479" s="372"/>
      <c r="F479" s="372"/>
      <c r="G479" s="372"/>
      <c r="H479" s="372"/>
      <c r="I479" s="372"/>
      <c r="J479" s="372"/>
      <c r="K479" s="372"/>
      <c r="L479" s="372"/>
      <c r="M479" s="372"/>
      <c r="N479" s="372"/>
      <c r="O479" s="372"/>
      <c r="P479" s="372"/>
      <c r="Q479" s="372"/>
      <c r="R479" s="372"/>
      <c r="S479" s="372"/>
      <c r="T479" s="372"/>
      <c r="U479" s="372"/>
      <c r="V479" s="372"/>
      <c r="W479" s="372"/>
      <c r="X479" s="372"/>
      <c r="Y479" s="372"/>
      <c r="Z479" s="372"/>
    </row>
    <row r="480">
      <c r="A480" s="372"/>
      <c r="B480" s="372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  <c r="P480" s="372"/>
      <c r="Q480" s="372"/>
      <c r="R480" s="372"/>
      <c r="S480" s="372"/>
      <c r="T480" s="372"/>
      <c r="U480" s="372"/>
      <c r="V480" s="372"/>
      <c r="W480" s="372"/>
      <c r="X480" s="372"/>
      <c r="Y480" s="372"/>
      <c r="Z480" s="372"/>
    </row>
    <row r="481">
      <c r="A481" s="372"/>
      <c r="B481" s="372"/>
      <c r="C481" s="372"/>
      <c r="D481" s="372"/>
      <c r="E481" s="372"/>
      <c r="F481" s="372"/>
      <c r="G481" s="372"/>
      <c r="H481" s="372"/>
      <c r="I481" s="372"/>
      <c r="J481" s="372"/>
      <c r="K481" s="372"/>
      <c r="L481" s="372"/>
      <c r="M481" s="372"/>
      <c r="N481" s="372"/>
      <c r="O481" s="372"/>
      <c r="P481" s="372"/>
      <c r="Q481" s="372"/>
      <c r="R481" s="372"/>
      <c r="S481" s="372"/>
      <c r="T481" s="372"/>
      <c r="U481" s="372"/>
      <c r="V481" s="372"/>
      <c r="W481" s="372"/>
      <c r="X481" s="372"/>
      <c r="Y481" s="372"/>
      <c r="Z481" s="372"/>
    </row>
    <row r="482">
      <c r="A482" s="372"/>
      <c r="B482" s="372"/>
      <c r="C482" s="372"/>
      <c r="D482" s="372"/>
      <c r="E482" s="372"/>
      <c r="F482" s="372"/>
      <c r="G482" s="372"/>
      <c r="H482" s="372"/>
      <c r="I482" s="372"/>
      <c r="J482" s="372"/>
      <c r="K482" s="372"/>
      <c r="L482" s="372"/>
      <c r="M482" s="372"/>
      <c r="N482" s="372"/>
      <c r="O482" s="372"/>
      <c r="P482" s="372"/>
      <c r="Q482" s="372"/>
      <c r="R482" s="372"/>
      <c r="S482" s="372"/>
      <c r="T482" s="372"/>
      <c r="U482" s="372"/>
      <c r="V482" s="372"/>
      <c r="W482" s="372"/>
      <c r="X482" s="372"/>
      <c r="Y482" s="372"/>
      <c r="Z482" s="372"/>
    </row>
    <row r="483">
      <c r="A483" s="372"/>
      <c r="B483" s="372"/>
      <c r="C483" s="372"/>
      <c r="D483" s="372"/>
      <c r="E483" s="372"/>
      <c r="F483" s="372"/>
      <c r="G483" s="372"/>
      <c r="H483" s="372"/>
      <c r="I483" s="372"/>
      <c r="J483" s="372"/>
      <c r="K483" s="372"/>
      <c r="L483" s="372"/>
      <c r="M483" s="372"/>
      <c r="N483" s="372"/>
      <c r="O483" s="372"/>
      <c r="P483" s="372"/>
      <c r="Q483" s="372"/>
      <c r="R483" s="372"/>
      <c r="S483" s="372"/>
      <c r="T483" s="372"/>
      <c r="U483" s="372"/>
      <c r="V483" s="372"/>
      <c r="W483" s="372"/>
      <c r="X483" s="372"/>
      <c r="Y483" s="372"/>
      <c r="Z483" s="372"/>
    </row>
    <row r="484">
      <c r="A484" s="372"/>
      <c r="B484" s="372"/>
      <c r="C484" s="372"/>
      <c r="D484" s="372"/>
      <c r="E484" s="372"/>
      <c r="F484" s="372"/>
      <c r="G484" s="372"/>
      <c r="H484" s="372"/>
      <c r="I484" s="372"/>
      <c r="J484" s="372"/>
      <c r="K484" s="372"/>
      <c r="L484" s="372"/>
      <c r="M484" s="372"/>
      <c r="N484" s="372"/>
      <c r="O484" s="372"/>
      <c r="P484" s="372"/>
      <c r="Q484" s="372"/>
      <c r="R484" s="372"/>
      <c r="S484" s="372"/>
      <c r="T484" s="372"/>
      <c r="U484" s="372"/>
      <c r="V484" s="372"/>
      <c r="W484" s="372"/>
      <c r="X484" s="372"/>
      <c r="Y484" s="372"/>
      <c r="Z484" s="372"/>
    </row>
    <row r="485">
      <c r="A485" s="372"/>
      <c r="B485" s="372"/>
      <c r="C485" s="372"/>
      <c r="D485" s="372"/>
      <c r="E485" s="372"/>
      <c r="F485" s="372"/>
      <c r="G485" s="372"/>
      <c r="H485" s="372"/>
      <c r="I485" s="372"/>
      <c r="J485" s="372"/>
      <c r="K485" s="372"/>
      <c r="L485" s="372"/>
      <c r="M485" s="372"/>
      <c r="N485" s="372"/>
      <c r="O485" s="372"/>
      <c r="P485" s="372"/>
      <c r="Q485" s="372"/>
      <c r="R485" s="372"/>
      <c r="S485" s="372"/>
      <c r="T485" s="372"/>
      <c r="U485" s="372"/>
      <c r="V485" s="372"/>
      <c r="W485" s="372"/>
      <c r="X485" s="372"/>
      <c r="Y485" s="372"/>
      <c r="Z485" s="372"/>
    </row>
    <row r="486">
      <c r="A486" s="372"/>
      <c r="B486" s="372"/>
      <c r="C486" s="372"/>
      <c r="D486" s="372"/>
      <c r="E486" s="372"/>
      <c r="F486" s="372"/>
      <c r="G486" s="372"/>
      <c r="H486" s="372"/>
      <c r="I486" s="372"/>
      <c r="J486" s="372"/>
      <c r="K486" s="372"/>
      <c r="L486" s="372"/>
      <c r="M486" s="372"/>
      <c r="N486" s="372"/>
      <c r="O486" s="372"/>
      <c r="P486" s="372"/>
      <c r="Q486" s="372"/>
      <c r="R486" s="372"/>
      <c r="S486" s="372"/>
      <c r="T486" s="372"/>
      <c r="U486" s="372"/>
      <c r="V486" s="372"/>
      <c r="W486" s="372"/>
      <c r="X486" s="372"/>
      <c r="Y486" s="372"/>
      <c r="Z486" s="372"/>
    </row>
    <row r="487">
      <c r="A487" s="372"/>
      <c r="B487" s="372"/>
      <c r="C487" s="372"/>
      <c r="D487" s="372"/>
      <c r="E487" s="372"/>
      <c r="F487" s="372"/>
      <c r="G487" s="372"/>
      <c r="H487" s="372"/>
      <c r="I487" s="372"/>
      <c r="J487" s="372"/>
      <c r="K487" s="372"/>
      <c r="L487" s="372"/>
      <c r="M487" s="372"/>
      <c r="N487" s="372"/>
      <c r="O487" s="372"/>
      <c r="P487" s="372"/>
      <c r="Q487" s="372"/>
      <c r="R487" s="372"/>
      <c r="S487" s="372"/>
      <c r="T487" s="372"/>
      <c r="U487" s="372"/>
      <c r="V487" s="372"/>
      <c r="W487" s="372"/>
      <c r="X487" s="372"/>
      <c r="Y487" s="372"/>
      <c r="Z487" s="372"/>
    </row>
    <row r="488">
      <c r="A488" s="372"/>
      <c r="B488" s="372"/>
      <c r="C488" s="372"/>
      <c r="D488" s="372"/>
      <c r="E488" s="372"/>
      <c r="F488" s="372"/>
      <c r="G488" s="372"/>
      <c r="H488" s="372"/>
      <c r="I488" s="372"/>
      <c r="J488" s="372"/>
      <c r="K488" s="372"/>
      <c r="L488" s="372"/>
      <c r="M488" s="372"/>
      <c r="N488" s="372"/>
      <c r="O488" s="372"/>
      <c r="P488" s="372"/>
      <c r="Q488" s="372"/>
      <c r="R488" s="372"/>
      <c r="S488" s="372"/>
      <c r="T488" s="372"/>
      <c r="U488" s="372"/>
      <c r="V488" s="372"/>
      <c r="W488" s="372"/>
      <c r="X488" s="372"/>
      <c r="Y488" s="372"/>
      <c r="Z488" s="372"/>
    </row>
    <row r="489">
      <c r="A489" s="372"/>
      <c r="B489" s="372"/>
      <c r="C489" s="372"/>
      <c r="D489" s="372"/>
      <c r="E489" s="372"/>
      <c r="F489" s="372"/>
      <c r="G489" s="372"/>
      <c r="H489" s="372"/>
      <c r="I489" s="372"/>
      <c r="J489" s="372"/>
      <c r="K489" s="372"/>
      <c r="L489" s="372"/>
      <c r="M489" s="372"/>
      <c r="N489" s="372"/>
      <c r="O489" s="372"/>
      <c r="P489" s="372"/>
      <c r="Q489" s="372"/>
      <c r="R489" s="372"/>
      <c r="S489" s="372"/>
      <c r="T489" s="372"/>
      <c r="U489" s="372"/>
      <c r="V489" s="372"/>
      <c r="W489" s="372"/>
      <c r="X489" s="372"/>
      <c r="Y489" s="372"/>
      <c r="Z489" s="372"/>
    </row>
    <row r="490">
      <c r="A490" s="372"/>
      <c r="B490" s="372"/>
      <c r="C490" s="372"/>
      <c r="D490" s="372"/>
      <c r="E490" s="372"/>
      <c r="F490" s="372"/>
      <c r="G490" s="372"/>
      <c r="H490" s="372"/>
      <c r="I490" s="372"/>
      <c r="J490" s="372"/>
      <c r="K490" s="372"/>
      <c r="L490" s="372"/>
      <c r="M490" s="372"/>
      <c r="N490" s="372"/>
      <c r="O490" s="372"/>
      <c r="P490" s="372"/>
      <c r="Q490" s="372"/>
      <c r="R490" s="372"/>
      <c r="S490" s="372"/>
      <c r="T490" s="372"/>
      <c r="U490" s="372"/>
      <c r="V490" s="372"/>
      <c r="W490" s="372"/>
      <c r="X490" s="372"/>
      <c r="Y490" s="372"/>
      <c r="Z490" s="372"/>
    </row>
    <row r="491">
      <c r="A491" s="372"/>
      <c r="B491" s="372"/>
      <c r="C491" s="372"/>
      <c r="D491" s="372"/>
      <c r="E491" s="372"/>
      <c r="F491" s="372"/>
      <c r="G491" s="372"/>
      <c r="H491" s="372"/>
      <c r="I491" s="372"/>
      <c r="J491" s="372"/>
      <c r="K491" s="372"/>
      <c r="L491" s="372"/>
      <c r="M491" s="372"/>
      <c r="N491" s="372"/>
      <c r="O491" s="372"/>
      <c r="P491" s="372"/>
      <c r="Q491" s="372"/>
      <c r="R491" s="372"/>
      <c r="S491" s="372"/>
      <c r="T491" s="372"/>
      <c r="U491" s="372"/>
      <c r="V491" s="372"/>
      <c r="W491" s="372"/>
      <c r="X491" s="372"/>
      <c r="Y491" s="372"/>
      <c r="Z491" s="372"/>
    </row>
    <row r="492">
      <c r="A492" s="372"/>
      <c r="B492" s="372"/>
      <c r="C492" s="372"/>
      <c r="D492" s="372"/>
      <c r="E492" s="372"/>
      <c r="F492" s="372"/>
      <c r="G492" s="372"/>
      <c r="H492" s="372"/>
      <c r="I492" s="372"/>
      <c r="J492" s="372"/>
      <c r="K492" s="372"/>
      <c r="L492" s="372"/>
      <c r="M492" s="372"/>
      <c r="N492" s="372"/>
      <c r="O492" s="372"/>
      <c r="P492" s="372"/>
      <c r="Q492" s="372"/>
      <c r="R492" s="372"/>
      <c r="S492" s="372"/>
      <c r="T492" s="372"/>
      <c r="U492" s="372"/>
      <c r="V492" s="372"/>
      <c r="W492" s="372"/>
      <c r="X492" s="372"/>
      <c r="Y492" s="372"/>
      <c r="Z492" s="372"/>
    </row>
    <row r="493">
      <c r="A493" s="372"/>
      <c r="B493" s="372"/>
      <c r="C493" s="372"/>
      <c r="D493" s="372"/>
      <c r="E493" s="372"/>
      <c r="F493" s="372"/>
      <c r="G493" s="372"/>
      <c r="H493" s="372"/>
      <c r="I493" s="372"/>
      <c r="J493" s="372"/>
      <c r="K493" s="372"/>
      <c r="L493" s="372"/>
      <c r="M493" s="372"/>
      <c r="N493" s="372"/>
      <c r="O493" s="372"/>
      <c r="P493" s="372"/>
      <c r="Q493" s="372"/>
      <c r="R493" s="372"/>
      <c r="S493" s="372"/>
      <c r="T493" s="372"/>
      <c r="U493" s="372"/>
      <c r="V493" s="372"/>
      <c r="W493" s="372"/>
      <c r="X493" s="372"/>
      <c r="Y493" s="372"/>
      <c r="Z493" s="372"/>
    </row>
    <row r="494">
      <c r="A494" s="372"/>
      <c r="B494" s="372"/>
      <c r="C494" s="372"/>
      <c r="D494" s="372"/>
      <c r="E494" s="372"/>
      <c r="F494" s="372"/>
      <c r="G494" s="372"/>
      <c r="H494" s="372"/>
      <c r="I494" s="372"/>
      <c r="J494" s="372"/>
      <c r="K494" s="372"/>
      <c r="L494" s="372"/>
      <c r="M494" s="372"/>
      <c r="N494" s="372"/>
      <c r="O494" s="372"/>
      <c r="P494" s="372"/>
      <c r="Q494" s="372"/>
      <c r="R494" s="372"/>
      <c r="S494" s="372"/>
      <c r="T494" s="372"/>
      <c r="U494" s="372"/>
      <c r="V494" s="372"/>
      <c r="W494" s="372"/>
      <c r="X494" s="372"/>
      <c r="Y494" s="372"/>
      <c r="Z494" s="372"/>
    </row>
    <row r="495">
      <c r="A495" s="372"/>
      <c r="B495" s="372"/>
      <c r="C495" s="372"/>
      <c r="D495" s="372"/>
      <c r="E495" s="372"/>
      <c r="F495" s="372"/>
      <c r="G495" s="372"/>
      <c r="H495" s="372"/>
      <c r="I495" s="372"/>
      <c r="J495" s="372"/>
      <c r="K495" s="372"/>
      <c r="L495" s="372"/>
      <c r="M495" s="372"/>
      <c r="N495" s="372"/>
      <c r="O495" s="372"/>
      <c r="P495" s="372"/>
      <c r="Q495" s="372"/>
      <c r="R495" s="372"/>
      <c r="S495" s="372"/>
      <c r="T495" s="372"/>
      <c r="U495" s="372"/>
      <c r="V495" s="372"/>
      <c r="W495" s="372"/>
      <c r="X495" s="372"/>
      <c r="Y495" s="372"/>
      <c r="Z495" s="372"/>
    </row>
    <row r="496">
      <c r="A496" s="372"/>
      <c r="B496" s="372"/>
      <c r="C496" s="372"/>
      <c r="D496" s="372"/>
      <c r="E496" s="372"/>
      <c r="F496" s="372"/>
      <c r="G496" s="372"/>
      <c r="H496" s="372"/>
      <c r="I496" s="372"/>
      <c r="J496" s="372"/>
      <c r="K496" s="372"/>
      <c r="L496" s="372"/>
      <c r="M496" s="372"/>
      <c r="N496" s="372"/>
      <c r="O496" s="372"/>
      <c r="P496" s="372"/>
      <c r="Q496" s="372"/>
      <c r="R496" s="372"/>
      <c r="S496" s="372"/>
      <c r="T496" s="372"/>
      <c r="U496" s="372"/>
      <c r="V496" s="372"/>
      <c r="W496" s="372"/>
      <c r="X496" s="372"/>
      <c r="Y496" s="372"/>
      <c r="Z496" s="372"/>
    </row>
    <row r="497">
      <c r="A497" s="372"/>
      <c r="B497" s="372"/>
      <c r="C497" s="372"/>
      <c r="D497" s="372"/>
      <c r="E497" s="372"/>
      <c r="F497" s="372"/>
      <c r="G497" s="372"/>
      <c r="H497" s="372"/>
      <c r="I497" s="372"/>
      <c r="J497" s="372"/>
      <c r="K497" s="372"/>
      <c r="L497" s="372"/>
      <c r="M497" s="372"/>
      <c r="N497" s="372"/>
      <c r="O497" s="372"/>
      <c r="P497" s="372"/>
      <c r="Q497" s="372"/>
      <c r="R497" s="372"/>
      <c r="S497" s="372"/>
      <c r="T497" s="372"/>
      <c r="U497" s="372"/>
      <c r="V497" s="372"/>
      <c r="W497" s="372"/>
      <c r="X497" s="372"/>
      <c r="Y497" s="372"/>
      <c r="Z497" s="372"/>
    </row>
    <row r="498">
      <c r="A498" s="372"/>
      <c r="B498" s="372"/>
      <c r="C498" s="372"/>
      <c r="D498" s="372"/>
      <c r="E498" s="372"/>
      <c r="F498" s="372"/>
      <c r="G498" s="372"/>
      <c r="H498" s="372"/>
      <c r="I498" s="372"/>
      <c r="J498" s="372"/>
      <c r="K498" s="372"/>
      <c r="L498" s="372"/>
      <c r="M498" s="372"/>
      <c r="N498" s="372"/>
      <c r="O498" s="372"/>
      <c r="P498" s="372"/>
      <c r="Q498" s="372"/>
      <c r="R498" s="372"/>
      <c r="S498" s="372"/>
      <c r="T498" s="372"/>
      <c r="U498" s="372"/>
      <c r="V498" s="372"/>
      <c r="W498" s="372"/>
      <c r="X498" s="372"/>
      <c r="Y498" s="372"/>
      <c r="Z498" s="372"/>
    </row>
    <row r="499">
      <c r="A499" s="372"/>
      <c r="B499" s="372"/>
      <c r="C499" s="372"/>
      <c r="D499" s="372"/>
      <c r="E499" s="372"/>
      <c r="F499" s="372"/>
      <c r="G499" s="372"/>
      <c r="H499" s="372"/>
      <c r="I499" s="372"/>
      <c r="J499" s="372"/>
      <c r="K499" s="372"/>
      <c r="L499" s="372"/>
      <c r="M499" s="372"/>
      <c r="N499" s="372"/>
      <c r="O499" s="372"/>
      <c r="P499" s="372"/>
      <c r="Q499" s="372"/>
      <c r="R499" s="372"/>
      <c r="S499" s="372"/>
      <c r="T499" s="372"/>
      <c r="U499" s="372"/>
      <c r="V499" s="372"/>
      <c r="W499" s="372"/>
      <c r="X499" s="372"/>
      <c r="Y499" s="372"/>
      <c r="Z499" s="372"/>
    </row>
    <row r="500">
      <c r="A500" s="372"/>
      <c r="B500" s="372"/>
      <c r="C500" s="372"/>
      <c r="D500" s="372"/>
      <c r="E500" s="372"/>
      <c r="F500" s="372"/>
      <c r="G500" s="372"/>
      <c r="H500" s="372"/>
      <c r="I500" s="372"/>
      <c r="J500" s="372"/>
      <c r="K500" s="372"/>
      <c r="L500" s="372"/>
      <c r="M500" s="372"/>
      <c r="N500" s="372"/>
      <c r="O500" s="372"/>
      <c r="P500" s="372"/>
      <c r="Q500" s="372"/>
      <c r="R500" s="372"/>
      <c r="S500" s="372"/>
      <c r="T500" s="372"/>
      <c r="U500" s="372"/>
      <c r="V500" s="372"/>
      <c r="W500" s="372"/>
      <c r="X500" s="372"/>
      <c r="Y500" s="372"/>
      <c r="Z500" s="372"/>
    </row>
    <row r="501">
      <c r="A501" s="372"/>
      <c r="B501" s="372"/>
      <c r="C501" s="372"/>
      <c r="D501" s="372"/>
      <c r="E501" s="372"/>
      <c r="F501" s="372"/>
      <c r="G501" s="372"/>
      <c r="H501" s="372"/>
      <c r="I501" s="372"/>
      <c r="J501" s="372"/>
      <c r="K501" s="372"/>
      <c r="L501" s="372"/>
      <c r="M501" s="372"/>
      <c r="N501" s="372"/>
      <c r="O501" s="372"/>
      <c r="P501" s="372"/>
      <c r="Q501" s="372"/>
      <c r="R501" s="372"/>
      <c r="S501" s="372"/>
      <c r="T501" s="372"/>
      <c r="U501" s="372"/>
      <c r="V501" s="372"/>
      <c r="W501" s="372"/>
      <c r="X501" s="372"/>
      <c r="Y501" s="372"/>
      <c r="Z501" s="372"/>
    </row>
    <row r="502">
      <c r="A502" s="372"/>
      <c r="B502" s="372"/>
      <c r="C502" s="372"/>
      <c r="D502" s="372"/>
      <c r="E502" s="372"/>
      <c r="F502" s="372"/>
      <c r="G502" s="372"/>
      <c r="H502" s="372"/>
      <c r="I502" s="372"/>
      <c r="J502" s="372"/>
      <c r="K502" s="372"/>
      <c r="L502" s="372"/>
      <c r="M502" s="372"/>
      <c r="N502" s="372"/>
      <c r="O502" s="372"/>
      <c r="P502" s="372"/>
      <c r="Q502" s="372"/>
      <c r="R502" s="372"/>
      <c r="S502" s="372"/>
      <c r="T502" s="372"/>
      <c r="U502" s="372"/>
      <c r="V502" s="372"/>
      <c r="W502" s="372"/>
      <c r="X502" s="372"/>
      <c r="Y502" s="372"/>
      <c r="Z502" s="372"/>
    </row>
    <row r="503">
      <c r="A503" s="372"/>
      <c r="B503" s="372"/>
      <c r="C503" s="372"/>
      <c r="D503" s="372"/>
      <c r="E503" s="372"/>
      <c r="F503" s="372"/>
      <c r="G503" s="372"/>
      <c r="H503" s="372"/>
      <c r="I503" s="372"/>
      <c r="J503" s="372"/>
      <c r="K503" s="372"/>
      <c r="L503" s="372"/>
      <c r="M503" s="372"/>
      <c r="N503" s="372"/>
      <c r="O503" s="372"/>
      <c r="P503" s="372"/>
      <c r="Q503" s="372"/>
      <c r="R503" s="372"/>
      <c r="S503" s="372"/>
      <c r="T503" s="372"/>
      <c r="U503" s="372"/>
      <c r="V503" s="372"/>
      <c r="W503" s="372"/>
      <c r="X503" s="372"/>
      <c r="Y503" s="372"/>
      <c r="Z503" s="372"/>
    </row>
    <row r="504">
      <c r="A504" s="372"/>
      <c r="B504" s="372"/>
      <c r="C504" s="372"/>
      <c r="D504" s="372"/>
      <c r="E504" s="372"/>
      <c r="F504" s="372"/>
      <c r="G504" s="372"/>
      <c r="H504" s="372"/>
      <c r="I504" s="372"/>
      <c r="J504" s="372"/>
      <c r="K504" s="372"/>
      <c r="L504" s="372"/>
      <c r="M504" s="372"/>
      <c r="N504" s="372"/>
      <c r="O504" s="372"/>
      <c r="P504" s="372"/>
      <c r="Q504" s="372"/>
      <c r="R504" s="372"/>
      <c r="S504" s="372"/>
      <c r="T504" s="372"/>
      <c r="U504" s="372"/>
      <c r="V504" s="372"/>
      <c r="W504" s="372"/>
      <c r="X504" s="372"/>
      <c r="Y504" s="372"/>
      <c r="Z504" s="372"/>
    </row>
    <row r="505">
      <c r="A505" s="372"/>
      <c r="B505" s="372"/>
      <c r="C505" s="372"/>
      <c r="D505" s="372"/>
      <c r="E505" s="372"/>
      <c r="F505" s="372"/>
      <c r="G505" s="372"/>
      <c r="H505" s="372"/>
      <c r="I505" s="372"/>
      <c r="J505" s="372"/>
      <c r="K505" s="372"/>
      <c r="L505" s="372"/>
      <c r="M505" s="372"/>
      <c r="N505" s="372"/>
      <c r="O505" s="372"/>
      <c r="P505" s="372"/>
      <c r="Q505" s="372"/>
      <c r="R505" s="372"/>
      <c r="S505" s="372"/>
      <c r="T505" s="372"/>
      <c r="U505" s="372"/>
      <c r="V505" s="372"/>
      <c r="W505" s="372"/>
      <c r="X505" s="372"/>
      <c r="Y505" s="372"/>
      <c r="Z505" s="372"/>
    </row>
    <row r="506">
      <c r="A506" s="372"/>
      <c r="B506" s="372"/>
      <c r="C506" s="372"/>
      <c r="D506" s="372"/>
      <c r="E506" s="372"/>
      <c r="F506" s="372"/>
      <c r="G506" s="372"/>
      <c r="H506" s="372"/>
      <c r="I506" s="372"/>
      <c r="J506" s="372"/>
      <c r="K506" s="372"/>
      <c r="L506" s="372"/>
      <c r="M506" s="372"/>
      <c r="N506" s="372"/>
      <c r="O506" s="372"/>
      <c r="P506" s="372"/>
      <c r="Q506" s="372"/>
      <c r="R506" s="372"/>
      <c r="S506" s="372"/>
      <c r="T506" s="372"/>
      <c r="U506" s="372"/>
      <c r="V506" s="372"/>
      <c r="W506" s="372"/>
      <c r="X506" s="372"/>
      <c r="Y506" s="372"/>
      <c r="Z506" s="372"/>
    </row>
    <row r="507">
      <c r="A507" s="372"/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  <c r="T507" s="372"/>
      <c r="U507" s="372"/>
      <c r="V507" s="372"/>
      <c r="W507" s="372"/>
      <c r="X507" s="372"/>
      <c r="Y507" s="372"/>
      <c r="Z507" s="372"/>
    </row>
    <row r="508">
      <c r="A508" s="372"/>
      <c r="B508" s="372"/>
      <c r="C508" s="372"/>
      <c r="D508" s="372"/>
      <c r="E508" s="372"/>
      <c r="F508" s="372"/>
      <c r="G508" s="372"/>
      <c r="H508" s="372"/>
      <c r="I508" s="372"/>
      <c r="J508" s="372"/>
      <c r="K508" s="372"/>
      <c r="L508" s="372"/>
      <c r="M508" s="372"/>
      <c r="N508" s="372"/>
      <c r="O508" s="372"/>
      <c r="P508" s="372"/>
      <c r="Q508" s="372"/>
      <c r="R508" s="372"/>
      <c r="S508" s="372"/>
      <c r="T508" s="372"/>
      <c r="U508" s="372"/>
      <c r="V508" s="372"/>
      <c r="W508" s="372"/>
      <c r="X508" s="372"/>
      <c r="Y508" s="372"/>
      <c r="Z508" s="372"/>
    </row>
    <row r="509">
      <c r="A509" s="372"/>
      <c r="B509" s="372"/>
      <c r="C509" s="372"/>
      <c r="D509" s="372"/>
      <c r="E509" s="372"/>
      <c r="F509" s="372"/>
      <c r="G509" s="372"/>
      <c r="H509" s="372"/>
      <c r="I509" s="372"/>
      <c r="J509" s="372"/>
      <c r="K509" s="372"/>
      <c r="L509" s="372"/>
      <c r="M509" s="372"/>
      <c r="N509" s="372"/>
      <c r="O509" s="372"/>
      <c r="P509" s="372"/>
      <c r="Q509" s="372"/>
      <c r="R509" s="372"/>
      <c r="S509" s="372"/>
      <c r="T509" s="372"/>
      <c r="U509" s="372"/>
      <c r="V509" s="372"/>
      <c r="W509" s="372"/>
      <c r="X509" s="372"/>
      <c r="Y509" s="372"/>
      <c r="Z509" s="372"/>
    </row>
    <row r="510">
      <c r="A510" s="372"/>
      <c r="B510" s="372"/>
      <c r="C510" s="372"/>
      <c r="D510" s="372"/>
      <c r="E510" s="372"/>
      <c r="F510" s="372"/>
      <c r="G510" s="372"/>
      <c r="H510" s="372"/>
      <c r="I510" s="372"/>
      <c r="J510" s="372"/>
      <c r="K510" s="372"/>
      <c r="L510" s="372"/>
      <c r="M510" s="372"/>
      <c r="N510" s="372"/>
      <c r="O510" s="372"/>
      <c r="P510" s="372"/>
      <c r="Q510" s="372"/>
      <c r="R510" s="372"/>
      <c r="S510" s="372"/>
      <c r="T510" s="372"/>
      <c r="U510" s="372"/>
      <c r="V510" s="372"/>
      <c r="W510" s="372"/>
      <c r="X510" s="372"/>
      <c r="Y510" s="372"/>
      <c r="Z510" s="372"/>
    </row>
    <row r="511">
      <c r="A511" s="372"/>
      <c r="B511" s="372"/>
      <c r="C511" s="372"/>
      <c r="D511" s="372"/>
      <c r="E511" s="372"/>
      <c r="F511" s="372"/>
      <c r="G511" s="372"/>
      <c r="H511" s="372"/>
      <c r="I511" s="372"/>
      <c r="J511" s="372"/>
      <c r="K511" s="372"/>
      <c r="L511" s="372"/>
      <c r="M511" s="372"/>
      <c r="N511" s="372"/>
      <c r="O511" s="372"/>
      <c r="P511" s="372"/>
      <c r="Q511" s="372"/>
      <c r="R511" s="372"/>
      <c r="S511" s="372"/>
      <c r="T511" s="372"/>
      <c r="U511" s="372"/>
      <c r="V511" s="372"/>
      <c r="W511" s="372"/>
      <c r="X511" s="372"/>
      <c r="Y511" s="372"/>
      <c r="Z511" s="372"/>
    </row>
    <row r="512">
      <c r="A512" s="372"/>
      <c r="B512" s="372"/>
      <c r="C512" s="372"/>
      <c r="D512" s="372"/>
      <c r="E512" s="372"/>
      <c r="F512" s="372"/>
      <c r="G512" s="372"/>
      <c r="H512" s="372"/>
      <c r="I512" s="372"/>
      <c r="J512" s="372"/>
      <c r="K512" s="372"/>
      <c r="L512" s="372"/>
      <c r="M512" s="372"/>
      <c r="N512" s="372"/>
      <c r="O512" s="372"/>
      <c r="P512" s="372"/>
      <c r="Q512" s="372"/>
      <c r="R512" s="372"/>
      <c r="S512" s="372"/>
      <c r="T512" s="372"/>
      <c r="U512" s="372"/>
      <c r="V512" s="372"/>
      <c r="W512" s="372"/>
      <c r="X512" s="372"/>
      <c r="Y512" s="372"/>
      <c r="Z512" s="372"/>
    </row>
    <row r="513">
      <c r="A513" s="372"/>
      <c r="B513" s="372"/>
      <c r="C513" s="372"/>
      <c r="D513" s="372"/>
      <c r="E513" s="372"/>
      <c r="F513" s="372"/>
      <c r="G513" s="372"/>
      <c r="H513" s="372"/>
      <c r="I513" s="372"/>
      <c r="J513" s="372"/>
      <c r="K513" s="372"/>
      <c r="L513" s="372"/>
      <c r="M513" s="372"/>
      <c r="N513" s="372"/>
      <c r="O513" s="372"/>
      <c r="P513" s="372"/>
      <c r="Q513" s="372"/>
      <c r="R513" s="372"/>
      <c r="S513" s="372"/>
      <c r="T513" s="372"/>
      <c r="U513" s="372"/>
      <c r="V513" s="372"/>
      <c r="W513" s="372"/>
      <c r="X513" s="372"/>
      <c r="Y513" s="372"/>
      <c r="Z513" s="372"/>
    </row>
    <row r="514">
      <c r="A514" s="372"/>
      <c r="B514" s="372"/>
      <c r="C514" s="372"/>
      <c r="D514" s="372"/>
      <c r="E514" s="372"/>
      <c r="F514" s="372"/>
      <c r="G514" s="372"/>
      <c r="H514" s="372"/>
      <c r="I514" s="372"/>
      <c r="J514" s="372"/>
      <c r="K514" s="372"/>
      <c r="L514" s="372"/>
      <c r="M514" s="372"/>
      <c r="N514" s="372"/>
      <c r="O514" s="372"/>
      <c r="P514" s="372"/>
      <c r="Q514" s="372"/>
      <c r="R514" s="372"/>
      <c r="S514" s="372"/>
      <c r="T514" s="372"/>
      <c r="U514" s="372"/>
      <c r="V514" s="372"/>
      <c r="W514" s="372"/>
      <c r="X514" s="372"/>
      <c r="Y514" s="372"/>
      <c r="Z514" s="372"/>
    </row>
    <row r="515">
      <c r="A515" s="372"/>
      <c r="B515" s="372"/>
      <c r="C515" s="372"/>
      <c r="D515" s="372"/>
      <c r="E515" s="372"/>
      <c r="F515" s="372"/>
      <c r="G515" s="372"/>
      <c r="H515" s="372"/>
      <c r="I515" s="372"/>
      <c r="J515" s="372"/>
      <c r="K515" s="372"/>
      <c r="L515" s="372"/>
      <c r="M515" s="372"/>
      <c r="N515" s="372"/>
      <c r="O515" s="372"/>
      <c r="P515" s="372"/>
      <c r="Q515" s="372"/>
      <c r="R515" s="372"/>
      <c r="S515" s="372"/>
      <c r="T515" s="372"/>
      <c r="U515" s="372"/>
      <c r="V515" s="372"/>
      <c r="W515" s="372"/>
      <c r="X515" s="372"/>
      <c r="Y515" s="372"/>
      <c r="Z515" s="372"/>
    </row>
    <row r="516">
      <c r="A516" s="372"/>
      <c r="B516" s="372"/>
      <c r="C516" s="372"/>
      <c r="D516" s="372"/>
      <c r="E516" s="372"/>
      <c r="F516" s="372"/>
      <c r="G516" s="372"/>
      <c r="H516" s="372"/>
      <c r="I516" s="372"/>
      <c r="J516" s="372"/>
      <c r="K516" s="372"/>
      <c r="L516" s="372"/>
      <c r="M516" s="372"/>
      <c r="N516" s="372"/>
      <c r="O516" s="372"/>
      <c r="P516" s="372"/>
      <c r="Q516" s="372"/>
      <c r="R516" s="372"/>
      <c r="S516" s="372"/>
      <c r="T516" s="372"/>
      <c r="U516" s="372"/>
      <c r="V516" s="372"/>
      <c r="W516" s="372"/>
      <c r="X516" s="372"/>
      <c r="Y516" s="372"/>
      <c r="Z516" s="372"/>
    </row>
    <row r="517">
      <c r="A517" s="372"/>
      <c r="B517" s="372"/>
      <c r="C517" s="372"/>
      <c r="D517" s="372"/>
      <c r="E517" s="372"/>
      <c r="F517" s="372"/>
      <c r="G517" s="372"/>
      <c r="H517" s="372"/>
      <c r="I517" s="372"/>
      <c r="J517" s="372"/>
      <c r="K517" s="372"/>
      <c r="L517" s="372"/>
      <c r="M517" s="372"/>
      <c r="N517" s="372"/>
      <c r="O517" s="372"/>
      <c r="P517" s="372"/>
      <c r="Q517" s="372"/>
      <c r="R517" s="372"/>
      <c r="S517" s="372"/>
      <c r="T517" s="372"/>
      <c r="U517" s="372"/>
      <c r="V517" s="372"/>
      <c r="W517" s="372"/>
      <c r="X517" s="372"/>
      <c r="Y517" s="372"/>
      <c r="Z517" s="372"/>
    </row>
    <row r="518">
      <c r="A518" s="372"/>
      <c r="B518" s="372"/>
      <c r="C518" s="372"/>
      <c r="D518" s="372"/>
      <c r="E518" s="372"/>
      <c r="F518" s="372"/>
      <c r="G518" s="372"/>
      <c r="H518" s="372"/>
      <c r="I518" s="372"/>
      <c r="J518" s="372"/>
      <c r="K518" s="372"/>
      <c r="L518" s="372"/>
      <c r="M518" s="372"/>
      <c r="N518" s="372"/>
      <c r="O518" s="372"/>
      <c r="P518" s="372"/>
      <c r="Q518" s="372"/>
      <c r="R518" s="372"/>
      <c r="S518" s="372"/>
      <c r="T518" s="372"/>
      <c r="U518" s="372"/>
      <c r="V518" s="372"/>
      <c r="W518" s="372"/>
      <c r="X518" s="372"/>
      <c r="Y518" s="372"/>
      <c r="Z518" s="372"/>
    </row>
    <row r="519">
      <c r="A519" s="372"/>
      <c r="B519" s="372"/>
      <c r="C519" s="372"/>
      <c r="D519" s="372"/>
      <c r="E519" s="372"/>
      <c r="F519" s="372"/>
      <c r="G519" s="372"/>
      <c r="H519" s="372"/>
      <c r="I519" s="372"/>
      <c r="J519" s="372"/>
      <c r="K519" s="372"/>
      <c r="L519" s="372"/>
      <c r="M519" s="372"/>
      <c r="N519" s="372"/>
      <c r="O519" s="372"/>
      <c r="P519" s="372"/>
      <c r="Q519" s="372"/>
      <c r="R519" s="372"/>
      <c r="S519" s="372"/>
      <c r="T519" s="372"/>
      <c r="U519" s="372"/>
      <c r="V519" s="372"/>
      <c r="W519" s="372"/>
      <c r="X519" s="372"/>
      <c r="Y519" s="372"/>
      <c r="Z519" s="372"/>
    </row>
    <row r="520">
      <c r="A520" s="372"/>
      <c r="B520" s="372"/>
      <c r="C520" s="372"/>
      <c r="D520" s="372"/>
      <c r="E520" s="372"/>
      <c r="F520" s="372"/>
      <c r="G520" s="372"/>
      <c r="H520" s="372"/>
      <c r="I520" s="372"/>
      <c r="J520" s="372"/>
      <c r="K520" s="372"/>
      <c r="L520" s="372"/>
      <c r="M520" s="372"/>
      <c r="N520" s="372"/>
      <c r="O520" s="372"/>
      <c r="P520" s="372"/>
      <c r="Q520" s="372"/>
      <c r="R520" s="372"/>
      <c r="S520" s="372"/>
      <c r="T520" s="372"/>
      <c r="U520" s="372"/>
      <c r="V520" s="372"/>
      <c r="W520" s="372"/>
      <c r="X520" s="372"/>
      <c r="Y520" s="372"/>
      <c r="Z520" s="372"/>
    </row>
    <row r="521">
      <c r="A521" s="372"/>
      <c r="B521" s="372"/>
      <c r="C521" s="372"/>
      <c r="D521" s="372"/>
      <c r="E521" s="372"/>
      <c r="F521" s="372"/>
      <c r="G521" s="372"/>
      <c r="H521" s="372"/>
      <c r="I521" s="372"/>
      <c r="J521" s="372"/>
      <c r="K521" s="372"/>
      <c r="L521" s="372"/>
      <c r="M521" s="372"/>
      <c r="N521" s="372"/>
      <c r="O521" s="372"/>
      <c r="P521" s="372"/>
      <c r="Q521" s="372"/>
      <c r="R521" s="372"/>
      <c r="S521" s="372"/>
      <c r="T521" s="372"/>
      <c r="U521" s="372"/>
      <c r="V521" s="372"/>
      <c r="W521" s="372"/>
      <c r="X521" s="372"/>
      <c r="Y521" s="372"/>
      <c r="Z521" s="372"/>
    </row>
    <row r="522">
      <c r="A522" s="372"/>
      <c r="B522" s="372"/>
      <c r="C522" s="372"/>
      <c r="D522" s="372"/>
      <c r="E522" s="372"/>
      <c r="F522" s="372"/>
      <c r="G522" s="372"/>
      <c r="H522" s="372"/>
      <c r="I522" s="372"/>
      <c r="J522" s="372"/>
      <c r="K522" s="372"/>
      <c r="L522" s="372"/>
      <c r="M522" s="372"/>
      <c r="N522" s="372"/>
      <c r="O522" s="372"/>
      <c r="P522" s="372"/>
      <c r="Q522" s="372"/>
      <c r="R522" s="372"/>
      <c r="S522" s="372"/>
      <c r="T522" s="372"/>
      <c r="U522" s="372"/>
      <c r="V522" s="372"/>
      <c r="W522" s="372"/>
      <c r="X522" s="372"/>
      <c r="Y522" s="372"/>
      <c r="Z522" s="372"/>
    </row>
    <row r="523">
      <c r="A523" s="372"/>
      <c r="B523" s="372"/>
      <c r="C523" s="372"/>
      <c r="D523" s="372"/>
      <c r="E523" s="372"/>
      <c r="F523" s="372"/>
      <c r="G523" s="372"/>
      <c r="H523" s="372"/>
      <c r="I523" s="372"/>
      <c r="J523" s="372"/>
      <c r="K523" s="372"/>
      <c r="L523" s="372"/>
      <c r="M523" s="372"/>
      <c r="N523" s="372"/>
      <c r="O523" s="372"/>
      <c r="P523" s="372"/>
      <c r="Q523" s="372"/>
      <c r="R523" s="372"/>
      <c r="S523" s="372"/>
      <c r="T523" s="372"/>
      <c r="U523" s="372"/>
      <c r="V523" s="372"/>
      <c r="W523" s="372"/>
      <c r="X523" s="372"/>
      <c r="Y523" s="372"/>
      <c r="Z523" s="372"/>
    </row>
    <row r="524">
      <c r="A524" s="372"/>
      <c r="B524" s="372"/>
      <c r="C524" s="372"/>
      <c r="D524" s="372"/>
      <c r="E524" s="372"/>
      <c r="F524" s="372"/>
      <c r="G524" s="372"/>
      <c r="H524" s="372"/>
      <c r="I524" s="372"/>
      <c r="J524" s="372"/>
      <c r="K524" s="372"/>
      <c r="L524" s="372"/>
      <c r="M524" s="372"/>
      <c r="N524" s="372"/>
      <c r="O524" s="372"/>
      <c r="P524" s="372"/>
      <c r="Q524" s="372"/>
      <c r="R524" s="372"/>
      <c r="S524" s="372"/>
      <c r="T524" s="372"/>
      <c r="U524" s="372"/>
      <c r="V524" s="372"/>
      <c r="W524" s="372"/>
      <c r="X524" s="372"/>
      <c r="Y524" s="372"/>
      <c r="Z524" s="372"/>
    </row>
    <row r="525">
      <c r="A525" s="372"/>
      <c r="B525" s="372"/>
      <c r="C525" s="372"/>
      <c r="D525" s="372"/>
      <c r="E525" s="372"/>
      <c r="F525" s="372"/>
      <c r="G525" s="372"/>
      <c r="H525" s="372"/>
      <c r="I525" s="372"/>
      <c r="J525" s="372"/>
      <c r="K525" s="372"/>
      <c r="L525" s="372"/>
      <c r="M525" s="372"/>
      <c r="N525" s="372"/>
      <c r="O525" s="372"/>
      <c r="P525" s="372"/>
      <c r="Q525" s="372"/>
      <c r="R525" s="372"/>
      <c r="S525" s="372"/>
      <c r="T525" s="372"/>
      <c r="U525" s="372"/>
      <c r="V525" s="372"/>
      <c r="W525" s="372"/>
      <c r="X525" s="372"/>
      <c r="Y525" s="372"/>
      <c r="Z525" s="372"/>
    </row>
    <row r="526">
      <c r="A526" s="372"/>
      <c r="B526" s="372"/>
      <c r="C526" s="372"/>
      <c r="D526" s="372"/>
      <c r="E526" s="372"/>
      <c r="F526" s="372"/>
      <c r="G526" s="372"/>
      <c r="H526" s="372"/>
      <c r="I526" s="372"/>
      <c r="J526" s="372"/>
      <c r="K526" s="372"/>
      <c r="L526" s="372"/>
      <c r="M526" s="372"/>
      <c r="N526" s="372"/>
      <c r="O526" s="372"/>
      <c r="P526" s="372"/>
      <c r="Q526" s="372"/>
      <c r="R526" s="372"/>
      <c r="S526" s="372"/>
      <c r="T526" s="372"/>
      <c r="U526" s="372"/>
      <c r="V526" s="372"/>
      <c r="W526" s="372"/>
      <c r="X526" s="372"/>
      <c r="Y526" s="372"/>
      <c r="Z526" s="372"/>
    </row>
    <row r="527">
      <c r="A527" s="372"/>
      <c r="B527" s="372"/>
      <c r="C527" s="372"/>
      <c r="D527" s="372"/>
      <c r="E527" s="372"/>
      <c r="F527" s="372"/>
      <c r="G527" s="372"/>
      <c r="H527" s="372"/>
      <c r="I527" s="372"/>
      <c r="J527" s="372"/>
      <c r="K527" s="372"/>
      <c r="L527" s="372"/>
      <c r="M527" s="372"/>
      <c r="N527" s="372"/>
      <c r="O527" s="372"/>
      <c r="P527" s="372"/>
      <c r="Q527" s="372"/>
      <c r="R527" s="372"/>
      <c r="S527" s="372"/>
      <c r="T527" s="372"/>
      <c r="U527" s="372"/>
      <c r="V527" s="372"/>
      <c r="W527" s="372"/>
      <c r="X527" s="372"/>
      <c r="Y527" s="372"/>
      <c r="Z527" s="372"/>
    </row>
    <row r="528">
      <c r="A528" s="372"/>
      <c r="B528" s="372"/>
      <c r="C528" s="372"/>
      <c r="D528" s="372"/>
      <c r="E528" s="372"/>
      <c r="F528" s="372"/>
      <c r="G528" s="372"/>
      <c r="H528" s="372"/>
      <c r="I528" s="372"/>
      <c r="J528" s="372"/>
      <c r="K528" s="372"/>
      <c r="L528" s="372"/>
      <c r="M528" s="372"/>
      <c r="N528" s="372"/>
      <c r="O528" s="372"/>
      <c r="P528" s="372"/>
      <c r="Q528" s="372"/>
      <c r="R528" s="372"/>
      <c r="S528" s="372"/>
      <c r="T528" s="372"/>
      <c r="U528" s="372"/>
      <c r="V528" s="372"/>
      <c r="W528" s="372"/>
      <c r="X528" s="372"/>
      <c r="Y528" s="372"/>
      <c r="Z528" s="372"/>
    </row>
    <row r="529">
      <c r="A529" s="372"/>
      <c r="B529" s="372"/>
      <c r="C529" s="372"/>
      <c r="D529" s="372"/>
      <c r="E529" s="372"/>
      <c r="F529" s="372"/>
      <c r="G529" s="372"/>
      <c r="H529" s="372"/>
      <c r="I529" s="372"/>
      <c r="J529" s="372"/>
      <c r="K529" s="372"/>
      <c r="L529" s="372"/>
      <c r="M529" s="372"/>
      <c r="N529" s="372"/>
      <c r="O529" s="372"/>
      <c r="P529" s="372"/>
      <c r="Q529" s="372"/>
      <c r="R529" s="372"/>
      <c r="S529" s="372"/>
      <c r="T529" s="372"/>
      <c r="U529" s="372"/>
      <c r="V529" s="372"/>
      <c r="W529" s="372"/>
      <c r="X529" s="372"/>
      <c r="Y529" s="372"/>
      <c r="Z529" s="372"/>
    </row>
    <row r="530">
      <c r="A530" s="372"/>
      <c r="B530" s="372"/>
      <c r="C530" s="372"/>
      <c r="D530" s="372"/>
      <c r="E530" s="372"/>
      <c r="F530" s="372"/>
      <c r="G530" s="372"/>
      <c r="H530" s="372"/>
      <c r="I530" s="372"/>
      <c r="J530" s="372"/>
      <c r="K530" s="372"/>
      <c r="L530" s="372"/>
      <c r="M530" s="372"/>
      <c r="N530" s="372"/>
      <c r="O530" s="372"/>
      <c r="P530" s="372"/>
      <c r="Q530" s="372"/>
      <c r="R530" s="372"/>
      <c r="S530" s="372"/>
      <c r="T530" s="372"/>
      <c r="U530" s="372"/>
      <c r="V530" s="372"/>
      <c r="W530" s="372"/>
      <c r="X530" s="372"/>
      <c r="Y530" s="372"/>
      <c r="Z530" s="372"/>
    </row>
    <row r="531">
      <c r="A531" s="372"/>
      <c r="B531" s="372"/>
      <c r="C531" s="372"/>
      <c r="D531" s="372"/>
      <c r="E531" s="372"/>
      <c r="F531" s="372"/>
      <c r="G531" s="372"/>
      <c r="H531" s="372"/>
      <c r="I531" s="372"/>
      <c r="J531" s="372"/>
      <c r="K531" s="372"/>
      <c r="L531" s="372"/>
      <c r="M531" s="372"/>
      <c r="N531" s="372"/>
      <c r="O531" s="372"/>
      <c r="P531" s="372"/>
      <c r="Q531" s="372"/>
      <c r="R531" s="372"/>
      <c r="S531" s="372"/>
      <c r="T531" s="372"/>
      <c r="U531" s="372"/>
      <c r="V531" s="372"/>
      <c r="W531" s="372"/>
      <c r="X531" s="372"/>
      <c r="Y531" s="372"/>
      <c r="Z531" s="372"/>
    </row>
    <row r="532">
      <c r="A532" s="372"/>
      <c r="B532" s="372"/>
      <c r="C532" s="372"/>
      <c r="D532" s="372"/>
      <c r="E532" s="372"/>
      <c r="F532" s="372"/>
      <c r="G532" s="372"/>
      <c r="H532" s="372"/>
      <c r="I532" s="372"/>
      <c r="J532" s="372"/>
      <c r="K532" s="372"/>
      <c r="L532" s="372"/>
      <c r="M532" s="372"/>
      <c r="N532" s="372"/>
      <c r="O532" s="372"/>
      <c r="P532" s="372"/>
      <c r="Q532" s="372"/>
      <c r="R532" s="372"/>
      <c r="S532" s="372"/>
      <c r="T532" s="372"/>
      <c r="U532" s="372"/>
      <c r="V532" s="372"/>
      <c r="W532" s="372"/>
      <c r="X532" s="372"/>
      <c r="Y532" s="372"/>
      <c r="Z532" s="372"/>
    </row>
    <row r="533">
      <c r="A533" s="372"/>
      <c r="B533" s="372"/>
      <c r="C533" s="372"/>
      <c r="D533" s="372"/>
      <c r="E533" s="372"/>
      <c r="F533" s="372"/>
      <c r="G533" s="372"/>
      <c r="H533" s="372"/>
      <c r="I533" s="372"/>
      <c r="J533" s="372"/>
      <c r="K533" s="372"/>
      <c r="L533" s="372"/>
      <c r="M533" s="372"/>
      <c r="N533" s="372"/>
      <c r="O533" s="372"/>
      <c r="P533" s="372"/>
      <c r="Q533" s="372"/>
      <c r="R533" s="372"/>
      <c r="S533" s="372"/>
      <c r="T533" s="372"/>
      <c r="U533" s="372"/>
      <c r="V533" s="372"/>
      <c r="W533" s="372"/>
      <c r="X533" s="372"/>
      <c r="Y533" s="372"/>
      <c r="Z533" s="372"/>
    </row>
    <row r="534">
      <c r="A534" s="372"/>
      <c r="B534" s="372"/>
      <c r="C534" s="372"/>
      <c r="D534" s="372"/>
      <c r="E534" s="372"/>
      <c r="F534" s="372"/>
      <c r="G534" s="372"/>
      <c r="H534" s="372"/>
      <c r="I534" s="372"/>
      <c r="J534" s="372"/>
      <c r="K534" s="372"/>
      <c r="L534" s="372"/>
      <c r="M534" s="372"/>
      <c r="N534" s="372"/>
      <c r="O534" s="372"/>
      <c r="P534" s="372"/>
      <c r="Q534" s="372"/>
      <c r="R534" s="372"/>
      <c r="S534" s="372"/>
      <c r="T534" s="372"/>
      <c r="U534" s="372"/>
      <c r="V534" s="372"/>
      <c r="W534" s="372"/>
      <c r="X534" s="372"/>
      <c r="Y534" s="372"/>
      <c r="Z534" s="372"/>
    </row>
    <row r="535">
      <c r="A535" s="372"/>
      <c r="B535" s="372"/>
      <c r="C535" s="372"/>
      <c r="D535" s="372"/>
      <c r="E535" s="372"/>
      <c r="F535" s="372"/>
      <c r="G535" s="372"/>
      <c r="H535" s="372"/>
      <c r="I535" s="372"/>
      <c r="J535" s="372"/>
      <c r="K535" s="372"/>
      <c r="L535" s="372"/>
      <c r="M535" s="372"/>
      <c r="N535" s="372"/>
      <c r="O535" s="372"/>
      <c r="P535" s="372"/>
      <c r="Q535" s="372"/>
      <c r="R535" s="372"/>
      <c r="S535" s="372"/>
      <c r="T535" s="372"/>
      <c r="U535" s="372"/>
      <c r="V535" s="372"/>
      <c r="W535" s="372"/>
      <c r="X535" s="372"/>
      <c r="Y535" s="372"/>
      <c r="Z535" s="372"/>
    </row>
    <row r="536">
      <c r="A536" s="372"/>
      <c r="B536" s="372"/>
      <c r="C536" s="372"/>
      <c r="D536" s="372"/>
      <c r="E536" s="372"/>
      <c r="F536" s="372"/>
      <c r="G536" s="372"/>
      <c r="H536" s="372"/>
      <c r="I536" s="372"/>
      <c r="J536" s="372"/>
      <c r="K536" s="372"/>
      <c r="L536" s="372"/>
      <c r="M536" s="372"/>
      <c r="N536" s="372"/>
      <c r="O536" s="372"/>
      <c r="P536" s="372"/>
      <c r="Q536" s="372"/>
      <c r="R536" s="372"/>
      <c r="S536" s="372"/>
      <c r="T536" s="372"/>
      <c r="U536" s="372"/>
      <c r="V536" s="372"/>
      <c r="W536" s="372"/>
      <c r="X536" s="372"/>
      <c r="Y536" s="372"/>
      <c r="Z536" s="372"/>
    </row>
    <row r="537">
      <c r="A537" s="372"/>
      <c r="B537" s="372"/>
      <c r="C537" s="372"/>
      <c r="D537" s="372"/>
      <c r="E537" s="372"/>
      <c r="F537" s="372"/>
      <c r="G537" s="372"/>
      <c r="H537" s="372"/>
      <c r="I537" s="372"/>
      <c r="J537" s="372"/>
      <c r="K537" s="372"/>
      <c r="L537" s="372"/>
      <c r="M537" s="372"/>
      <c r="N537" s="372"/>
      <c r="O537" s="372"/>
      <c r="P537" s="372"/>
      <c r="Q537" s="372"/>
      <c r="R537" s="372"/>
      <c r="S537" s="372"/>
      <c r="T537" s="372"/>
      <c r="U537" s="372"/>
      <c r="V537" s="372"/>
      <c r="W537" s="372"/>
      <c r="X537" s="372"/>
      <c r="Y537" s="372"/>
      <c r="Z537" s="372"/>
    </row>
    <row r="538">
      <c r="A538" s="372"/>
      <c r="B538" s="372"/>
      <c r="C538" s="372"/>
      <c r="D538" s="372"/>
      <c r="E538" s="372"/>
      <c r="F538" s="372"/>
      <c r="G538" s="372"/>
      <c r="H538" s="372"/>
      <c r="I538" s="372"/>
      <c r="J538" s="372"/>
      <c r="K538" s="372"/>
      <c r="L538" s="372"/>
      <c r="M538" s="372"/>
      <c r="N538" s="372"/>
      <c r="O538" s="372"/>
      <c r="P538" s="372"/>
      <c r="Q538" s="372"/>
      <c r="R538" s="372"/>
      <c r="S538" s="372"/>
      <c r="T538" s="372"/>
      <c r="U538" s="372"/>
      <c r="V538" s="372"/>
      <c r="W538" s="372"/>
      <c r="X538" s="372"/>
      <c r="Y538" s="372"/>
      <c r="Z538" s="372"/>
    </row>
    <row r="539">
      <c r="A539" s="372"/>
      <c r="B539" s="372"/>
      <c r="C539" s="372"/>
      <c r="D539" s="372"/>
      <c r="E539" s="372"/>
      <c r="F539" s="372"/>
      <c r="G539" s="372"/>
      <c r="H539" s="372"/>
      <c r="I539" s="372"/>
      <c r="J539" s="372"/>
      <c r="K539" s="372"/>
      <c r="L539" s="372"/>
      <c r="M539" s="372"/>
      <c r="N539" s="372"/>
      <c r="O539" s="372"/>
      <c r="P539" s="372"/>
      <c r="Q539" s="372"/>
      <c r="R539" s="372"/>
      <c r="S539" s="372"/>
      <c r="T539" s="372"/>
      <c r="U539" s="372"/>
      <c r="V539" s="372"/>
      <c r="W539" s="372"/>
      <c r="X539" s="372"/>
      <c r="Y539" s="372"/>
      <c r="Z539" s="372"/>
    </row>
    <row r="540">
      <c r="A540" s="372"/>
      <c r="B540" s="372"/>
      <c r="C540" s="372"/>
      <c r="D540" s="372"/>
      <c r="E540" s="372"/>
      <c r="F540" s="372"/>
      <c r="G540" s="372"/>
      <c r="H540" s="372"/>
      <c r="I540" s="372"/>
      <c r="J540" s="372"/>
      <c r="K540" s="372"/>
      <c r="L540" s="372"/>
      <c r="M540" s="372"/>
      <c r="N540" s="372"/>
      <c r="O540" s="372"/>
      <c r="P540" s="372"/>
      <c r="Q540" s="372"/>
      <c r="R540" s="372"/>
      <c r="S540" s="372"/>
      <c r="T540" s="372"/>
      <c r="U540" s="372"/>
      <c r="V540" s="372"/>
      <c r="W540" s="372"/>
      <c r="X540" s="372"/>
      <c r="Y540" s="372"/>
      <c r="Z540" s="372"/>
    </row>
    <row r="541">
      <c r="A541" s="372"/>
      <c r="B541" s="372"/>
      <c r="C541" s="372"/>
      <c r="D541" s="372"/>
      <c r="E541" s="372"/>
      <c r="F541" s="372"/>
      <c r="G541" s="372"/>
      <c r="H541" s="372"/>
      <c r="I541" s="372"/>
      <c r="J541" s="372"/>
      <c r="K541" s="372"/>
      <c r="L541" s="372"/>
      <c r="M541" s="372"/>
      <c r="N541" s="372"/>
      <c r="O541" s="372"/>
      <c r="P541" s="372"/>
      <c r="Q541" s="372"/>
      <c r="R541" s="372"/>
      <c r="S541" s="372"/>
      <c r="T541" s="372"/>
      <c r="U541" s="372"/>
      <c r="V541" s="372"/>
      <c r="W541" s="372"/>
      <c r="X541" s="372"/>
      <c r="Y541" s="372"/>
      <c r="Z541" s="372"/>
    </row>
    <row r="542">
      <c r="A542" s="372"/>
      <c r="B542" s="372"/>
      <c r="C542" s="372"/>
      <c r="D542" s="372"/>
      <c r="E542" s="372"/>
      <c r="F542" s="372"/>
      <c r="G542" s="372"/>
      <c r="H542" s="372"/>
      <c r="I542" s="372"/>
      <c r="J542" s="372"/>
      <c r="K542" s="372"/>
      <c r="L542" s="372"/>
      <c r="M542" s="372"/>
      <c r="N542" s="372"/>
      <c r="O542" s="372"/>
      <c r="P542" s="372"/>
      <c r="Q542" s="372"/>
      <c r="R542" s="372"/>
      <c r="S542" s="372"/>
      <c r="T542" s="372"/>
      <c r="U542" s="372"/>
      <c r="V542" s="372"/>
      <c r="W542" s="372"/>
      <c r="X542" s="372"/>
      <c r="Y542" s="372"/>
      <c r="Z542" s="372"/>
    </row>
    <row r="543">
      <c r="A543" s="372"/>
      <c r="B543" s="372"/>
      <c r="C543" s="372"/>
      <c r="D543" s="372"/>
      <c r="E543" s="372"/>
      <c r="F543" s="372"/>
      <c r="G543" s="372"/>
      <c r="H543" s="372"/>
      <c r="I543" s="372"/>
      <c r="J543" s="372"/>
      <c r="K543" s="372"/>
      <c r="L543" s="372"/>
      <c r="M543" s="372"/>
      <c r="N543" s="372"/>
      <c r="O543" s="372"/>
      <c r="P543" s="372"/>
      <c r="Q543" s="372"/>
      <c r="R543" s="372"/>
      <c r="S543" s="372"/>
      <c r="T543" s="372"/>
      <c r="U543" s="372"/>
      <c r="V543" s="372"/>
      <c r="W543" s="372"/>
      <c r="X543" s="372"/>
      <c r="Y543" s="372"/>
      <c r="Z543" s="372"/>
    </row>
    <row r="544">
      <c r="A544" s="372"/>
      <c r="B544" s="372"/>
      <c r="C544" s="372"/>
      <c r="D544" s="372"/>
      <c r="E544" s="372"/>
      <c r="F544" s="372"/>
      <c r="G544" s="372"/>
      <c r="H544" s="372"/>
      <c r="I544" s="372"/>
      <c r="J544" s="372"/>
      <c r="K544" s="372"/>
      <c r="L544" s="372"/>
      <c r="M544" s="372"/>
      <c r="N544" s="372"/>
      <c r="O544" s="372"/>
      <c r="P544" s="372"/>
      <c r="Q544" s="372"/>
      <c r="R544" s="372"/>
      <c r="S544" s="372"/>
      <c r="T544" s="372"/>
      <c r="U544" s="372"/>
      <c r="V544" s="372"/>
      <c r="W544" s="372"/>
      <c r="X544" s="372"/>
      <c r="Y544" s="372"/>
      <c r="Z544" s="372"/>
    </row>
    <row r="545">
      <c r="A545" s="372"/>
      <c r="B545" s="372"/>
      <c r="C545" s="372"/>
      <c r="D545" s="372"/>
      <c r="E545" s="372"/>
      <c r="F545" s="372"/>
      <c r="G545" s="372"/>
      <c r="H545" s="372"/>
      <c r="I545" s="372"/>
      <c r="J545" s="372"/>
      <c r="K545" s="372"/>
      <c r="L545" s="372"/>
      <c r="M545" s="372"/>
      <c r="N545" s="372"/>
      <c r="O545" s="372"/>
      <c r="P545" s="372"/>
      <c r="Q545" s="372"/>
      <c r="R545" s="372"/>
      <c r="S545" s="372"/>
      <c r="T545" s="372"/>
      <c r="U545" s="372"/>
      <c r="V545" s="372"/>
      <c r="W545" s="372"/>
      <c r="X545" s="372"/>
      <c r="Y545" s="372"/>
      <c r="Z545" s="372"/>
    </row>
    <row r="546">
      <c r="A546" s="372"/>
      <c r="B546" s="372"/>
      <c r="C546" s="372"/>
      <c r="D546" s="372"/>
      <c r="E546" s="372"/>
      <c r="F546" s="372"/>
      <c r="G546" s="372"/>
      <c r="H546" s="372"/>
      <c r="I546" s="372"/>
      <c r="J546" s="372"/>
      <c r="K546" s="372"/>
      <c r="L546" s="372"/>
      <c r="M546" s="372"/>
      <c r="N546" s="372"/>
      <c r="O546" s="372"/>
      <c r="P546" s="372"/>
      <c r="Q546" s="372"/>
      <c r="R546" s="372"/>
      <c r="S546" s="372"/>
      <c r="T546" s="372"/>
      <c r="U546" s="372"/>
      <c r="V546" s="372"/>
      <c r="W546" s="372"/>
      <c r="X546" s="372"/>
      <c r="Y546" s="372"/>
      <c r="Z546" s="372"/>
    </row>
    <row r="547">
      <c r="A547" s="372"/>
      <c r="B547" s="372"/>
      <c r="C547" s="372"/>
      <c r="D547" s="372"/>
      <c r="E547" s="372"/>
      <c r="F547" s="372"/>
      <c r="G547" s="372"/>
      <c r="H547" s="372"/>
      <c r="I547" s="372"/>
      <c r="J547" s="372"/>
      <c r="K547" s="372"/>
      <c r="L547" s="372"/>
      <c r="M547" s="372"/>
      <c r="N547" s="372"/>
      <c r="O547" s="372"/>
      <c r="P547" s="372"/>
      <c r="Q547" s="372"/>
      <c r="R547" s="372"/>
      <c r="S547" s="372"/>
      <c r="T547" s="372"/>
      <c r="U547" s="372"/>
      <c r="V547" s="372"/>
      <c r="W547" s="372"/>
      <c r="X547" s="372"/>
      <c r="Y547" s="372"/>
      <c r="Z547" s="372"/>
    </row>
    <row r="548">
      <c r="A548" s="372"/>
      <c r="B548" s="372"/>
      <c r="C548" s="372"/>
      <c r="D548" s="372"/>
      <c r="E548" s="372"/>
      <c r="F548" s="372"/>
      <c r="G548" s="372"/>
      <c r="H548" s="372"/>
      <c r="I548" s="372"/>
      <c r="J548" s="372"/>
      <c r="K548" s="372"/>
      <c r="L548" s="372"/>
      <c r="M548" s="372"/>
      <c r="N548" s="372"/>
      <c r="O548" s="372"/>
      <c r="P548" s="372"/>
      <c r="Q548" s="372"/>
      <c r="R548" s="372"/>
      <c r="S548" s="372"/>
      <c r="T548" s="372"/>
      <c r="U548" s="372"/>
      <c r="V548" s="372"/>
      <c r="W548" s="372"/>
      <c r="X548" s="372"/>
      <c r="Y548" s="372"/>
      <c r="Z548" s="372"/>
    </row>
    <row r="549">
      <c r="A549" s="372"/>
      <c r="B549" s="372"/>
      <c r="C549" s="372"/>
      <c r="D549" s="372"/>
      <c r="E549" s="372"/>
      <c r="F549" s="372"/>
      <c r="G549" s="372"/>
      <c r="H549" s="372"/>
      <c r="I549" s="372"/>
      <c r="J549" s="372"/>
      <c r="K549" s="372"/>
      <c r="L549" s="372"/>
      <c r="M549" s="372"/>
      <c r="N549" s="372"/>
      <c r="O549" s="372"/>
      <c r="P549" s="372"/>
      <c r="Q549" s="372"/>
      <c r="R549" s="372"/>
      <c r="S549" s="372"/>
      <c r="T549" s="372"/>
      <c r="U549" s="372"/>
      <c r="V549" s="372"/>
      <c r="W549" s="372"/>
      <c r="X549" s="372"/>
      <c r="Y549" s="372"/>
      <c r="Z549" s="372"/>
    </row>
    <row r="550">
      <c r="A550" s="372"/>
      <c r="B550" s="372"/>
      <c r="C550" s="372"/>
      <c r="D550" s="372"/>
      <c r="E550" s="372"/>
      <c r="F550" s="372"/>
      <c r="G550" s="372"/>
      <c r="H550" s="372"/>
      <c r="I550" s="372"/>
      <c r="J550" s="372"/>
      <c r="K550" s="372"/>
      <c r="L550" s="372"/>
      <c r="M550" s="372"/>
      <c r="N550" s="372"/>
      <c r="O550" s="372"/>
      <c r="P550" s="372"/>
      <c r="Q550" s="372"/>
      <c r="R550" s="372"/>
      <c r="S550" s="372"/>
      <c r="T550" s="372"/>
      <c r="U550" s="372"/>
      <c r="V550" s="372"/>
      <c r="W550" s="372"/>
      <c r="X550" s="372"/>
      <c r="Y550" s="372"/>
      <c r="Z550" s="372"/>
    </row>
    <row r="551">
      <c r="A551" s="372"/>
      <c r="B551" s="372"/>
      <c r="C551" s="372"/>
      <c r="D551" s="372"/>
      <c r="E551" s="372"/>
      <c r="F551" s="372"/>
      <c r="G551" s="372"/>
      <c r="H551" s="372"/>
      <c r="I551" s="372"/>
      <c r="J551" s="372"/>
      <c r="K551" s="372"/>
      <c r="L551" s="372"/>
      <c r="M551" s="372"/>
      <c r="N551" s="372"/>
      <c r="O551" s="372"/>
      <c r="P551" s="372"/>
      <c r="Q551" s="372"/>
      <c r="R551" s="372"/>
      <c r="S551" s="372"/>
      <c r="T551" s="372"/>
      <c r="U551" s="372"/>
      <c r="V551" s="372"/>
      <c r="W551" s="372"/>
      <c r="X551" s="372"/>
      <c r="Y551" s="372"/>
      <c r="Z551" s="372"/>
    </row>
    <row r="552">
      <c r="A552" s="372"/>
      <c r="B552" s="372"/>
      <c r="C552" s="372"/>
      <c r="D552" s="372"/>
      <c r="E552" s="372"/>
      <c r="F552" s="372"/>
      <c r="G552" s="372"/>
      <c r="H552" s="372"/>
      <c r="I552" s="372"/>
      <c r="J552" s="372"/>
      <c r="K552" s="372"/>
      <c r="L552" s="372"/>
      <c r="M552" s="372"/>
      <c r="N552" s="372"/>
      <c r="O552" s="372"/>
      <c r="P552" s="372"/>
      <c r="Q552" s="372"/>
      <c r="R552" s="372"/>
      <c r="S552" s="372"/>
      <c r="T552" s="372"/>
      <c r="U552" s="372"/>
      <c r="V552" s="372"/>
      <c r="W552" s="372"/>
      <c r="X552" s="372"/>
      <c r="Y552" s="372"/>
      <c r="Z552" s="372"/>
    </row>
    <row r="553">
      <c r="A553" s="372"/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  <c r="T553" s="372"/>
      <c r="U553" s="372"/>
      <c r="V553" s="372"/>
      <c r="W553" s="372"/>
      <c r="X553" s="372"/>
      <c r="Y553" s="372"/>
      <c r="Z553" s="372"/>
    </row>
    <row r="554">
      <c r="A554" s="372"/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  <c r="T554" s="372"/>
      <c r="U554" s="372"/>
      <c r="V554" s="372"/>
      <c r="W554" s="372"/>
      <c r="X554" s="372"/>
      <c r="Y554" s="372"/>
      <c r="Z554" s="372"/>
    </row>
    <row r="555">
      <c r="A555" s="372"/>
      <c r="B555" s="372"/>
      <c r="C555" s="372"/>
      <c r="D555" s="372"/>
      <c r="E555" s="372"/>
      <c r="F555" s="372"/>
      <c r="G555" s="372"/>
      <c r="H555" s="372"/>
      <c r="I555" s="372"/>
      <c r="J555" s="372"/>
      <c r="K555" s="372"/>
      <c r="L555" s="372"/>
      <c r="M555" s="372"/>
      <c r="N555" s="372"/>
      <c r="O555" s="372"/>
      <c r="P555" s="372"/>
      <c r="Q555" s="372"/>
      <c r="R555" s="372"/>
      <c r="S555" s="372"/>
      <c r="T555" s="372"/>
      <c r="U555" s="372"/>
      <c r="V555" s="372"/>
      <c r="W555" s="372"/>
      <c r="X555" s="372"/>
      <c r="Y555" s="372"/>
      <c r="Z555" s="372"/>
    </row>
    <row r="556">
      <c r="A556" s="372"/>
      <c r="B556" s="372"/>
      <c r="C556" s="372"/>
      <c r="D556" s="372"/>
      <c r="E556" s="372"/>
      <c r="F556" s="372"/>
      <c r="G556" s="372"/>
      <c r="H556" s="372"/>
      <c r="I556" s="372"/>
      <c r="J556" s="372"/>
      <c r="K556" s="372"/>
      <c r="L556" s="372"/>
      <c r="M556" s="372"/>
      <c r="N556" s="372"/>
      <c r="O556" s="372"/>
      <c r="P556" s="372"/>
      <c r="Q556" s="372"/>
      <c r="R556" s="372"/>
      <c r="S556" s="372"/>
      <c r="T556" s="372"/>
      <c r="U556" s="372"/>
      <c r="V556" s="372"/>
      <c r="W556" s="372"/>
      <c r="X556" s="372"/>
      <c r="Y556" s="372"/>
      <c r="Z556" s="372"/>
    </row>
    <row r="557">
      <c r="A557" s="372"/>
      <c r="B557" s="372"/>
      <c r="C557" s="372"/>
      <c r="D557" s="372"/>
      <c r="E557" s="372"/>
      <c r="F557" s="372"/>
      <c r="G557" s="372"/>
      <c r="H557" s="372"/>
      <c r="I557" s="372"/>
      <c r="J557" s="372"/>
      <c r="K557" s="372"/>
      <c r="L557" s="372"/>
      <c r="M557" s="372"/>
      <c r="N557" s="372"/>
      <c r="O557" s="372"/>
      <c r="P557" s="372"/>
      <c r="Q557" s="372"/>
      <c r="R557" s="372"/>
      <c r="S557" s="372"/>
      <c r="T557" s="372"/>
      <c r="U557" s="372"/>
      <c r="V557" s="372"/>
      <c r="W557" s="372"/>
      <c r="X557" s="372"/>
      <c r="Y557" s="372"/>
      <c r="Z557" s="372"/>
    </row>
    <row r="558">
      <c r="A558" s="372"/>
      <c r="B558" s="372"/>
      <c r="C558" s="372"/>
      <c r="D558" s="372"/>
      <c r="E558" s="372"/>
      <c r="F558" s="372"/>
      <c r="G558" s="372"/>
      <c r="H558" s="372"/>
      <c r="I558" s="372"/>
      <c r="J558" s="372"/>
      <c r="K558" s="372"/>
      <c r="L558" s="372"/>
      <c r="M558" s="372"/>
      <c r="N558" s="372"/>
      <c r="O558" s="372"/>
      <c r="P558" s="372"/>
      <c r="Q558" s="372"/>
      <c r="R558" s="372"/>
      <c r="S558" s="372"/>
      <c r="T558" s="372"/>
      <c r="U558" s="372"/>
      <c r="V558" s="372"/>
      <c r="W558" s="372"/>
      <c r="X558" s="372"/>
      <c r="Y558" s="372"/>
      <c r="Z558" s="372"/>
    </row>
    <row r="559">
      <c r="A559" s="372"/>
      <c r="B559" s="372"/>
      <c r="C559" s="372"/>
      <c r="D559" s="372"/>
      <c r="E559" s="372"/>
      <c r="F559" s="372"/>
      <c r="G559" s="372"/>
      <c r="H559" s="372"/>
      <c r="I559" s="372"/>
      <c r="J559" s="372"/>
      <c r="K559" s="372"/>
      <c r="L559" s="372"/>
      <c r="M559" s="372"/>
      <c r="N559" s="372"/>
      <c r="O559" s="372"/>
      <c r="P559" s="372"/>
      <c r="Q559" s="372"/>
      <c r="R559" s="372"/>
      <c r="S559" s="372"/>
      <c r="T559" s="372"/>
      <c r="U559" s="372"/>
      <c r="V559" s="372"/>
      <c r="W559" s="372"/>
      <c r="X559" s="372"/>
      <c r="Y559" s="372"/>
      <c r="Z559" s="372"/>
    </row>
    <row r="560">
      <c r="A560" s="372"/>
      <c r="B560" s="372"/>
      <c r="C560" s="372"/>
      <c r="D560" s="372"/>
      <c r="E560" s="372"/>
      <c r="F560" s="372"/>
      <c r="G560" s="372"/>
      <c r="H560" s="372"/>
      <c r="I560" s="372"/>
      <c r="J560" s="372"/>
      <c r="K560" s="372"/>
      <c r="L560" s="372"/>
      <c r="M560" s="372"/>
      <c r="N560" s="372"/>
      <c r="O560" s="372"/>
      <c r="P560" s="372"/>
      <c r="Q560" s="372"/>
      <c r="R560" s="372"/>
      <c r="S560" s="372"/>
      <c r="T560" s="372"/>
      <c r="U560" s="372"/>
      <c r="V560" s="372"/>
      <c r="W560" s="372"/>
      <c r="X560" s="372"/>
      <c r="Y560" s="372"/>
      <c r="Z560" s="372"/>
    </row>
    <row r="561">
      <c r="A561" s="372"/>
      <c r="B561" s="372"/>
      <c r="C561" s="372"/>
      <c r="D561" s="372"/>
      <c r="E561" s="372"/>
      <c r="F561" s="372"/>
      <c r="G561" s="372"/>
      <c r="H561" s="372"/>
      <c r="I561" s="372"/>
      <c r="J561" s="372"/>
      <c r="K561" s="372"/>
      <c r="L561" s="372"/>
      <c r="M561" s="372"/>
      <c r="N561" s="372"/>
      <c r="O561" s="372"/>
      <c r="P561" s="372"/>
      <c r="Q561" s="372"/>
      <c r="R561" s="372"/>
      <c r="S561" s="372"/>
      <c r="T561" s="372"/>
      <c r="U561" s="372"/>
      <c r="V561" s="372"/>
      <c r="W561" s="372"/>
      <c r="X561" s="372"/>
      <c r="Y561" s="372"/>
      <c r="Z561" s="372"/>
    </row>
    <row r="562">
      <c r="A562" s="372"/>
      <c r="B562" s="372"/>
      <c r="C562" s="372"/>
      <c r="D562" s="372"/>
      <c r="E562" s="372"/>
      <c r="F562" s="372"/>
      <c r="G562" s="372"/>
      <c r="H562" s="372"/>
      <c r="I562" s="372"/>
      <c r="J562" s="372"/>
      <c r="K562" s="372"/>
      <c r="L562" s="372"/>
      <c r="M562" s="372"/>
      <c r="N562" s="372"/>
      <c r="O562" s="372"/>
      <c r="P562" s="372"/>
      <c r="Q562" s="372"/>
      <c r="R562" s="372"/>
      <c r="S562" s="372"/>
      <c r="T562" s="372"/>
      <c r="U562" s="372"/>
      <c r="V562" s="372"/>
      <c r="W562" s="372"/>
      <c r="X562" s="372"/>
      <c r="Y562" s="372"/>
      <c r="Z562" s="372"/>
    </row>
    <row r="563">
      <c r="A563" s="372"/>
      <c r="B563" s="372"/>
      <c r="C563" s="372"/>
      <c r="D563" s="372"/>
      <c r="E563" s="372"/>
      <c r="F563" s="372"/>
      <c r="G563" s="372"/>
      <c r="H563" s="372"/>
      <c r="I563" s="372"/>
      <c r="J563" s="372"/>
      <c r="K563" s="372"/>
      <c r="L563" s="372"/>
      <c r="M563" s="372"/>
      <c r="N563" s="372"/>
      <c r="O563" s="372"/>
      <c r="P563" s="372"/>
      <c r="Q563" s="372"/>
      <c r="R563" s="372"/>
      <c r="S563" s="372"/>
      <c r="T563" s="372"/>
      <c r="U563" s="372"/>
      <c r="V563" s="372"/>
      <c r="W563" s="372"/>
      <c r="X563" s="372"/>
      <c r="Y563" s="372"/>
      <c r="Z563" s="372"/>
    </row>
    <row r="564">
      <c r="A564" s="372"/>
      <c r="B564" s="372"/>
      <c r="C564" s="372"/>
      <c r="D564" s="372"/>
      <c r="E564" s="372"/>
      <c r="F564" s="372"/>
      <c r="G564" s="372"/>
      <c r="H564" s="372"/>
      <c r="I564" s="372"/>
      <c r="J564" s="372"/>
      <c r="K564" s="372"/>
      <c r="L564" s="372"/>
      <c r="M564" s="372"/>
      <c r="N564" s="372"/>
      <c r="O564" s="372"/>
      <c r="P564" s="372"/>
      <c r="Q564" s="372"/>
      <c r="R564" s="372"/>
      <c r="S564" s="372"/>
      <c r="T564" s="372"/>
      <c r="U564" s="372"/>
      <c r="V564" s="372"/>
      <c r="W564" s="372"/>
      <c r="X564" s="372"/>
      <c r="Y564" s="372"/>
      <c r="Z564" s="372"/>
    </row>
    <row r="565">
      <c r="A565" s="372"/>
      <c r="B565" s="372"/>
      <c r="C565" s="372"/>
      <c r="D565" s="372"/>
      <c r="E565" s="372"/>
      <c r="F565" s="372"/>
      <c r="G565" s="372"/>
      <c r="H565" s="372"/>
      <c r="I565" s="372"/>
      <c r="J565" s="372"/>
      <c r="K565" s="372"/>
      <c r="L565" s="372"/>
      <c r="M565" s="372"/>
      <c r="N565" s="372"/>
      <c r="O565" s="372"/>
      <c r="P565" s="372"/>
      <c r="Q565" s="372"/>
      <c r="R565" s="372"/>
      <c r="S565" s="372"/>
      <c r="T565" s="372"/>
      <c r="U565" s="372"/>
      <c r="V565" s="372"/>
      <c r="W565" s="372"/>
      <c r="X565" s="372"/>
      <c r="Y565" s="372"/>
      <c r="Z565" s="372"/>
    </row>
    <row r="566">
      <c r="A566" s="372"/>
      <c r="B566" s="372"/>
      <c r="C566" s="372"/>
      <c r="D566" s="372"/>
      <c r="E566" s="372"/>
      <c r="F566" s="372"/>
      <c r="G566" s="372"/>
      <c r="H566" s="372"/>
      <c r="I566" s="372"/>
      <c r="J566" s="372"/>
      <c r="K566" s="372"/>
      <c r="L566" s="372"/>
      <c r="M566" s="372"/>
      <c r="N566" s="372"/>
      <c r="O566" s="372"/>
      <c r="P566" s="372"/>
      <c r="Q566" s="372"/>
      <c r="R566" s="372"/>
      <c r="S566" s="372"/>
      <c r="T566" s="372"/>
      <c r="U566" s="372"/>
      <c r="V566" s="372"/>
      <c r="W566" s="372"/>
      <c r="X566" s="372"/>
      <c r="Y566" s="372"/>
      <c r="Z566" s="372"/>
    </row>
    <row r="567">
      <c r="A567" s="372"/>
      <c r="B567" s="372"/>
      <c r="C567" s="372"/>
      <c r="D567" s="372"/>
      <c r="E567" s="372"/>
      <c r="F567" s="372"/>
      <c r="G567" s="372"/>
      <c r="H567" s="372"/>
      <c r="I567" s="372"/>
      <c r="J567" s="372"/>
      <c r="K567" s="372"/>
      <c r="L567" s="372"/>
      <c r="M567" s="372"/>
      <c r="N567" s="372"/>
      <c r="O567" s="372"/>
      <c r="P567" s="372"/>
      <c r="Q567" s="372"/>
      <c r="R567" s="372"/>
      <c r="S567" s="372"/>
      <c r="T567" s="372"/>
      <c r="U567" s="372"/>
      <c r="V567" s="372"/>
      <c r="W567" s="372"/>
      <c r="X567" s="372"/>
      <c r="Y567" s="372"/>
      <c r="Z567" s="372"/>
    </row>
    <row r="568">
      <c r="A568" s="372"/>
      <c r="B568" s="372"/>
      <c r="C568" s="372"/>
      <c r="D568" s="372"/>
      <c r="E568" s="372"/>
      <c r="F568" s="372"/>
      <c r="G568" s="372"/>
      <c r="H568" s="372"/>
      <c r="I568" s="372"/>
      <c r="J568" s="372"/>
      <c r="K568" s="372"/>
      <c r="L568" s="372"/>
      <c r="M568" s="372"/>
      <c r="N568" s="372"/>
      <c r="O568" s="372"/>
      <c r="P568" s="372"/>
      <c r="Q568" s="372"/>
      <c r="R568" s="372"/>
      <c r="S568" s="372"/>
      <c r="T568" s="372"/>
      <c r="U568" s="372"/>
      <c r="V568" s="372"/>
      <c r="W568" s="372"/>
      <c r="X568" s="372"/>
      <c r="Y568" s="372"/>
      <c r="Z568" s="372"/>
    </row>
    <row r="569">
      <c r="A569" s="372"/>
      <c r="B569" s="372"/>
      <c r="C569" s="372"/>
      <c r="D569" s="372"/>
      <c r="E569" s="372"/>
      <c r="F569" s="372"/>
      <c r="G569" s="372"/>
      <c r="H569" s="372"/>
      <c r="I569" s="372"/>
      <c r="J569" s="372"/>
      <c r="K569" s="372"/>
      <c r="L569" s="372"/>
      <c r="M569" s="372"/>
      <c r="N569" s="372"/>
      <c r="O569" s="372"/>
      <c r="P569" s="372"/>
      <c r="Q569" s="372"/>
      <c r="R569" s="372"/>
      <c r="S569" s="372"/>
      <c r="T569" s="372"/>
      <c r="U569" s="372"/>
      <c r="V569" s="372"/>
      <c r="W569" s="372"/>
      <c r="X569" s="372"/>
      <c r="Y569" s="372"/>
      <c r="Z569" s="372"/>
    </row>
    <row r="570">
      <c r="A570" s="372"/>
      <c r="B570" s="372"/>
      <c r="C570" s="372"/>
      <c r="D570" s="372"/>
      <c r="E570" s="372"/>
      <c r="F570" s="372"/>
      <c r="G570" s="372"/>
      <c r="H570" s="372"/>
      <c r="I570" s="372"/>
      <c r="J570" s="372"/>
      <c r="K570" s="372"/>
      <c r="L570" s="372"/>
      <c r="M570" s="372"/>
      <c r="N570" s="372"/>
      <c r="O570" s="372"/>
      <c r="P570" s="372"/>
      <c r="Q570" s="372"/>
      <c r="R570" s="372"/>
      <c r="S570" s="372"/>
      <c r="T570" s="372"/>
      <c r="U570" s="372"/>
      <c r="V570" s="372"/>
      <c r="W570" s="372"/>
      <c r="X570" s="372"/>
      <c r="Y570" s="372"/>
      <c r="Z570" s="372"/>
    </row>
    <row r="571">
      <c r="A571" s="372"/>
      <c r="B571" s="372"/>
      <c r="C571" s="372"/>
      <c r="D571" s="372"/>
      <c r="E571" s="372"/>
      <c r="F571" s="372"/>
      <c r="G571" s="372"/>
      <c r="H571" s="372"/>
      <c r="I571" s="372"/>
      <c r="J571" s="372"/>
      <c r="K571" s="372"/>
      <c r="L571" s="372"/>
      <c r="M571" s="372"/>
      <c r="N571" s="372"/>
      <c r="O571" s="372"/>
      <c r="P571" s="372"/>
      <c r="Q571" s="372"/>
      <c r="R571" s="372"/>
      <c r="S571" s="372"/>
      <c r="T571" s="372"/>
      <c r="U571" s="372"/>
      <c r="V571" s="372"/>
      <c r="W571" s="372"/>
      <c r="X571" s="372"/>
      <c r="Y571" s="372"/>
      <c r="Z571" s="372"/>
    </row>
    <row r="572">
      <c r="A572" s="372"/>
      <c r="B572" s="372"/>
      <c r="C572" s="372"/>
      <c r="D572" s="372"/>
      <c r="E572" s="372"/>
      <c r="F572" s="372"/>
      <c r="G572" s="372"/>
      <c r="H572" s="372"/>
      <c r="I572" s="372"/>
      <c r="J572" s="372"/>
      <c r="K572" s="372"/>
      <c r="L572" s="372"/>
      <c r="M572" s="372"/>
      <c r="N572" s="372"/>
      <c r="O572" s="372"/>
      <c r="P572" s="372"/>
      <c r="Q572" s="372"/>
      <c r="R572" s="372"/>
      <c r="S572" s="372"/>
      <c r="T572" s="372"/>
      <c r="U572" s="372"/>
      <c r="V572" s="372"/>
      <c r="W572" s="372"/>
      <c r="X572" s="372"/>
      <c r="Y572" s="372"/>
      <c r="Z572" s="372"/>
    </row>
    <row r="573">
      <c r="A573" s="372"/>
      <c r="B573" s="372"/>
      <c r="C573" s="372"/>
      <c r="D573" s="372"/>
      <c r="E573" s="372"/>
      <c r="F573" s="372"/>
      <c r="G573" s="372"/>
      <c r="H573" s="372"/>
      <c r="I573" s="372"/>
      <c r="J573" s="372"/>
      <c r="K573" s="372"/>
      <c r="L573" s="372"/>
      <c r="M573" s="372"/>
      <c r="N573" s="372"/>
      <c r="O573" s="372"/>
      <c r="P573" s="372"/>
      <c r="Q573" s="372"/>
      <c r="R573" s="372"/>
      <c r="S573" s="372"/>
      <c r="T573" s="372"/>
      <c r="U573" s="372"/>
      <c r="V573" s="372"/>
      <c r="W573" s="372"/>
      <c r="X573" s="372"/>
      <c r="Y573" s="372"/>
      <c r="Z573" s="372"/>
    </row>
    <row r="574">
      <c r="A574" s="372"/>
      <c r="B574" s="372"/>
      <c r="C574" s="372"/>
      <c r="D574" s="372"/>
      <c r="E574" s="372"/>
      <c r="F574" s="372"/>
      <c r="G574" s="372"/>
      <c r="H574" s="372"/>
      <c r="I574" s="372"/>
      <c r="J574" s="372"/>
      <c r="K574" s="372"/>
      <c r="L574" s="372"/>
      <c r="M574" s="372"/>
      <c r="N574" s="372"/>
      <c r="O574" s="372"/>
      <c r="P574" s="372"/>
      <c r="Q574" s="372"/>
      <c r="R574" s="372"/>
      <c r="S574" s="372"/>
      <c r="T574" s="372"/>
      <c r="U574" s="372"/>
      <c r="V574" s="372"/>
      <c r="W574" s="372"/>
      <c r="X574" s="372"/>
      <c r="Y574" s="372"/>
      <c r="Z574" s="372"/>
    </row>
    <row r="575">
      <c r="A575" s="372"/>
      <c r="B575" s="372"/>
      <c r="C575" s="372"/>
      <c r="D575" s="372"/>
      <c r="E575" s="372"/>
      <c r="F575" s="372"/>
      <c r="G575" s="372"/>
      <c r="H575" s="372"/>
      <c r="I575" s="372"/>
      <c r="J575" s="372"/>
      <c r="K575" s="372"/>
      <c r="L575" s="372"/>
      <c r="M575" s="372"/>
      <c r="N575" s="372"/>
      <c r="O575" s="372"/>
      <c r="P575" s="372"/>
      <c r="Q575" s="372"/>
      <c r="R575" s="372"/>
      <c r="S575" s="372"/>
      <c r="T575" s="372"/>
      <c r="U575" s="372"/>
      <c r="V575" s="372"/>
      <c r="W575" s="372"/>
      <c r="X575" s="372"/>
      <c r="Y575" s="372"/>
      <c r="Z575" s="372"/>
    </row>
    <row r="576">
      <c r="A576" s="372"/>
      <c r="B576" s="372"/>
      <c r="C576" s="372"/>
      <c r="D576" s="372"/>
      <c r="E576" s="372"/>
      <c r="F576" s="372"/>
      <c r="G576" s="372"/>
      <c r="H576" s="372"/>
      <c r="I576" s="372"/>
      <c r="J576" s="372"/>
      <c r="K576" s="372"/>
      <c r="L576" s="372"/>
      <c r="M576" s="372"/>
      <c r="N576" s="372"/>
      <c r="O576" s="372"/>
      <c r="P576" s="372"/>
      <c r="Q576" s="372"/>
      <c r="R576" s="372"/>
      <c r="S576" s="372"/>
      <c r="T576" s="372"/>
      <c r="U576" s="372"/>
      <c r="V576" s="372"/>
      <c r="W576" s="372"/>
      <c r="X576" s="372"/>
      <c r="Y576" s="372"/>
      <c r="Z576" s="372"/>
    </row>
    <row r="577">
      <c r="A577" s="372"/>
      <c r="B577" s="372"/>
      <c r="C577" s="372"/>
      <c r="D577" s="372"/>
      <c r="E577" s="372"/>
      <c r="F577" s="372"/>
      <c r="G577" s="372"/>
      <c r="H577" s="372"/>
      <c r="I577" s="372"/>
      <c r="J577" s="372"/>
      <c r="K577" s="372"/>
      <c r="L577" s="372"/>
      <c r="M577" s="372"/>
      <c r="N577" s="372"/>
      <c r="O577" s="372"/>
      <c r="P577" s="372"/>
      <c r="Q577" s="372"/>
      <c r="R577" s="372"/>
      <c r="S577" s="372"/>
      <c r="T577" s="372"/>
      <c r="U577" s="372"/>
      <c r="V577" s="372"/>
      <c r="W577" s="372"/>
      <c r="X577" s="372"/>
      <c r="Y577" s="372"/>
      <c r="Z577" s="372"/>
    </row>
    <row r="578">
      <c r="A578" s="372"/>
      <c r="B578" s="372"/>
      <c r="C578" s="372"/>
      <c r="D578" s="372"/>
      <c r="E578" s="372"/>
      <c r="F578" s="372"/>
      <c r="G578" s="372"/>
      <c r="H578" s="372"/>
      <c r="I578" s="372"/>
      <c r="J578" s="372"/>
      <c r="K578" s="372"/>
      <c r="L578" s="372"/>
      <c r="M578" s="372"/>
      <c r="N578" s="372"/>
      <c r="O578" s="372"/>
      <c r="P578" s="372"/>
      <c r="Q578" s="372"/>
      <c r="R578" s="372"/>
      <c r="S578" s="372"/>
      <c r="T578" s="372"/>
      <c r="U578" s="372"/>
      <c r="V578" s="372"/>
      <c r="W578" s="372"/>
      <c r="X578" s="372"/>
      <c r="Y578" s="372"/>
      <c r="Z578" s="372"/>
    </row>
    <row r="579">
      <c r="A579" s="372"/>
      <c r="B579" s="372"/>
      <c r="C579" s="372"/>
      <c r="D579" s="372"/>
      <c r="E579" s="372"/>
      <c r="F579" s="372"/>
      <c r="G579" s="372"/>
      <c r="H579" s="372"/>
      <c r="I579" s="372"/>
      <c r="J579" s="372"/>
      <c r="K579" s="372"/>
      <c r="L579" s="372"/>
      <c r="M579" s="372"/>
      <c r="N579" s="372"/>
      <c r="O579" s="372"/>
      <c r="P579" s="372"/>
      <c r="Q579" s="372"/>
      <c r="R579" s="372"/>
      <c r="S579" s="372"/>
      <c r="T579" s="372"/>
      <c r="U579" s="372"/>
      <c r="V579" s="372"/>
      <c r="W579" s="372"/>
      <c r="X579" s="372"/>
      <c r="Y579" s="372"/>
      <c r="Z579" s="372"/>
    </row>
    <row r="580">
      <c r="A580" s="372"/>
      <c r="B580" s="372"/>
      <c r="C580" s="372"/>
      <c r="D580" s="372"/>
      <c r="E580" s="372"/>
      <c r="F580" s="372"/>
      <c r="G580" s="372"/>
      <c r="H580" s="372"/>
      <c r="I580" s="372"/>
      <c r="J580" s="372"/>
      <c r="K580" s="372"/>
      <c r="L580" s="372"/>
      <c r="M580" s="372"/>
      <c r="N580" s="372"/>
      <c r="O580" s="372"/>
      <c r="P580" s="372"/>
      <c r="Q580" s="372"/>
      <c r="R580" s="372"/>
      <c r="S580" s="372"/>
      <c r="T580" s="372"/>
      <c r="U580" s="372"/>
      <c r="V580" s="372"/>
      <c r="W580" s="372"/>
      <c r="X580" s="372"/>
      <c r="Y580" s="372"/>
      <c r="Z580" s="372"/>
    </row>
    <row r="581">
      <c r="A581" s="372"/>
      <c r="B581" s="372"/>
      <c r="C581" s="372"/>
      <c r="D581" s="372"/>
      <c r="E581" s="372"/>
      <c r="F581" s="372"/>
      <c r="G581" s="372"/>
      <c r="H581" s="372"/>
      <c r="I581" s="372"/>
      <c r="J581" s="372"/>
      <c r="K581" s="372"/>
      <c r="L581" s="372"/>
      <c r="M581" s="372"/>
      <c r="N581" s="372"/>
      <c r="O581" s="372"/>
      <c r="P581" s="372"/>
      <c r="Q581" s="372"/>
      <c r="R581" s="372"/>
      <c r="S581" s="372"/>
      <c r="T581" s="372"/>
      <c r="U581" s="372"/>
      <c r="V581" s="372"/>
      <c r="W581" s="372"/>
      <c r="X581" s="372"/>
      <c r="Y581" s="372"/>
      <c r="Z581" s="372"/>
    </row>
    <row r="582">
      <c r="A582" s="372"/>
      <c r="B582" s="372"/>
      <c r="C582" s="372"/>
      <c r="D582" s="372"/>
      <c r="E582" s="372"/>
      <c r="F582" s="372"/>
      <c r="G582" s="372"/>
      <c r="H582" s="372"/>
      <c r="I582" s="372"/>
      <c r="J582" s="372"/>
      <c r="K582" s="372"/>
      <c r="L582" s="372"/>
      <c r="M582" s="372"/>
      <c r="N582" s="372"/>
      <c r="O582" s="372"/>
      <c r="P582" s="372"/>
      <c r="Q582" s="372"/>
      <c r="R582" s="372"/>
      <c r="S582" s="372"/>
      <c r="T582" s="372"/>
      <c r="U582" s="372"/>
      <c r="V582" s="372"/>
      <c r="W582" s="372"/>
      <c r="X582" s="372"/>
      <c r="Y582" s="372"/>
      <c r="Z582" s="372"/>
    </row>
    <row r="583">
      <c r="A583" s="372"/>
      <c r="B583" s="372"/>
      <c r="C583" s="372"/>
      <c r="D583" s="372"/>
      <c r="E583" s="372"/>
      <c r="F583" s="372"/>
      <c r="G583" s="372"/>
      <c r="H583" s="372"/>
      <c r="I583" s="372"/>
      <c r="J583" s="372"/>
      <c r="K583" s="372"/>
      <c r="L583" s="372"/>
      <c r="M583" s="372"/>
      <c r="N583" s="372"/>
      <c r="O583" s="372"/>
      <c r="P583" s="372"/>
      <c r="Q583" s="372"/>
      <c r="R583" s="372"/>
      <c r="S583" s="372"/>
      <c r="T583" s="372"/>
      <c r="U583" s="372"/>
      <c r="V583" s="372"/>
      <c r="W583" s="372"/>
      <c r="X583" s="372"/>
      <c r="Y583" s="372"/>
      <c r="Z583" s="372"/>
    </row>
    <row r="584">
      <c r="A584" s="372"/>
      <c r="B584" s="372"/>
      <c r="C584" s="372"/>
      <c r="D584" s="372"/>
      <c r="E584" s="372"/>
      <c r="F584" s="372"/>
      <c r="G584" s="372"/>
      <c r="H584" s="372"/>
      <c r="I584" s="372"/>
      <c r="J584" s="372"/>
      <c r="K584" s="372"/>
      <c r="L584" s="372"/>
      <c r="M584" s="372"/>
      <c r="N584" s="372"/>
      <c r="O584" s="372"/>
      <c r="P584" s="372"/>
      <c r="Q584" s="372"/>
      <c r="R584" s="372"/>
      <c r="S584" s="372"/>
      <c r="T584" s="372"/>
      <c r="U584" s="372"/>
      <c r="V584" s="372"/>
      <c r="W584" s="372"/>
      <c r="X584" s="372"/>
      <c r="Y584" s="372"/>
      <c r="Z584" s="372"/>
    </row>
    <row r="585">
      <c r="A585" s="372"/>
      <c r="B585" s="372"/>
      <c r="C585" s="372"/>
      <c r="D585" s="372"/>
      <c r="E585" s="372"/>
      <c r="F585" s="372"/>
      <c r="G585" s="372"/>
      <c r="H585" s="372"/>
      <c r="I585" s="372"/>
      <c r="J585" s="372"/>
      <c r="K585" s="372"/>
      <c r="L585" s="372"/>
      <c r="M585" s="372"/>
      <c r="N585" s="372"/>
      <c r="O585" s="372"/>
      <c r="P585" s="372"/>
      <c r="Q585" s="372"/>
      <c r="R585" s="372"/>
      <c r="S585" s="372"/>
      <c r="T585" s="372"/>
      <c r="U585" s="372"/>
      <c r="V585" s="372"/>
      <c r="W585" s="372"/>
      <c r="X585" s="372"/>
      <c r="Y585" s="372"/>
      <c r="Z585" s="372"/>
    </row>
    <row r="586">
      <c r="A586" s="372"/>
      <c r="B586" s="372"/>
      <c r="C586" s="372"/>
      <c r="D586" s="372"/>
      <c r="E586" s="372"/>
      <c r="F586" s="372"/>
      <c r="G586" s="372"/>
      <c r="H586" s="372"/>
      <c r="I586" s="372"/>
      <c r="J586" s="372"/>
      <c r="K586" s="372"/>
      <c r="L586" s="372"/>
      <c r="M586" s="372"/>
      <c r="N586" s="372"/>
      <c r="O586" s="372"/>
      <c r="P586" s="372"/>
      <c r="Q586" s="372"/>
      <c r="R586" s="372"/>
      <c r="S586" s="372"/>
      <c r="T586" s="372"/>
      <c r="U586" s="372"/>
      <c r="V586" s="372"/>
      <c r="W586" s="372"/>
      <c r="X586" s="372"/>
      <c r="Y586" s="372"/>
      <c r="Z586" s="372"/>
    </row>
    <row r="587">
      <c r="A587" s="372"/>
      <c r="B587" s="372"/>
      <c r="C587" s="372"/>
      <c r="D587" s="372"/>
      <c r="E587" s="372"/>
      <c r="F587" s="372"/>
      <c r="G587" s="372"/>
      <c r="H587" s="372"/>
      <c r="I587" s="372"/>
      <c r="J587" s="372"/>
      <c r="K587" s="372"/>
      <c r="L587" s="372"/>
      <c r="M587" s="372"/>
      <c r="N587" s="372"/>
      <c r="O587" s="372"/>
      <c r="P587" s="372"/>
      <c r="Q587" s="372"/>
      <c r="R587" s="372"/>
      <c r="S587" s="372"/>
      <c r="T587" s="372"/>
      <c r="U587" s="372"/>
      <c r="V587" s="372"/>
      <c r="W587" s="372"/>
      <c r="X587" s="372"/>
      <c r="Y587" s="372"/>
      <c r="Z587" s="372"/>
    </row>
    <row r="588">
      <c r="A588" s="372"/>
      <c r="B588" s="372"/>
      <c r="C588" s="372"/>
      <c r="D588" s="372"/>
      <c r="E588" s="372"/>
      <c r="F588" s="372"/>
      <c r="G588" s="372"/>
      <c r="H588" s="372"/>
      <c r="I588" s="372"/>
      <c r="J588" s="372"/>
      <c r="K588" s="372"/>
      <c r="L588" s="372"/>
      <c r="M588" s="372"/>
      <c r="N588" s="372"/>
      <c r="O588" s="372"/>
      <c r="P588" s="372"/>
      <c r="Q588" s="372"/>
      <c r="R588" s="372"/>
      <c r="S588" s="372"/>
      <c r="T588" s="372"/>
      <c r="U588" s="372"/>
      <c r="V588" s="372"/>
      <c r="W588" s="372"/>
      <c r="X588" s="372"/>
      <c r="Y588" s="372"/>
      <c r="Z588" s="372"/>
    </row>
    <row r="589">
      <c r="A589" s="372"/>
      <c r="B589" s="372"/>
      <c r="C589" s="372"/>
      <c r="D589" s="372"/>
      <c r="E589" s="372"/>
      <c r="F589" s="372"/>
      <c r="G589" s="372"/>
      <c r="H589" s="372"/>
      <c r="I589" s="372"/>
      <c r="J589" s="372"/>
      <c r="K589" s="372"/>
      <c r="L589" s="372"/>
      <c r="M589" s="372"/>
      <c r="N589" s="372"/>
      <c r="O589" s="372"/>
      <c r="P589" s="372"/>
      <c r="Q589" s="372"/>
      <c r="R589" s="372"/>
      <c r="S589" s="372"/>
      <c r="T589" s="372"/>
      <c r="U589" s="372"/>
      <c r="V589" s="372"/>
      <c r="W589" s="372"/>
      <c r="X589" s="372"/>
      <c r="Y589" s="372"/>
      <c r="Z589" s="372"/>
    </row>
    <row r="590">
      <c r="A590" s="372"/>
      <c r="B590" s="372"/>
      <c r="C590" s="372"/>
      <c r="D590" s="372"/>
      <c r="E590" s="372"/>
      <c r="F590" s="372"/>
      <c r="G590" s="372"/>
      <c r="H590" s="372"/>
      <c r="I590" s="372"/>
      <c r="J590" s="372"/>
      <c r="K590" s="372"/>
      <c r="L590" s="372"/>
      <c r="M590" s="372"/>
      <c r="N590" s="372"/>
      <c r="O590" s="372"/>
      <c r="P590" s="372"/>
      <c r="Q590" s="372"/>
      <c r="R590" s="372"/>
      <c r="S590" s="372"/>
      <c r="T590" s="372"/>
      <c r="U590" s="372"/>
      <c r="V590" s="372"/>
      <c r="W590" s="372"/>
      <c r="X590" s="372"/>
      <c r="Y590" s="372"/>
      <c r="Z590" s="372"/>
    </row>
    <row r="591">
      <c r="A591" s="372"/>
      <c r="B591" s="372"/>
      <c r="C591" s="372"/>
      <c r="D591" s="372"/>
      <c r="E591" s="372"/>
      <c r="F591" s="372"/>
      <c r="G591" s="372"/>
      <c r="H591" s="372"/>
      <c r="I591" s="372"/>
      <c r="J591" s="372"/>
      <c r="K591" s="372"/>
      <c r="L591" s="372"/>
      <c r="M591" s="372"/>
      <c r="N591" s="372"/>
      <c r="O591" s="372"/>
      <c r="P591" s="372"/>
      <c r="Q591" s="372"/>
      <c r="R591" s="372"/>
      <c r="S591" s="372"/>
      <c r="T591" s="372"/>
      <c r="U591" s="372"/>
      <c r="V591" s="372"/>
      <c r="W591" s="372"/>
      <c r="X591" s="372"/>
      <c r="Y591" s="372"/>
      <c r="Z591" s="372"/>
    </row>
    <row r="592">
      <c r="A592" s="372"/>
      <c r="B592" s="372"/>
      <c r="C592" s="372"/>
      <c r="D592" s="372"/>
      <c r="E592" s="372"/>
      <c r="F592" s="372"/>
      <c r="G592" s="372"/>
      <c r="H592" s="372"/>
      <c r="I592" s="372"/>
      <c r="J592" s="372"/>
      <c r="K592" s="372"/>
      <c r="L592" s="372"/>
      <c r="M592" s="372"/>
      <c r="N592" s="372"/>
      <c r="O592" s="372"/>
      <c r="P592" s="372"/>
      <c r="Q592" s="372"/>
      <c r="R592" s="372"/>
      <c r="S592" s="372"/>
      <c r="T592" s="372"/>
      <c r="U592" s="372"/>
      <c r="V592" s="372"/>
      <c r="W592" s="372"/>
      <c r="X592" s="372"/>
      <c r="Y592" s="372"/>
      <c r="Z592" s="372"/>
    </row>
    <row r="593">
      <c r="A593" s="372"/>
      <c r="B593" s="372"/>
      <c r="C593" s="372"/>
      <c r="D593" s="372"/>
      <c r="E593" s="372"/>
      <c r="F593" s="372"/>
      <c r="G593" s="372"/>
      <c r="H593" s="372"/>
      <c r="I593" s="372"/>
      <c r="J593" s="372"/>
      <c r="K593" s="372"/>
      <c r="L593" s="372"/>
      <c r="M593" s="372"/>
      <c r="N593" s="372"/>
      <c r="O593" s="372"/>
      <c r="P593" s="372"/>
      <c r="Q593" s="372"/>
      <c r="R593" s="372"/>
      <c r="S593" s="372"/>
      <c r="T593" s="372"/>
      <c r="U593" s="372"/>
      <c r="V593" s="372"/>
      <c r="W593" s="372"/>
      <c r="X593" s="372"/>
      <c r="Y593" s="372"/>
      <c r="Z593" s="372"/>
    </row>
    <row r="594">
      <c r="A594" s="372"/>
      <c r="B594" s="372"/>
      <c r="C594" s="372"/>
      <c r="D594" s="372"/>
      <c r="E594" s="372"/>
      <c r="F594" s="372"/>
      <c r="G594" s="372"/>
      <c r="H594" s="372"/>
      <c r="I594" s="372"/>
      <c r="J594" s="372"/>
      <c r="K594" s="372"/>
      <c r="L594" s="372"/>
      <c r="M594" s="372"/>
      <c r="N594" s="372"/>
      <c r="O594" s="372"/>
      <c r="P594" s="372"/>
      <c r="Q594" s="372"/>
      <c r="R594" s="372"/>
      <c r="S594" s="372"/>
      <c r="T594" s="372"/>
      <c r="U594" s="372"/>
      <c r="V594" s="372"/>
      <c r="W594" s="372"/>
      <c r="X594" s="372"/>
      <c r="Y594" s="372"/>
      <c r="Z594" s="372"/>
    </row>
    <row r="595">
      <c r="A595" s="372"/>
      <c r="B595" s="372"/>
      <c r="C595" s="372"/>
      <c r="D595" s="372"/>
      <c r="E595" s="372"/>
      <c r="F595" s="372"/>
      <c r="G595" s="372"/>
      <c r="H595" s="372"/>
      <c r="I595" s="372"/>
      <c r="J595" s="372"/>
      <c r="K595" s="372"/>
      <c r="L595" s="372"/>
      <c r="M595" s="372"/>
      <c r="N595" s="372"/>
      <c r="O595" s="372"/>
      <c r="P595" s="372"/>
      <c r="Q595" s="372"/>
      <c r="R595" s="372"/>
      <c r="S595" s="372"/>
      <c r="T595" s="372"/>
      <c r="U595" s="372"/>
      <c r="V595" s="372"/>
      <c r="W595" s="372"/>
      <c r="X595" s="372"/>
      <c r="Y595" s="372"/>
      <c r="Z595" s="372"/>
    </row>
    <row r="596">
      <c r="A596" s="372"/>
      <c r="B596" s="372"/>
      <c r="C596" s="372"/>
      <c r="D596" s="372"/>
      <c r="E596" s="372"/>
      <c r="F596" s="372"/>
      <c r="G596" s="372"/>
      <c r="H596" s="372"/>
      <c r="I596" s="372"/>
      <c r="J596" s="372"/>
      <c r="K596" s="372"/>
      <c r="L596" s="372"/>
      <c r="M596" s="372"/>
      <c r="N596" s="372"/>
      <c r="O596" s="372"/>
      <c r="P596" s="372"/>
      <c r="Q596" s="372"/>
      <c r="R596" s="372"/>
      <c r="S596" s="372"/>
      <c r="T596" s="372"/>
      <c r="U596" s="372"/>
      <c r="V596" s="372"/>
      <c r="W596" s="372"/>
      <c r="X596" s="372"/>
      <c r="Y596" s="372"/>
      <c r="Z596" s="372"/>
    </row>
    <row r="597">
      <c r="A597" s="372"/>
      <c r="B597" s="372"/>
      <c r="C597" s="372"/>
      <c r="D597" s="372"/>
      <c r="E597" s="372"/>
      <c r="F597" s="372"/>
      <c r="G597" s="372"/>
      <c r="H597" s="372"/>
      <c r="I597" s="372"/>
      <c r="J597" s="372"/>
      <c r="K597" s="372"/>
      <c r="L597" s="372"/>
      <c r="M597" s="372"/>
      <c r="N597" s="372"/>
      <c r="O597" s="372"/>
      <c r="P597" s="372"/>
      <c r="Q597" s="372"/>
      <c r="R597" s="372"/>
      <c r="S597" s="372"/>
      <c r="T597" s="372"/>
      <c r="U597" s="372"/>
      <c r="V597" s="372"/>
      <c r="W597" s="372"/>
      <c r="X597" s="372"/>
      <c r="Y597" s="372"/>
      <c r="Z597" s="372"/>
    </row>
    <row r="598">
      <c r="A598" s="372"/>
      <c r="B598" s="372"/>
      <c r="C598" s="372"/>
      <c r="D598" s="372"/>
      <c r="E598" s="372"/>
      <c r="F598" s="372"/>
      <c r="G598" s="372"/>
      <c r="H598" s="372"/>
      <c r="I598" s="372"/>
      <c r="J598" s="372"/>
      <c r="K598" s="372"/>
      <c r="L598" s="372"/>
      <c r="M598" s="372"/>
      <c r="N598" s="372"/>
      <c r="O598" s="372"/>
      <c r="P598" s="372"/>
      <c r="Q598" s="372"/>
      <c r="R598" s="372"/>
      <c r="S598" s="372"/>
      <c r="T598" s="372"/>
      <c r="U598" s="372"/>
      <c r="V598" s="372"/>
      <c r="W598" s="372"/>
      <c r="X598" s="372"/>
      <c r="Y598" s="372"/>
      <c r="Z598" s="372"/>
    </row>
    <row r="599">
      <c r="A599" s="372"/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  <c r="T599" s="372"/>
      <c r="U599" s="372"/>
      <c r="V599" s="372"/>
      <c r="W599" s="372"/>
      <c r="X599" s="372"/>
      <c r="Y599" s="372"/>
      <c r="Z599" s="372"/>
    </row>
    <row r="600">
      <c r="A600" s="372"/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  <c r="T600" s="372"/>
      <c r="U600" s="372"/>
      <c r="V600" s="372"/>
      <c r="W600" s="372"/>
      <c r="X600" s="372"/>
      <c r="Y600" s="372"/>
      <c r="Z600" s="372"/>
    </row>
    <row r="601">
      <c r="A601" s="372"/>
      <c r="B601" s="372"/>
      <c r="C601" s="372"/>
      <c r="D601" s="372"/>
      <c r="E601" s="372"/>
      <c r="F601" s="372"/>
      <c r="G601" s="372"/>
      <c r="H601" s="372"/>
      <c r="I601" s="372"/>
      <c r="J601" s="372"/>
      <c r="K601" s="372"/>
      <c r="L601" s="372"/>
      <c r="M601" s="372"/>
      <c r="N601" s="372"/>
      <c r="O601" s="372"/>
      <c r="P601" s="372"/>
      <c r="Q601" s="372"/>
      <c r="R601" s="372"/>
      <c r="S601" s="372"/>
      <c r="T601" s="372"/>
      <c r="U601" s="372"/>
      <c r="V601" s="372"/>
      <c r="W601" s="372"/>
      <c r="X601" s="372"/>
      <c r="Y601" s="372"/>
      <c r="Z601" s="372"/>
    </row>
    <row r="602">
      <c r="A602" s="372"/>
      <c r="B602" s="372"/>
      <c r="C602" s="372"/>
      <c r="D602" s="372"/>
      <c r="E602" s="372"/>
      <c r="F602" s="372"/>
      <c r="G602" s="372"/>
      <c r="H602" s="372"/>
      <c r="I602" s="372"/>
      <c r="J602" s="372"/>
      <c r="K602" s="372"/>
      <c r="L602" s="372"/>
      <c r="M602" s="372"/>
      <c r="N602" s="372"/>
      <c r="O602" s="372"/>
      <c r="P602" s="372"/>
      <c r="Q602" s="372"/>
      <c r="R602" s="372"/>
      <c r="S602" s="372"/>
      <c r="T602" s="372"/>
      <c r="U602" s="372"/>
      <c r="V602" s="372"/>
      <c r="W602" s="372"/>
      <c r="X602" s="372"/>
      <c r="Y602" s="372"/>
      <c r="Z602" s="372"/>
    </row>
    <row r="603">
      <c r="A603" s="372"/>
      <c r="B603" s="372"/>
      <c r="C603" s="372"/>
      <c r="D603" s="372"/>
      <c r="E603" s="372"/>
      <c r="F603" s="372"/>
      <c r="G603" s="372"/>
      <c r="H603" s="372"/>
      <c r="I603" s="372"/>
      <c r="J603" s="372"/>
      <c r="K603" s="372"/>
      <c r="L603" s="372"/>
      <c r="M603" s="372"/>
      <c r="N603" s="372"/>
      <c r="O603" s="372"/>
      <c r="P603" s="372"/>
      <c r="Q603" s="372"/>
      <c r="R603" s="372"/>
      <c r="S603" s="372"/>
      <c r="T603" s="372"/>
      <c r="U603" s="372"/>
      <c r="V603" s="372"/>
      <c r="W603" s="372"/>
      <c r="X603" s="372"/>
      <c r="Y603" s="372"/>
      <c r="Z603" s="372"/>
    </row>
    <row r="604">
      <c r="A604" s="372"/>
      <c r="B604" s="372"/>
      <c r="C604" s="372"/>
      <c r="D604" s="372"/>
      <c r="E604" s="372"/>
      <c r="F604" s="372"/>
      <c r="G604" s="372"/>
      <c r="H604" s="372"/>
      <c r="I604" s="372"/>
      <c r="J604" s="372"/>
      <c r="K604" s="372"/>
      <c r="L604" s="372"/>
      <c r="M604" s="372"/>
      <c r="N604" s="372"/>
      <c r="O604" s="372"/>
      <c r="P604" s="372"/>
      <c r="Q604" s="372"/>
      <c r="R604" s="372"/>
      <c r="S604" s="372"/>
      <c r="T604" s="372"/>
      <c r="U604" s="372"/>
      <c r="V604" s="372"/>
      <c r="W604" s="372"/>
      <c r="X604" s="372"/>
      <c r="Y604" s="372"/>
      <c r="Z604" s="372"/>
    </row>
    <row r="605">
      <c r="A605" s="372"/>
      <c r="B605" s="372"/>
      <c r="C605" s="372"/>
      <c r="D605" s="372"/>
      <c r="E605" s="372"/>
      <c r="F605" s="372"/>
      <c r="G605" s="372"/>
      <c r="H605" s="372"/>
      <c r="I605" s="372"/>
      <c r="J605" s="372"/>
      <c r="K605" s="372"/>
      <c r="L605" s="372"/>
      <c r="M605" s="372"/>
      <c r="N605" s="372"/>
      <c r="O605" s="372"/>
      <c r="P605" s="372"/>
      <c r="Q605" s="372"/>
      <c r="R605" s="372"/>
      <c r="S605" s="372"/>
      <c r="T605" s="372"/>
      <c r="U605" s="372"/>
      <c r="V605" s="372"/>
      <c r="W605" s="372"/>
      <c r="X605" s="372"/>
      <c r="Y605" s="372"/>
      <c r="Z605" s="372"/>
    </row>
    <row r="606">
      <c r="A606" s="372"/>
      <c r="B606" s="372"/>
      <c r="C606" s="372"/>
      <c r="D606" s="372"/>
      <c r="E606" s="372"/>
      <c r="F606" s="372"/>
      <c r="G606" s="372"/>
      <c r="H606" s="372"/>
      <c r="I606" s="372"/>
      <c r="J606" s="372"/>
      <c r="K606" s="372"/>
      <c r="L606" s="372"/>
      <c r="M606" s="372"/>
      <c r="N606" s="372"/>
      <c r="O606" s="372"/>
      <c r="P606" s="372"/>
      <c r="Q606" s="372"/>
      <c r="R606" s="372"/>
      <c r="S606" s="372"/>
      <c r="T606" s="372"/>
      <c r="U606" s="372"/>
      <c r="V606" s="372"/>
      <c r="W606" s="372"/>
      <c r="X606" s="372"/>
      <c r="Y606" s="372"/>
      <c r="Z606" s="372"/>
    </row>
    <row r="607">
      <c r="A607" s="372"/>
      <c r="B607" s="372"/>
      <c r="C607" s="372"/>
      <c r="D607" s="372"/>
      <c r="E607" s="372"/>
      <c r="F607" s="372"/>
      <c r="G607" s="372"/>
      <c r="H607" s="372"/>
      <c r="I607" s="372"/>
      <c r="J607" s="372"/>
      <c r="K607" s="372"/>
      <c r="L607" s="372"/>
      <c r="M607" s="372"/>
      <c r="N607" s="372"/>
      <c r="O607" s="372"/>
      <c r="P607" s="372"/>
      <c r="Q607" s="372"/>
      <c r="R607" s="372"/>
      <c r="S607" s="372"/>
      <c r="T607" s="372"/>
      <c r="U607" s="372"/>
      <c r="V607" s="372"/>
      <c r="W607" s="372"/>
      <c r="X607" s="372"/>
      <c r="Y607" s="372"/>
      <c r="Z607" s="372"/>
    </row>
    <row r="608">
      <c r="A608" s="372"/>
      <c r="B608" s="372"/>
      <c r="C608" s="372"/>
      <c r="D608" s="372"/>
      <c r="E608" s="372"/>
      <c r="F608" s="372"/>
      <c r="G608" s="372"/>
      <c r="H608" s="372"/>
      <c r="I608" s="372"/>
      <c r="J608" s="372"/>
      <c r="K608" s="372"/>
      <c r="L608" s="372"/>
      <c r="M608" s="372"/>
      <c r="N608" s="372"/>
      <c r="O608" s="372"/>
      <c r="P608" s="372"/>
      <c r="Q608" s="372"/>
      <c r="R608" s="372"/>
      <c r="S608" s="372"/>
      <c r="T608" s="372"/>
      <c r="U608" s="372"/>
      <c r="V608" s="372"/>
      <c r="W608" s="372"/>
      <c r="X608" s="372"/>
      <c r="Y608" s="372"/>
      <c r="Z608" s="372"/>
    </row>
    <row r="609">
      <c r="A609" s="372"/>
      <c r="B609" s="372"/>
      <c r="C609" s="372"/>
      <c r="D609" s="372"/>
      <c r="E609" s="372"/>
      <c r="F609" s="372"/>
      <c r="G609" s="372"/>
      <c r="H609" s="372"/>
      <c r="I609" s="372"/>
      <c r="J609" s="372"/>
      <c r="K609" s="372"/>
      <c r="L609" s="372"/>
      <c r="M609" s="372"/>
      <c r="N609" s="372"/>
      <c r="O609" s="372"/>
      <c r="P609" s="372"/>
      <c r="Q609" s="372"/>
      <c r="R609" s="372"/>
      <c r="S609" s="372"/>
      <c r="T609" s="372"/>
      <c r="U609" s="372"/>
      <c r="V609" s="372"/>
      <c r="W609" s="372"/>
      <c r="X609" s="372"/>
      <c r="Y609" s="372"/>
      <c r="Z609" s="372"/>
    </row>
    <row r="610">
      <c r="A610" s="372"/>
      <c r="B610" s="372"/>
      <c r="C610" s="372"/>
      <c r="D610" s="372"/>
      <c r="E610" s="372"/>
      <c r="F610" s="372"/>
      <c r="G610" s="372"/>
      <c r="H610" s="372"/>
      <c r="I610" s="372"/>
      <c r="J610" s="372"/>
      <c r="K610" s="372"/>
      <c r="L610" s="372"/>
      <c r="M610" s="372"/>
      <c r="N610" s="372"/>
      <c r="O610" s="372"/>
      <c r="P610" s="372"/>
      <c r="Q610" s="372"/>
      <c r="R610" s="372"/>
      <c r="S610" s="372"/>
      <c r="T610" s="372"/>
      <c r="U610" s="372"/>
      <c r="V610" s="372"/>
      <c r="W610" s="372"/>
      <c r="X610" s="372"/>
      <c r="Y610" s="372"/>
      <c r="Z610" s="372"/>
    </row>
    <row r="611">
      <c r="A611" s="372"/>
      <c r="B611" s="372"/>
      <c r="C611" s="372"/>
      <c r="D611" s="372"/>
      <c r="E611" s="372"/>
      <c r="F611" s="372"/>
      <c r="G611" s="372"/>
      <c r="H611" s="372"/>
      <c r="I611" s="372"/>
      <c r="J611" s="372"/>
      <c r="K611" s="372"/>
      <c r="L611" s="372"/>
      <c r="M611" s="372"/>
      <c r="N611" s="372"/>
      <c r="O611" s="372"/>
      <c r="P611" s="372"/>
      <c r="Q611" s="372"/>
      <c r="R611" s="372"/>
      <c r="S611" s="372"/>
      <c r="T611" s="372"/>
      <c r="U611" s="372"/>
      <c r="V611" s="372"/>
      <c r="W611" s="372"/>
      <c r="X611" s="372"/>
      <c r="Y611" s="372"/>
      <c r="Z611" s="372"/>
    </row>
    <row r="612">
      <c r="A612" s="372"/>
      <c r="B612" s="372"/>
      <c r="C612" s="372"/>
      <c r="D612" s="372"/>
      <c r="E612" s="372"/>
      <c r="F612" s="372"/>
      <c r="G612" s="372"/>
      <c r="H612" s="372"/>
      <c r="I612" s="372"/>
      <c r="J612" s="372"/>
      <c r="K612" s="372"/>
      <c r="L612" s="372"/>
      <c r="M612" s="372"/>
      <c r="N612" s="372"/>
      <c r="O612" s="372"/>
      <c r="P612" s="372"/>
      <c r="Q612" s="372"/>
      <c r="R612" s="372"/>
      <c r="S612" s="372"/>
      <c r="T612" s="372"/>
      <c r="U612" s="372"/>
      <c r="V612" s="372"/>
      <c r="W612" s="372"/>
      <c r="X612" s="372"/>
      <c r="Y612" s="372"/>
      <c r="Z612" s="372"/>
    </row>
    <row r="613">
      <c r="A613" s="372"/>
      <c r="B613" s="372"/>
      <c r="C613" s="372"/>
      <c r="D613" s="372"/>
      <c r="E613" s="372"/>
      <c r="F613" s="372"/>
      <c r="G613" s="372"/>
      <c r="H613" s="372"/>
      <c r="I613" s="372"/>
      <c r="J613" s="372"/>
      <c r="K613" s="372"/>
      <c r="L613" s="372"/>
      <c r="M613" s="372"/>
      <c r="N613" s="372"/>
      <c r="O613" s="372"/>
      <c r="P613" s="372"/>
      <c r="Q613" s="372"/>
      <c r="R613" s="372"/>
      <c r="S613" s="372"/>
      <c r="T613" s="372"/>
      <c r="U613" s="372"/>
      <c r="V613" s="372"/>
      <c r="W613" s="372"/>
      <c r="X613" s="372"/>
      <c r="Y613" s="372"/>
      <c r="Z613" s="372"/>
    </row>
    <row r="614">
      <c r="A614" s="372"/>
      <c r="B614" s="372"/>
      <c r="C614" s="372"/>
      <c r="D614" s="372"/>
      <c r="E614" s="372"/>
      <c r="F614" s="372"/>
      <c r="G614" s="372"/>
      <c r="H614" s="372"/>
      <c r="I614" s="372"/>
      <c r="J614" s="372"/>
      <c r="K614" s="372"/>
      <c r="L614" s="372"/>
      <c r="M614" s="372"/>
      <c r="N614" s="372"/>
      <c r="O614" s="372"/>
      <c r="P614" s="372"/>
      <c r="Q614" s="372"/>
      <c r="R614" s="372"/>
      <c r="S614" s="372"/>
      <c r="T614" s="372"/>
      <c r="U614" s="372"/>
      <c r="V614" s="372"/>
      <c r="W614" s="372"/>
      <c r="X614" s="372"/>
      <c r="Y614" s="372"/>
      <c r="Z614" s="372"/>
    </row>
    <row r="615">
      <c r="A615" s="372"/>
      <c r="B615" s="372"/>
      <c r="C615" s="372"/>
      <c r="D615" s="372"/>
      <c r="E615" s="372"/>
      <c r="F615" s="372"/>
      <c r="G615" s="372"/>
      <c r="H615" s="372"/>
      <c r="I615" s="372"/>
      <c r="J615" s="372"/>
      <c r="K615" s="372"/>
      <c r="L615" s="372"/>
      <c r="M615" s="372"/>
      <c r="N615" s="372"/>
      <c r="O615" s="372"/>
      <c r="P615" s="372"/>
      <c r="Q615" s="372"/>
      <c r="R615" s="372"/>
      <c r="S615" s="372"/>
      <c r="T615" s="372"/>
      <c r="U615" s="372"/>
      <c r="V615" s="372"/>
      <c r="W615" s="372"/>
      <c r="X615" s="372"/>
      <c r="Y615" s="372"/>
      <c r="Z615" s="372"/>
    </row>
    <row r="616">
      <c r="A616" s="372"/>
      <c r="B616" s="372"/>
      <c r="C616" s="372"/>
      <c r="D616" s="372"/>
      <c r="E616" s="372"/>
      <c r="F616" s="372"/>
      <c r="G616" s="372"/>
      <c r="H616" s="372"/>
      <c r="I616" s="372"/>
      <c r="J616" s="372"/>
      <c r="K616" s="372"/>
      <c r="L616" s="372"/>
      <c r="M616" s="372"/>
      <c r="N616" s="372"/>
      <c r="O616" s="372"/>
      <c r="P616" s="372"/>
      <c r="Q616" s="372"/>
      <c r="R616" s="372"/>
      <c r="S616" s="372"/>
      <c r="T616" s="372"/>
      <c r="U616" s="372"/>
      <c r="V616" s="372"/>
      <c r="W616" s="372"/>
      <c r="X616" s="372"/>
      <c r="Y616" s="372"/>
      <c r="Z616" s="372"/>
    </row>
    <row r="617">
      <c r="A617" s="372"/>
      <c r="B617" s="372"/>
      <c r="C617" s="372"/>
      <c r="D617" s="372"/>
      <c r="E617" s="372"/>
      <c r="F617" s="372"/>
      <c r="G617" s="372"/>
      <c r="H617" s="372"/>
      <c r="I617" s="372"/>
      <c r="J617" s="372"/>
      <c r="K617" s="372"/>
      <c r="L617" s="372"/>
      <c r="M617" s="372"/>
      <c r="N617" s="372"/>
      <c r="O617" s="372"/>
      <c r="P617" s="372"/>
      <c r="Q617" s="372"/>
      <c r="R617" s="372"/>
      <c r="S617" s="372"/>
      <c r="T617" s="372"/>
      <c r="U617" s="372"/>
      <c r="V617" s="372"/>
      <c r="W617" s="372"/>
      <c r="X617" s="372"/>
      <c r="Y617" s="372"/>
      <c r="Z617" s="372"/>
    </row>
    <row r="618">
      <c r="A618" s="372"/>
      <c r="B618" s="372"/>
      <c r="C618" s="372"/>
      <c r="D618" s="372"/>
      <c r="E618" s="372"/>
      <c r="F618" s="372"/>
      <c r="G618" s="372"/>
      <c r="H618" s="372"/>
      <c r="I618" s="372"/>
      <c r="J618" s="372"/>
      <c r="K618" s="372"/>
      <c r="L618" s="372"/>
      <c r="M618" s="372"/>
      <c r="N618" s="372"/>
      <c r="O618" s="372"/>
      <c r="P618" s="372"/>
      <c r="Q618" s="372"/>
      <c r="R618" s="372"/>
      <c r="S618" s="372"/>
      <c r="T618" s="372"/>
      <c r="U618" s="372"/>
      <c r="V618" s="372"/>
      <c r="W618" s="372"/>
      <c r="X618" s="372"/>
      <c r="Y618" s="372"/>
      <c r="Z618" s="372"/>
    </row>
    <row r="619">
      <c r="A619" s="372"/>
      <c r="B619" s="372"/>
      <c r="C619" s="372"/>
      <c r="D619" s="372"/>
      <c r="E619" s="372"/>
      <c r="F619" s="372"/>
      <c r="G619" s="372"/>
      <c r="H619" s="372"/>
      <c r="I619" s="372"/>
      <c r="J619" s="372"/>
      <c r="K619" s="372"/>
      <c r="L619" s="372"/>
      <c r="M619" s="372"/>
      <c r="N619" s="372"/>
      <c r="O619" s="372"/>
      <c r="P619" s="372"/>
      <c r="Q619" s="372"/>
      <c r="R619" s="372"/>
      <c r="S619" s="372"/>
      <c r="T619" s="372"/>
      <c r="U619" s="372"/>
      <c r="V619" s="372"/>
      <c r="W619" s="372"/>
      <c r="X619" s="372"/>
      <c r="Y619" s="372"/>
      <c r="Z619" s="372"/>
    </row>
    <row r="620">
      <c r="A620" s="372"/>
      <c r="B620" s="372"/>
      <c r="C620" s="372"/>
      <c r="D620" s="372"/>
      <c r="E620" s="372"/>
      <c r="F620" s="372"/>
      <c r="G620" s="372"/>
      <c r="H620" s="372"/>
      <c r="I620" s="372"/>
      <c r="J620" s="372"/>
      <c r="K620" s="372"/>
      <c r="L620" s="372"/>
      <c r="M620" s="372"/>
      <c r="N620" s="372"/>
      <c r="O620" s="372"/>
      <c r="P620" s="372"/>
      <c r="Q620" s="372"/>
      <c r="R620" s="372"/>
      <c r="S620" s="372"/>
      <c r="T620" s="372"/>
      <c r="U620" s="372"/>
      <c r="V620" s="372"/>
      <c r="W620" s="372"/>
      <c r="X620" s="372"/>
      <c r="Y620" s="372"/>
      <c r="Z620" s="372"/>
    </row>
    <row r="621">
      <c r="A621" s="372"/>
      <c r="B621" s="372"/>
      <c r="C621" s="372"/>
      <c r="D621" s="372"/>
      <c r="E621" s="372"/>
      <c r="F621" s="372"/>
      <c r="G621" s="372"/>
      <c r="H621" s="372"/>
      <c r="I621" s="372"/>
      <c r="J621" s="372"/>
      <c r="K621" s="372"/>
      <c r="L621" s="372"/>
      <c r="M621" s="372"/>
      <c r="N621" s="372"/>
      <c r="O621" s="372"/>
      <c r="P621" s="372"/>
      <c r="Q621" s="372"/>
      <c r="R621" s="372"/>
      <c r="S621" s="372"/>
      <c r="T621" s="372"/>
      <c r="U621" s="372"/>
      <c r="V621" s="372"/>
      <c r="W621" s="372"/>
      <c r="X621" s="372"/>
      <c r="Y621" s="372"/>
      <c r="Z621" s="372"/>
    </row>
    <row r="622">
      <c r="A622" s="372"/>
      <c r="B622" s="372"/>
      <c r="C622" s="372"/>
      <c r="D622" s="372"/>
      <c r="E622" s="372"/>
      <c r="F622" s="372"/>
      <c r="G622" s="372"/>
      <c r="H622" s="372"/>
      <c r="I622" s="372"/>
      <c r="J622" s="372"/>
      <c r="K622" s="372"/>
      <c r="L622" s="372"/>
      <c r="M622" s="372"/>
      <c r="N622" s="372"/>
      <c r="O622" s="372"/>
      <c r="P622" s="372"/>
      <c r="Q622" s="372"/>
      <c r="R622" s="372"/>
      <c r="S622" s="372"/>
      <c r="T622" s="372"/>
      <c r="U622" s="372"/>
      <c r="V622" s="372"/>
      <c r="W622" s="372"/>
      <c r="X622" s="372"/>
      <c r="Y622" s="372"/>
      <c r="Z622" s="372"/>
    </row>
    <row r="623">
      <c r="A623" s="372"/>
      <c r="B623" s="372"/>
      <c r="C623" s="372"/>
      <c r="D623" s="372"/>
      <c r="E623" s="372"/>
      <c r="F623" s="372"/>
      <c r="G623" s="372"/>
      <c r="H623" s="372"/>
      <c r="I623" s="372"/>
      <c r="J623" s="372"/>
      <c r="K623" s="372"/>
      <c r="L623" s="372"/>
      <c r="M623" s="372"/>
      <c r="N623" s="372"/>
      <c r="O623" s="372"/>
      <c r="P623" s="372"/>
      <c r="Q623" s="372"/>
      <c r="R623" s="372"/>
      <c r="S623" s="372"/>
      <c r="T623" s="372"/>
      <c r="U623" s="372"/>
      <c r="V623" s="372"/>
      <c r="W623" s="372"/>
      <c r="X623" s="372"/>
      <c r="Y623" s="372"/>
      <c r="Z623" s="372"/>
    </row>
    <row r="624">
      <c r="A624" s="372"/>
      <c r="B624" s="372"/>
      <c r="C624" s="372"/>
      <c r="D624" s="372"/>
      <c r="E624" s="372"/>
      <c r="F624" s="372"/>
      <c r="G624" s="372"/>
      <c r="H624" s="372"/>
      <c r="I624" s="372"/>
      <c r="J624" s="372"/>
      <c r="K624" s="372"/>
      <c r="L624" s="372"/>
      <c r="M624" s="372"/>
      <c r="N624" s="372"/>
      <c r="O624" s="372"/>
      <c r="P624" s="372"/>
      <c r="Q624" s="372"/>
      <c r="R624" s="372"/>
      <c r="S624" s="372"/>
      <c r="T624" s="372"/>
      <c r="U624" s="372"/>
      <c r="V624" s="372"/>
      <c r="W624" s="372"/>
      <c r="X624" s="372"/>
      <c r="Y624" s="372"/>
      <c r="Z624" s="372"/>
    </row>
    <row r="625">
      <c r="A625" s="372"/>
      <c r="B625" s="372"/>
      <c r="C625" s="372"/>
      <c r="D625" s="372"/>
      <c r="E625" s="372"/>
      <c r="F625" s="372"/>
      <c r="G625" s="372"/>
      <c r="H625" s="372"/>
      <c r="I625" s="372"/>
      <c r="J625" s="372"/>
      <c r="K625" s="372"/>
      <c r="L625" s="372"/>
      <c r="M625" s="372"/>
      <c r="N625" s="372"/>
      <c r="O625" s="372"/>
      <c r="P625" s="372"/>
      <c r="Q625" s="372"/>
      <c r="R625" s="372"/>
      <c r="S625" s="372"/>
      <c r="T625" s="372"/>
      <c r="U625" s="372"/>
      <c r="V625" s="372"/>
      <c r="W625" s="372"/>
      <c r="X625" s="372"/>
      <c r="Y625" s="372"/>
      <c r="Z625" s="372"/>
    </row>
    <row r="626">
      <c r="A626" s="372"/>
      <c r="B626" s="372"/>
      <c r="C626" s="372"/>
      <c r="D626" s="372"/>
      <c r="E626" s="372"/>
      <c r="F626" s="372"/>
      <c r="G626" s="372"/>
      <c r="H626" s="372"/>
      <c r="I626" s="372"/>
      <c r="J626" s="372"/>
      <c r="K626" s="372"/>
      <c r="L626" s="372"/>
      <c r="M626" s="372"/>
      <c r="N626" s="372"/>
      <c r="O626" s="372"/>
      <c r="P626" s="372"/>
      <c r="Q626" s="372"/>
      <c r="R626" s="372"/>
      <c r="S626" s="372"/>
      <c r="T626" s="372"/>
      <c r="U626" s="372"/>
      <c r="V626" s="372"/>
      <c r="W626" s="372"/>
      <c r="X626" s="372"/>
      <c r="Y626" s="372"/>
      <c r="Z626" s="372"/>
    </row>
    <row r="627">
      <c r="A627" s="372"/>
      <c r="B627" s="372"/>
      <c r="C627" s="372"/>
      <c r="D627" s="372"/>
      <c r="E627" s="372"/>
      <c r="F627" s="372"/>
      <c r="G627" s="372"/>
      <c r="H627" s="372"/>
      <c r="I627" s="372"/>
      <c r="J627" s="372"/>
      <c r="K627" s="372"/>
      <c r="L627" s="372"/>
      <c r="M627" s="372"/>
      <c r="N627" s="372"/>
      <c r="O627" s="372"/>
      <c r="P627" s="372"/>
      <c r="Q627" s="372"/>
      <c r="R627" s="372"/>
      <c r="S627" s="372"/>
      <c r="T627" s="372"/>
      <c r="U627" s="372"/>
      <c r="V627" s="372"/>
      <c r="W627" s="372"/>
      <c r="X627" s="372"/>
      <c r="Y627" s="372"/>
      <c r="Z627" s="372"/>
    </row>
    <row r="628">
      <c r="A628" s="372"/>
      <c r="B628" s="372"/>
      <c r="C628" s="372"/>
      <c r="D628" s="372"/>
      <c r="E628" s="372"/>
      <c r="F628" s="372"/>
      <c r="G628" s="372"/>
      <c r="H628" s="372"/>
      <c r="I628" s="372"/>
      <c r="J628" s="372"/>
      <c r="K628" s="372"/>
      <c r="L628" s="372"/>
      <c r="M628" s="372"/>
      <c r="N628" s="372"/>
      <c r="O628" s="372"/>
      <c r="P628" s="372"/>
      <c r="Q628" s="372"/>
      <c r="R628" s="372"/>
      <c r="S628" s="372"/>
      <c r="T628" s="372"/>
      <c r="U628" s="372"/>
      <c r="V628" s="372"/>
      <c r="W628" s="372"/>
      <c r="X628" s="372"/>
      <c r="Y628" s="372"/>
      <c r="Z628" s="372"/>
    </row>
    <row r="629">
      <c r="A629" s="372"/>
      <c r="B629" s="372"/>
      <c r="C629" s="372"/>
      <c r="D629" s="372"/>
      <c r="E629" s="372"/>
      <c r="F629" s="372"/>
      <c r="G629" s="372"/>
      <c r="H629" s="372"/>
      <c r="I629" s="372"/>
      <c r="J629" s="372"/>
      <c r="K629" s="372"/>
      <c r="L629" s="372"/>
      <c r="M629" s="372"/>
      <c r="N629" s="372"/>
      <c r="O629" s="372"/>
      <c r="P629" s="372"/>
      <c r="Q629" s="372"/>
      <c r="R629" s="372"/>
      <c r="S629" s="372"/>
      <c r="T629" s="372"/>
      <c r="U629" s="372"/>
      <c r="V629" s="372"/>
      <c r="W629" s="372"/>
      <c r="X629" s="372"/>
      <c r="Y629" s="372"/>
      <c r="Z629" s="372"/>
    </row>
    <row r="630">
      <c r="A630" s="372"/>
      <c r="B630" s="372"/>
      <c r="C630" s="372"/>
      <c r="D630" s="372"/>
      <c r="E630" s="372"/>
      <c r="F630" s="372"/>
      <c r="G630" s="372"/>
      <c r="H630" s="372"/>
      <c r="I630" s="372"/>
      <c r="J630" s="372"/>
      <c r="K630" s="372"/>
      <c r="L630" s="372"/>
      <c r="M630" s="372"/>
      <c r="N630" s="372"/>
      <c r="O630" s="372"/>
      <c r="P630" s="372"/>
      <c r="Q630" s="372"/>
      <c r="R630" s="372"/>
      <c r="S630" s="372"/>
      <c r="T630" s="372"/>
      <c r="U630" s="372"/>
      <c r="V630" s="372"/>
      <c r="W630" s="372"/>
      <c r="X630" s="372"/>
      <c r="Y630" s="372"/>
      <c r="Z630" s="372"/>
    </row>
    <row r="631">
      <c r="A631" s="372"/>
      <c r="B631" s="372"/>
      <c r="C631" s="372"/>
      <c r="D631" s="372"/>
      <c r="E631" s="372"/>
      <c r="F631" s="372"/>
      <c r="G631" s="372"/>
      <c r="H631" s="372"/>
      <c r="I631" s="372"/>
      <c r="J631" s="372"/>
      <c r="K631" s="372"/>
      <c r="L631" s="372"/>
      <c r="M631" s="372"/>
      <c r="N631" s="372"/>
      <c r="O631" s="372"/>
      <c r="P631" s="372"/>
      <c r="Q631" s="372"/>
      <c r="R631" s="372"/>
      <c r="S631" s="372"/>
      <c r="T631" s="372"/>
      <c r="U631" s="372"/>
      <c r="V631" s="372"/>
      <c r="W631" s="372"/>
      <c r="X631" s="372"/>
      <c r="Y631" s="372"/>
      <c r="Z631" s="372"/>
    </row>
    <row r="632">
      <c r="A632" s="372"/>
      <c r="B632" s="372"/>
      <c r="C632" s="372"/>
      <c r="D632" s="372"/>
      <c r="E632" s="372"/>
      <c r="F632" s="372"/>
      <c r="G632" s="372"/>
      <c r="H632" s="372"/>
      <c r="I632" s="372"/>
      <c r="J632" s="372"/>
      <c r="K632" s="372"/>
      <c r="L632" s="372"/>
      <c r="M632" s="372"/>
      <c r="N632" s="372"/>
      <c r="O632" s="372"/>
      <c r="P632" s="372"/>
      <c r="Q632" s="372"/>
      <c r="R632" s="372"/>
      <c r="S632" s="372"/>
      <c r="T632" s="372"/>
      <c r="U632" s="372"/>
      <c r="V632" s="372"/>
      <c r="W632" s="372"/>
      <c r="X632" s="372"/>
      <c r="Y632" s="372"/>
      <c r="Z632" s="372"/>
    </row>
    <row r="633">
      <c r="A633" s="372"/>
      <c r="B633" s="372"/>
      <c r="C633" s="372"/>
      <c r="D633" s="372"/>
      <c r="E633" s="372"/>
      <c r="F633" s="372"/>
      <c r="G633" s="372"/>
      <c r="H633" s="372"/>
      <c r="I633" s="372"/>
      <c r="J633" s="372"/>
      <c r="K633" s="372"/>
      <c r="L633" s="372"/>
      <c r="M633" s="372"/>
      <c r="N633" s="372"/>
      <c r="O633" s="372"/>
      <c r="P633" s="372"/>
      <c r="Q633" s="372"/>
      <c r="R633" s="372"/>
      <c r="S633" s="372"/>
      <c r="T633" s="372"/>
      <c r="U633" s="372"/>
      <c r="V633" s="372"/>
      <c r="W633" s="372"/>
      <c r="X633" s="372"/>
      <c r="Y633" s="372"/>
      <c r="Z633" s="372"/>
    </row>
    <row r="634">
      <c r="A634" s="372"/>
      <c r="B634" s="372"/>
      <c r="C634" s="372"/>
      <c r="D634" s="372"/>
      <c r="E634" s="372"/>
      <c r="F634" s="372"/>
      <c r="G634" s="372"/>
      <c r="H634" s="372"/>
      <c r="I634" s="372"/>
      <c r="J634" s="372"/>
      <c r="K634" s="372"/>
      <c r="L634" s="372"/>
      <c r="M634" s="372"/>
      <c r="N634" s="372"/>
      <c r="O634" s="372"/>
      <c r="P634" s="372"/>
      <c r="Q634" s="372"/>
      <c r="R634" s="372"/>
      <c r="S634" s="372"/>
      <c r="T634" s="372"/>
      <c r="U634" s="372"/>
      <c r="V634" s="372"/>
      <c r="W634" s="372"/>
      <c r="X634" s="372"/>
      <c r="Y634" s="372"/>
      <c r="Z634" s="372"/>
    </row>
    <row r="635">
      <c r="A635" s="372"/>
      <c r="B635" s="372"/>
      <c r="C635" s="372"/>
      <c r="D635" s="372"/>
      <c r="E635" s="372"/>
      <c r="F635" s="372"/>
      <c r="G635" s="372"/>
      <c r="H635" s="372"/>
      <c r="I635" s="372"/>
      <c r="J635" s="372"/>
      <c r="K635" s="372"/>
      <c r="L635" s="372"/>
      <c r="M635" s="372"/>
      <c r="N635" s="372"/>
      <c r="O635" s="372"/>
      <c r="P635" s="372"/>
      <c r="Q635" s="372"/>
      <c r="R635" s="372"/>
      <c r="S635" s="372"/>
      <c r="T635" s="372"/>
      <c r="U635" s="372"/>
      <c r="V635" s="372"/>
      <c r="W635" s="372"/>
      <c r="X635" s="372"/>
      <c r="Y635" s="372"/>
      <c r="Z635" s="372"/>
    </row>
    <row r="636">
      <c r="A636" s="372"/>
      <c r="B636" s="372"/>
      <c r="C636" s="372"/>
      <c r="D636" s="372"/>
      <c r="E636" s="372"/>
      <c r="F636" s="372"/>
      <c r="G636" s="372"/>
      <c r="H636" s="372"/>
      <c r="I636" s="372"/>
      <c r="J636" s="372"/>
      <c r="K636" s="372"/>
      <c r="L636" s="372"/>
      <c r="M636" s="372"/>
      <c r="N636" s="372"/>
      <c r="O636" s="372"/>
      <c r="P636" s="372"/>
      <c r="Q636" s="372"/>
      <c r="R636" s="372"/>
      <c r="S636" s="372"/>
      <c r="T636" s="372"/>
      <c r="U636" s="372"/>
      <c r="V636" s="372"/>
      <c r="W636" s="372"/>
      <c r="X636" s="372"/>
      <c r="Y636" s="372"/>
      <c r="Z636" s="372"/>
    </row>
    <row r="637">
      <c r="A637" s="372"/>
      <c r="B637" s="372"/>
      <c r="C637" s="372"/>
      <c r="D637" s="372"/>
      <c r="E637" s="372"/>
      <c r="F637" s="372"/>
      <c r="G637" s="372"/>
      <c r="H637" s="372"/>
      <c r="I637" s="372"/>
      <c r="J637" s="372"/>
      <c r="K637" s="372"/>
      <c r="L637" s="372"/>
      <c r="M637" s="372"/>
      <c r="N637" s="372"/>
      <c r="O637" s="372"/>
      <c r="P637" s="372"/>
      <c r="Q637" s="372"/>
      <c r="R637" s="372"/>
      <c r="S637" s="372"/>
      <c r="T637" s="372"/>
      <c r="U637" s="372"/>
      <c r="V637" s="372"/>
      <c r="W637" s="372"/>
      <c r="X637" s="372"/>
      <c r="Y637" s="372"/>
      <c r="Z637" s="372"/>
    </row>
    <row r="638">
      <c r="A638" s="372"/>
      <c r="B638" s="372"/>
      <c r="C638" s="372"/>
      <c r="D638" s="372"/>
      <c r="E638" s="372"/>
      <c r="F638" s="372"/>
      <c r="G638" s="372"/>
      <c r="H638" s="372"/>
      <c r="I638" s="372"/>
      <c r="J638" s="372"/>
      <c r="K638" s="372"/>
      <c r="L638" s="372"/>
      <c r="M638" s="372"/>
      <c r="N638" s="372"/>
      <c r="O638" s="372"/>
      <c r="P638" s="372"/>
      <c r="Q638" s="372"/>
      <c r="R638" s="372"/>
      <c r="S638" s="372"/>
      <c r="T638" s="372"/>
      <c r="U638" s="372"/>
      <c r="V638" s="372"/>
      <c r="W638" s="372"/>
      <c r="X638" s="372"/>
      <c r="Y638" s="372"/>
      <c r="Z638" s="372"/>
    </row>
    <row r="639">
      <c r="A639" s="372"/>
      <c r="B639" s="372"/>
      <c r="C639" s="372"/>
      <c r="D639" s="372"/>
      <c r="E639" s="372"/>
      <c r="F639" s="372"/>
      <c r="G639" s="372"/>
      <c r="H639" s="372"/>
      <c r="I639" s="372"/>
      <c r="J639" s="372"/>
      <c r="K639" s="372"/>
      <c r="L639" s="372"/>
      <c r="M639" s="372"/>
      <c r="N639" s="372"/>
      <c r="O639" s="372"/>
      <c r="P639" s="372"/>
      <c r="Q639" s="372"/>
      <c r="R639" s="372"/>
      <c r="S639" s="372"/>
      <c r="T639" s="372"/>
      <c r="U639" s="372"/>
      <c r="V639" s="372"/>
      <c r="W639" s="372"/>
      <c r="X639" s="372"/>
      <c r="Y639" s="372"/>
      <c r="Z639" s="372"/>
    </row>
    <row r="640">
      <c r="A640" s="372"/>
      <c r="B640" s="372"/>
      <c r="C640" s="372"/>
      <c r="D640" s="372"/>
      <c r="E640" s="372"/>
      <c r="F640" s="372"/>
      <c r="G640" s="372"/>
      <c r="H640" s="372"/>
      <c r="I640" s="372"/>
      <c r="J640" s="372"/>
      <c r="K640" s="372"/>
      <c r="L640" s="372"/>
      <c r="M640" s="372"/>
      <c r="N640" s="372"/>
      <c r="O640" s="372"/>
      <c r="P640" s="372"/>
      <c r="Q640" s="372"/>
      <c r="R640" s="372"/>
      <c r="S640" s="372"/>
      <c r="T640" s="372"/>
      <c r="U640" s="372"/>
      <c r="V640" s="372"/>
      <c r="W640" s="372"/>
      <c r="X640" s="372"/>
      <c r="Y640" s="372"/>
      <c r="Z640" s="372"/>
    </row>
    <row r="641">
      <c r="A641" s="372"/>
      <c r="B641" s="372"/>
      <c r="C641" s="372"/>
      <c r="D641" s="372"/>
      <c r="E641" s="372"/>
      <c r="F641" s="372"/>
      <c r="G641" s="372"/>
      <c r="H641" s="372"/>
      <c r="I641" s="372"/>
      <c r="J641" s="372"/>
      <c r="K641" s="372"/>
      <c r="L641" s="372"/>
      <c r="M641" s="372"/>
      <c r="N641" s="372"/>
      <c r="O641" s="372"/>
      <c r="P641" s="372"/>
      <c r="Q641" s="372"/>
      <c r="R641" s="372"/>
      <c r="S641" s="372"/>
      <c r="T641" s="372"/>
      <c r="U641" s="372"/>
      <c r="V641" s="372"/>
      <c r="W641" s="372"/>
      <c r="X641" s="372"/>
      <c r="Y641" s="372"/>
      <c r="Z641" s="372"/>
    </row>
    <row r="642">
      <c r="A642" s="372"/>
      <c r="B642" s="372"/>
      <c r="C642" s="372"/>
      <c r="D642" s="372"/>
      <c r="E642" s="372"/>
      <c r="F642" s="372"/>
      <c r="G642" s="372"/>
      <c r="H642" s="372"/>
      <c r="I642" s="372"/>
      <c r="J642" s="372"/>
      <c r="K642" s="372"/>
      <c r="L642" s="372"/>
      <c r="M642" s="372"/>
      <c r="N642" s="372"/>
      <c r="O642" s="372"/>
      <c r="P642" s="372"/>
      <c r="Q642" s="372"/>
      <c r="R642" s="372"/>
      <c r="S642" s="372"/>
      <c r="T642" s="372"/>
      <c r="U642" s="372"/>
      <c r="V642" s="372"/>
      <c r="W642" s="372"/>
      <c r="X642" s="372"/>
      <c r="Y642" s="372"/>
      <c r="Z642" s="372"/>
    </row>
    <row r="643">
      <c r="A643" s="372"/>
      <c r="B643" s="372"/>
      <c r="C643" s="372"/>
      <c r="D643" s="372"/>
      <c r="E643" s="372"/>
      <c r="F643" s="372"/>
      <c r="G643" s="372"/>
      <c r="H643" s="372"/>
      <c r="I643" s="372"/>
      <c r="J643" s="372"/>
      <c r="K643" s="372"/>
      <c r="L643" s="372"/>
      <c r="M643" s="372"/>
      <c r="N643" s="372"/>
      <c r="O643" s="372"/>
      <c r="P643" s="372"/>
      <c r="Q643" s="372"/>
      <c r="R643" s="372"/>
      <c r="S643" s="372"/>
      <c r="T643" s="372"/>
      <c r="U643" s="372"/>
      <c r="V643" s="372"/>
      <c r="W643" s="372"/>
      <c r="X643" s="372"/>
      <c r="Y643" s="372"/>
      <c r="Z643" s="372"/>
    </row>
    <row r="644">
      <c r="A644" s="372"/>
      <c r="B644" s="372"/>
      <c r="C644" s="372"/>
      <c r="D644" s="372"/>
      <c r="E644" s="372"/>
      <c r="F644" s="372"/>
      <c r="G644" s="372"/>
      <c r="H644" s="372"/>
      <c r="I644" s="372"/>
      <c r="J644" s="372"/>
      <c r="K644" s="372"/>
      <c r="L644" s="372"/>
      <c r="M644" s="372"/>
      <c r="N644" s="372"/>
      <c r="O644" s="372"/>
      <c r="P644" s="372"/>
      <c r="Q644" s="372"/>
      <c r="R644" s="372"/>
      <c r="S644" s="372"/>
      <c r="T644" s="372"/>
      <c r="U644" s="372"/>
      <c r="V644" s="372"/>
      <c r="W644" s="372"/>
      <c r="X644" s="372"/>
      <c r="Y644" s="372"/>
      <c r="Z644" s="372"/>
    </row>
    <row r="645">
      <c r="A645" s="372"/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  <c r="T645" s="372"/>
      <c r="U645" s="372"/>
      <c r="V645" s="372"/>
      <c r="W645" s="372"/>
      <c r="X645" s="372"/>
      <c r="Y645" s="372"/>
      <c r="Z645" s="372"/>
    </row>
    <row r="646">
      <c r="A646" s="372"/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  <c r="T646" s="372"/>
      <c r="U646" s="372"/>
      <c r="V646" s="372"/>
      <c r="W646" s="372"/>
      <c r="X646" s="372"/>
      <c r="Y646" s="372"/>
      <c r="Z646" s="372"/>
    </row>
    <row r="647">
      <c r="A647" s="372"/>
      <c r="B647" s="372"/>
      <c r="C647" s="372"/>
      <c r="D647" s="372"/>
      <c r="E647" s="372"/>
      <c r="F647" s="372"/>
      <c r="G647" s="372"/>
      <c r="H647" s="372"/>
      <c r="I647" s="372"/>
      <c r="J647" s="372"/>
      <c r="K647" s="372"/>
      <c r="L647" s="372"/>
      <c r="M647" s="372"/>
      <c r="N647" s="372"/>
      <c r="O647" s="372"/>
      <c r="P647" s="372"/>
      <c r="Q647" s="372"/>
      <c r="R647" s="372"/>
      <c r="S647" s="372"/>
      <c r="T647" s="372"/>
      <c r="U647" s="372"/>
      <c r="V647" s="372"/>
      <c r="W647" s="372"/>
      <c r="X647" s="372"/>
      <c r="Y647" s="372"/>
      <c r="Z647" s="372"/>
    </row>
    <row r="648">
      <c r="A648" s="372"/>
      <c r="B648" s="372"/>
      <c r="C648" s="372"/>
      <c r="D648" s="372"/>
      <c r="E648" s="372"/>
      <c r="F648" s="372"/>
      <c r="G648" s="372"/>
      <c r="H648" s="372"/>
      <c r="I648" s="372"/>
      <c r="J648" s="372"/>
      <c r="K648" s="372"/>
      <c r="L648" s="372"/>
      <c r="M648" s="372"/>
      <c r="N648" s="372"/>
      <c r="O648" s="372"/>
      <c r="P648" s="372"/>
      <c r="Q648" s="372"/>
      <c r="R648" s="372"/>
      <c r="S648" s="372"/>
      <c r="T648" s="372"/>
      <c r="U648" s="372"/>
      <c r="V648" s="372"/>
      <c r="W648" s="372"/>
      <c r="X648" s="372"/>
      <c r="Y648" s="372"/>
      <c r="Z648" s="372"/>
    </row>
    <row r="649">
      <c r="A649" s="372"/>
      <c r="B649" s="372"/>
      <c r="C649" s="372"/>
      <c r="D649" s="372"/>
      <c r="E649" s="372"/>
      <c r="F649" s="372"/>
      <c r="G649" s="372"/>
      <c r="H649" s="372"/>
      <c r="I649" s="372"/>
      <c r="J649" s="372"/>
      <c r="K649" s="372"/>
      <c r="L649" s="372"/>
      <c r="M649" s="372"/>
      <c r="N649" s="372"/>
      <c r="O649" s="372"/>
      <c r="P649" s="372"/>
      <c r="Q649" s="372"/>
      <c r="R649" s="372"/>
      <c r="S649" s="372"/>
      <c r="T649" s="372"/>
      <c r="U649" s="372"/>
      <c r="V649" s="372"/>
      <c r="W649" s="372"/>
      <c r="X649" s="372"/>
      <c r="Y649" s="372"/>
      <c r="Z649" s="372"/>
    </row>
    <row r="650">
      <c r="A650" s="372"/>
      <c r="B650" s="372"/>
      <c r="C650" s="372"/>
      <c r="D650" s="372"/>
      <c r="E650" s="372"/>
      <c r="F650" s="372"/>
      <c r="G650" s="372"/>
      <c r="H650" s="372"/>
      <c r="I650" s="372"/>
      <c r="J650" s="372"/>
      <c r="K650" s="372"/>
      <c r="L650" s="372"/>
      <c r="M650" s="372"/>
      <c r="N650" s="372"/>
      <c r="O650" s="372"/>
      <c r="P650" s="372"/>
      <c r="Q650" s="372"/>
      <c r="R650" s="372"/>
      <c r="S650" s="372"/>
      <c r="T650" s="372"/>
      <c r="U650" s="372"/>
      <c r="V650" s="372"/>
      <c r="W650" s="372"/>
      <c r="X650" s="372"/>
      <c r="Y650" s="372"/>
      <c r="Z650" s="372"/>
    </row>
    <row r="651">
      <c r="A651" s="372"/>
      <c r="B651" s="372"/>
      <c r="C651" s="372"/>
      <c r="D651" s="372"/>
      <c r="E651" s="372"/>
      <c r="F651" s="372"/>
      <c r="G651" s="372"/>
      <c r="H651" s="372"/>
      <c r="I651" s="372"/>
      <c r="J651" s="372"/>
      <c r="K651" s="372"/>
      <c r="L651" s="372"/>
      <c r="M651" s="372"/>
      <c r="N651" s="372"/>
      <c r="O651" s="372"/>
      <c r="P651" s="372"/>
      <c r="Q651" s="372"/>
      <c r="R651" s="372"/>
      <c r="S651" s="372"/>
      <c r="T651" s="372"/>
      <c r="U651" s="372"/>
      <c r="V651" s="372"/>
      <c r="W651" s="372"/>
      <c r="X651" s="372"/>
      <c r="Y651" s="372"/>
      <c r="Z651" s="372"/>
    </row>
    <row r="652">
      <c r="A652" s="372"/>
      <c r="B652" s="372"/>
      <c r="C652" s="372"/>
      <c r="D652" s="372"/>
      <c r="E652" s="372"/>
      <c r="F652" s="372"/>
      <c r="G652" s="372"/>
      <c r="H652" s="372"/>
      <c r="I652" s="372"/>
      <c r="J652" s="372"/>
      <c r="K652" s="372"/>
      <c r="L652" s="372"/>
      <c r="M652" s="372"/>
      <c r="N652" s="372"/>
      <c r="O652" s="372"/>
      <c r="P652" s="372"/>
      <c r="Q652" s="372"/>
      <c r="R652" s="372"/>
      <c r="S652" s="372"/>
      <c r="T652" s="372"/>
      <c r="U652" s="372"/>
      <c r="V652" s="372"/>
      <c r="W652" s="372"/>
      <c r="X652" s="372"/>
      <c r="Y652" s="372"/>
      <c r="Z652" s="372"/>
    </row>
    <row r="653">
      <c r="A653" s="372"/>
      <c r="B653" s="372"/>
      <c r="C653" s="372"/>
      <c r="D653" s="372"/>
      <c r="E653" s="372"/>
      <c r="F653" s="372"/>
      <c r="G653" s="372"/>
      <c r="H653" s="372"/>
      <c r="I653" s="372"/>
      <c r="J653" s="372"/>
      <c r="K653" s="372"/>
      <c r="L653" s="372"/>
      <c r="M653" s="372"/>
      <c r="N653" s="372"/>
      <c r="O653" s="372"/>
      <c r="P653" s="372"/>
      <c r="Q653" s="372"/>
      <c r="R653" s="372"/>
      <c r="S653" s="372"/>
      <c r="T653" s="372"/>
      <c r="U653" s="372"/>
      <c r="V653" s="372"/>
      <c r="W653" s="372"/>
      <c r="X653" s="372"/>
      <c r="Y653" s="372"/>
      <c r="Z653" s="372"/>
    </row>
    <row r="654">
      <c r="A654" s="372"/>
      <c r="B654" s="372"/>
      <c r="C654" s="372"/>
      <c r="D654" s="372"/>
      <c r="E654" s="372"/>
      <c r="F654" s="372"/>
      <c r="G654" s="372"/>
      <c r="H654" s="372"/>
      <c r="I654" s="372"/>
      <c r="J654" s="372"/>
      <c r="K654" s="372"/>
      <c r="L654" s="372"/>
      <c r="M654" s="372"/>
      <c r="N654" s="372"/>
      <c r="O654" s="372"/>
      <c r="P654" s="372"/>
      <c r="Q654" s="372"/>
      <c r="R654" s="372"/>
      <c r="S654" s="372"/>
      <c r="T654" s="372"/>
      <c r="U654" s="372"/>
      <c r="V654" s="372"/>
      <c r="W654" s="372"/>
      <c r="X654" s="372"/>
      <c r="Y654" s="372"/>
      <c r="Z654" s="372"/>
    </row>
    <row r="655">
      <c r="A655" s="372"/>
      <c r="B655" s="372"/>
      <c r="C655" s="372"/>
      <c r="D655" s="372"/>
      <c r="E655" s="372"/>
      <c r="F655" s="372"/>
      <c r="G655" s="372"/>
      <c r="H655" s="372"/>
      <c r="I655" s="372"/>
      <c r="J655" s="372"/>
      <c r="K655" s="372"/>
      <c r="L655" s="372"/>
      <c r="M655" s="372"/>
      <c r="N655" s="372"/>
      <c r="O655" s="372"/>
      <c r="P655" s="372"/>
      <c r="Q655" s="372"/>
      <c r="R655" s="372"/>
      <c r="S655" s="372"/>
      <c r="T655" s="372"/>
      <c r="U655" s="372"/>
      <c r="V655" s="372"/>
      <c r="W655" s="372"/>
      <c r="X655" s="372"/>
      <c r="Y655" s="372"/>
      <c r="Z655" s="372"/>
    </row>
    <row r="656">
      <c r="A656" s="372"/>
      <c r="B656" s="372"/>
      <c r="C656" s="372"/>
      <c r="D656" s="372"/>
      <c r="E656" s="372"/>
      <c r="F656" s="372"/>
      <c r="G656" s="372"/>
      <c r="H656" s="372"/>
      <c r="I656" s="372"/>
      <c r="J656" s="372"/>
      <c r="K656" s="372"/>
      <c r="L656" s="372"/>
      <c r="M656" s="372"/>
      <c r="N656" s="372"/>
      <c r="O656" s="372"/>
      <c r="P656" s="372"/>
      <c r="Q656" s="372"/>
      <c r="R656" s="372"/>
      <c r="S656" s="372"/>
      <c r="T656" s="372"/>
      <c r="U656" s="372"/>
      <c r="V656" s="372"/>
      <c r="W656" s="372"/>
      <c r="X656" s="372"/>
      <c r="Y656" s="372"/>
      <c r="Z656" s="372"/>
    </row>
    <row r="657">
      <c r="A657" s="372"/>
      <c r="B657" s="372"/>
      <c r="C657" s="372"/>
      <c r="D657" s="372"/>
      <c r="E657" s="372"/>
      <c r="F657" s="372"/>
      <c r="G657" s="372"/>
      <c r="H657" s="372"/>
      <c r="I657" s="372"/>
      <c r="J657" s="372"/>
      <c r="K657" s="372"/>
      <c r="L657" s="372"/>
      <c r="M657" s="372"/>
      <c r="N657" s="372"/>
      <c r="O657" s="372"/>
      <c r="P657" s="372"/>
      <c r="Q657" s="372"/>
      <c r="R657" s="372"/>
      <c r="S657" s="372"/>
      <c r="T657" s="372"/>
      <c r="U657" s="372"/>
      <c r="V657" s="372"/>
      <c r="W657" s="372"/>
      <c r="X657" s="372"/>
      <c r="Y657" s="372"/>
      <c r="Z657" s="372"/>
    </row>
    <row r="658">
      <c r="A658" s="372"/>
      <c r="B658" s="372"/>
      <c r="C658" s="372"/>
      <c r="D658" s="372"/>
      <c r="E658" s="372"/>
      <c r="F658" s="372"/>
      <c r="G658" s="372"/>
      <c r="H658" s="372"/>
      <c r="I658" s="372"/>
      <c r="J658" s="372"/>
      <c r="K658" s="372"/>
      <c r="L658" s="372"/>
      <c r="M658" s="372"/>
      <c r="N658" s="372"/>
      <c r="O658" s="372"/>
      <c r="P658" s="372"/>
      <c r="Q658" s="372"/>
      <c r="R658" s="372"/>
      <c r="S658" s="372"/>
      <c r="T658" s="372"/>
      <c r="U658" s="372"/>
      <c r="V658" s="372"/>
      <c r="W658" s="372"/>
      <c r="X658" s="372"/>
      <c r="Y658" s="372"/>
      <c r="Z658" s="372"/>
    </row>
    <row r="659">
      <c r="A659" s="372"/>
      <c r="B659" s="372"/>
      <c r="C659" s="372"/>
      <c r="D659" s="372"/>
      <c r="E659" s="372"/>
      <c r="F659" s="372"/>
      <c r="G659" s="372"/>
      <c r="H659" s="372"/>
      <c r="I659" s="372"/>
      <c r="J659" s="372"/>
      <c r="K659" s="372"/>
      <c r="L659" s="372"/>
      <c r="M659" s="372"/>
      <c r="N659" s="372"/>
      <c r="O659" s="372"/>
      <c r="P659" s="372"/>
      <c r="Q659" s="372"/>
      <c r="R659" s="372"/>
      <c r="S659" s="372"/>
      <c r="T659" s="372"/>
      <c r="U659" s="372"/>
      <c r="V659" s="372"/>
      <c r="W659" s="372"/>
      <c r="X659" s="372"/>
      <c r="Y659" s="372"/>
      <c r="Z659" s="372"/>
    </row>
    <row r="660">
      <c r="A660" s="372"/>
      <c r="B660" s="372"/>
      <c r="C660" s="372"/>
      <c r="D660" s="372"/>
      <c r="E660" s="372"/>
      <c r="F660" s="372"/>
      <c r="G660" s="372"/>
      <c r="H660" s="372"/>
      <c r="I660" s="372"/>
      <c r="J660" s="372"/>
      <c r="K660" s="372"/>
      <c r="L660" s="372"/>
      <c r="M660" s="372"/>
      <c r="N660" s="372"/>
      <c r="O660" s="372"/>
      <c r="P660" s="372"/>
      <c r="Q660" s="372"/>
      <c r="R660" s="372"/>
      <c r="S660" s="372"/>
      <c r="T660" s="372"/>
      <c r="U660" s="372"/>
      <c r="V660" s="372"/>
      <c r="W660" s="372"/>
      <c r="X660" s="372"/>
      <c r="Y660" s="372"/>
      <c r="Z660" s="372"/>
    </row>
    <row r="661">
      <c r="A661" s="372"/>
      <c r="B661" s="372"/>
      <c r="C661" s="372"/>
      <c r="D661" s="372"/>
      <c r="E661" s="372"/>
      <c r="F661" s="372"/>
      <c r="G661" s="372"/>
      <c r="H661" s="372"/>
      <c r="I661" s="372"/>
      <c r="J661" s="372"/>
      <c r="K661" s="372"/>
      <c r="L661" s="372"/>
      <c r="M661" s="372"/>
      <c r="N661" s="372"/>
      <c r="O661" s="372"/>
      <c r="P661" s="372"/>
      <c r="Q661" s="372"/>
      <c r="R661" s="372"/>
      <c r="S661" s="372"/>
      <c r="T661" s="372"/>
      <c r="U661" s="372"/>
      <c r="V661" s="372"/>
      <c r="W661" s="372"/>
      <c r="X661" s="372"/>
      <c r="Y661" s="372"/>
      <c r="Z661" s="372"/>
    </row>
    <row r="662">
      <c r="A662" s="372"/>
      <c r="B662" s="372"/>
      <c r="C662" s="372"/>
      <c r="D662" s="372"/>
      <c r="E662" s="372"/>
      <c r="F662" s="372"/>
      <c r="G662" s="372"/>
      <c r="H662" s="372"/>
      <c r="I662" s="372"/>
      <c r="J662" s="372"/>
      <c r="K662" s="372"/>
      <c r="L662" s="372"/>
      <c r="M662" s="372"/>
      <c r="N662" s="372"/>
      <c r="O662" s="372"/>
      <c r="P662" s="372"/>
      <c r="Q662" s="372"/>
      <c r="R662" s="372"/>
      <c r="S662" s="372"/>
      <c r="T662" s="372"/>
      <c r="U662" s="372"/>
      <c r="V662" s="372"/>
      <c r="W662" s="372"/>
      <c r="X662" s="372"/>
      <c r="Y662" s="372"/>
      <c r="Z662" s="372"/>
    </row>
    <row r="663">
      <c r="A663" s="372"/>
      <c r="B663" s="372"/>
      <c r="C663" s="372"/>
      <c r="D663" s="372"/>
      <c r="E663" s="372"/>
      <c r="F663" s="372"/>
      <c r="G663" s="372"/>
      <c r="H663" s="372"/>
      <c r="I663" s="372"/>
      <c r="J663" s="372"/>
      <c r="K663" s="372"/>
      <c r="L663" s="372"/>
      <c r="M663" s="372"/>
      <c r="N663" s="372"/>
      <c r="O663" s="372"/>
      <c r="P663" s="372"/>
      <c r="Q663" s="372"/>
      <c r="R663" s="372"/>
      <c r="S663" s="372"/>
      <c r="T663" s="372"/>
      <c r="U663" s="372"/>
      <c r="V663" s="372"/>
      <c r="W663" s="372"/>
      <c r="X663" s="372"/>
      <c r="Y663" s="372"/>
      <c r="Z663" s="372"/>
    </row>
    <row r="664">
      <c r="A664" s="372"/>
      <c r="B664" s="372"/>
      <c r="C664" s="372"/>
      <c r="D664" s="372"/>
      <c r="E664" s="372"/>
      <c r="F664" s="372"/>
      <c r="G664" s="372"/>
      <c r="H664" s="372"/>
      <c r="I664" s="372"/>
      <c r="J664" s="372"/>
      <c r="K664" s="372"/>
      <c r="L664" s="372"/>
      <c r="M664" s="372"/>
      <c r="N664" s="372"/>
      <c r="O664" s="372"/>
      <c r="P664" s="372"/>
      <c r="Q664" s="372"/>
      <c r="R664" s="372"/>
      <c r="S664" s="372"/>
      <c r="T664" s="372"/>
      <c r="U664" s="372"/>
      <c r="V664" s="372"/>
      <c r="W664" s="372"/>
      <c r="X664" s="372"/>
      <c r="Y664" s="372"/>
      <c r="Z664" s="372"/>
    </row>
    <row r="665">
      <c r="A665" s="372"/>
      <c r="B665" s="372"/>
      <c r="C665" s="372"/>
      <c r="D665" s="372"/>
      <c r="E665" s="372"/>
      <c r="F665" s="372"/>
      <c r="G665" s="372"/>
      <c r="H665" s="372"/>
      <c r="I665" s="372"/>
      <c r="J665" s="372"/>
      <c r="K665" s="372"/>
      <c r="L665" s="372"/>
      <c r="M665" s="372"/>
      <c r="N665" s="372"/>
      <c r="O665" s="372"/>
      <c r="P665" s="372"/>
      <c r="Q665" s="372"/>
      <c r="R665" s="372"/>
      <c r="S665" s="372"/>
      <c r="T665" s="372"/>
      <c r="U665" s="372"/>
      <c r="V665" s="372"/>
      <c r="W665" s="372"/>
      <c r="X665" s="372"/>
      <c r="Y665" s="372"/>
      <c r="Z665" s="372"/>
    </row>
    <row r="666">
      <c r="A666" s="372"/>
      <c r="B666" s="372"/>
      <c r="C666" s="372"/>
      <c r="D666" s="372"/>
      <c r="E666" s="372"/>
      <c r="F666" s="372"/>
      <c r="G666" s="372"/>
      <c r="H666" s="372"/>
      <c r="I666" s="372"/>
      <c r="J666" s="372"/>
      <c r="K666" s="372"/>
      <c r="L666" s="372"/>
      <c r="M666" s="372"/>
      <c r="N666" s="372"/>
      <c r="O666" s="372"/>
      <c r="P666" s="372"/>
      <c r="Q666" s="372"/>
      <c r="R666" s="372"/>
      <c r="S666" s="372"/>
      <c r="T666" s="372"/>
      <c r="U666" s="372"/>
      <c r="V666" s="372"/>
      <c r="W666" s="372"/>
      <c r="X666" s="372"/>
      <c r="Y666" s="372"/>
      <c r="Z666" s="372"/>
    </row>
    <row r="667">
      <c r="A667" s="372"/>
      <c r="B667" s="372"/>
      <c r="C667" s="372"/>
      <c r="D667" s="372"/>
      <c r="E667" s="372"/>
      <c r="F667" s="372"/>
      <c r="G667" s="372"/>
      <c r="H667" s="372"/>
      <c r="I667" s="372"/>
      <c r="J667" s="372"/>
      <c r="K667" s="372"/>
      <c r="L667" s="372"/>
      <c r="M667" s="372"/>
      <c r="N667" s="372"/>
      <c r="O667" s="372"/>
      <c r="P667" s="372"/>
      <c r="Q667" s="372"/>
      <c r="R667" s="372"/>
      <c r="S667" s="372"/>
      <c r="T667" s="372"/>
      <c r="U667" s="372"/>
      <c r="V667" s="372"/>
      <c r="W667" s="372"/>
      <c r="X667" s="372"/>
      <c r="Y667" s="372"/>
      <c r="Z667" s="372"/>
    </row>
    <row r="668">
      <c r="A668" s="372"/>
      <c r="B668" s="372"/>
      <c r="C668" s="372"/>
      <c r="D668" s="372"/>
      <c r="E668" s="372"/>
      <c r="F668" s="372"/>
      <c r="G668" s="372"/>
      <c r="H668" s="372"/>
      <c r="I668" s="372"/>
      <c r="J668" s="372"/>
      <c r="K668" s="372"/>
      <c r="L668" s="372"/>
      <c r="M668" s="372"/>
      <c r="N668" s="372"/>
      <c r="O668" s="372"/>
      <c r="P668" s="372"/>
      <c r="Q668" s="372"/>
      <c r="R668" s="372"/>
      <c r="S668" s="372"/>
      <c r="T668" s="372"/>
      <c r="U668" s="372"/>
      <c r="V668" s="372"/>
      <c r="W668" s="372"/>
      <c r="X668" s="372"/>
      <c r="Y668" s="372"/>
      <c r="Z668" s="372"/>
    </row>
    <row r="669">
      <c r="A669" s="372"/>
      <c r="B669" s="372"/>
      <c r="C669" s="372"/>
      <c r="D669" s="372"/>
      <c r="E669" s="372"/>
      <c r="F669" s="372"/>
      <c r="G669" s="372"/>
      <c r="H669" s="372"/>
      <c r="I669" s="372"/>
      <c r="J669" s="372"/>
      <c r="K669" s="372"/>
      <c r="L669" s="372"/>
      <c r="M669" s="372"/>
      <c r="N669" s="372"/>
      <c r="O669" s="372"/>
      <c r="P669" s="372"/>
      <c r="Q669" s="372"/>
      <c r="R669" s="372"/>
      <c r="S669" s="372"/>
      <c r="T669" s="372"/>
      <c r="U669" s="372"/>
      <c r="V669" s="372"/>
      <c r="W669" s="372"/>
      <c r="X669" s="372"/>
      <c r="Y669" s="372"/>
      <c r="Z669" s="372"/>
    </row>
    <row r="670">
      <c r="A670" s="372"/>
      <c r="B670" s="372"/>
      <c r="C670" s="372"/>
      <c r="D670" s="372"/>
      <c r="E670" s="372"/>
      <c r="F670" s="372"/>
      <c r="G670" s="372"/>
      <c r="H670" s="372"/>
      <c r="I670" s="372"/>
      <c r="J670" s="372"/>
      <c r="K670" s="372"/>
      <c r="L670" s="372"/>
      <c r="M670" s="372"/>
      <c r="N670" s="372"/>
      <c r="O670" s="372"/>
      <c r="P670" s="372"/>
      <c r="Q670" s="372"/>
      <c r="R670" s="372"/>
      <c r="S670" s="372"/>
      <c r="T670" s="372"/>
      <c r="U670" s="372"/>
      <c r="V670" s="372"/>
      <c r="W670" s="372"/>
      <c r="X670" s="372"/>
      <c r="Y670" s="372"/>
      <c r="Z670" s="372"/>
    </row>
    <row r="671">
      <c r="A671" s="372"/>
      <c r="B671" s="372"/>
      <c r="C671" s="372"/>
      <c r="D671" s="372"/>
      <c r="E671" s="372"/>
      <c r="F671" s="372"/>
      <c r="G671" s="372"/>
      <c r="H671" s="372"/>
      <c r="I671" s="372"/>
      <c r="J671" s="372"/>
      <c r="K671" s="372"/>
      <c r="L671" s="372"/>
      <c r="M671" s="372"/>
      <c r="N671" s="372"/>
      <c r="O671" s="372"/>
      <c r="P671" s="372"/>
      <c r="Q671" s="372"/>
      <c r="R671" s="372"/>
      <c r="S671" s="372"/>
      <c r="T671" s="372"/>
      <c r="U671" s="372"/>
      <c r="V671" s="372"/>
      <c r="W671" s="372"/>
      <c r="X671" s="372"/>
      <c r="Y671" s="372"/>
      <c r="Z671" s="372"/>
    </row>
    <row r="672">
      <c r="A672" s="372"/>
      <c r="B672" s="372"/>
      <c r="C672" s="372"/>
      <c r="D672" s="372"/>
      <c r="E672" s="372"/>
      <c r="F672" s="372"/>
      <c r="G672" s="372"/>
      <c r="H672" s="372"/>
      <c r="I672" s="372"/>
      <c r="J672" s="372"/>
      <c r="K672" s="372"/>
      <c r="L672" s="372"/>
      <c r="M672" s="372"/>
      <c r="N672" s="372"/>
      <c r="O672" s="372"/>
      <c r="P672" s="372"/>
      <c r="Q672" s="372"/>
      <c r="R672" s="372"/>
      <c r="S672" s="372"/>
      <c r="T672" s="372"/>
      <c r="U672" s="372"/>
      <c r="V672" s="372"/>
      <c r="W672" s="372"/>
      <c r="X672" s="372"/>
      <c r="Y672" s="372"/>
      <c r="Z672" s="372"/>
    </row>
    <row r="673">
      <c r="A673" s="372"/>
      <c r="B673" s="372"/>
      <c r="C673" s="372"/>
      <c r="D673" s="372"/>
      <c r="E673" s="372"/>
      <c r="F673" s="372"/>
      <c r="G673" s="372"/>
      <c r="H673" s="372"/>
      <c r="I673" s="372"/>
      <c r="J673" s="372"/>
      <c r="K673" s="372"/>
      <c r="L673" s="372"/>
      <c r="M673" s="372"/>
      <c r="N673" s="372"/>
      <c r="O673" s="372"/>
      <c r="P673" s="372"/>
      <c r="Q673" s="372"/>
      <c r="R673" s="372"/>
      <c r="S673" s="372"/>
      <c r="T673" s="372"/>
      <c r="U673" s="372"/>
      <c r="V673" s="372"/>
      <c r="W673" s="372"/>
      <c r="X673" s="372"/>
      <c r="Y673" s="372"/>
      <c r="Z673" s="372"/>
    </row>
    <row r="674">
      <c r="A674" s="372"/>
      <c r="B674" s="372"/>
      <c r="C674" s="372"/>
      <c r="D674" s="372"/>
      <c r="E674" s="372"/>
      <c r="F674" s="372"/>
      <c r="G674" s="372"/>
      <c r="H674" s="372"/>
      <c r="I674" s="372"/>
      <c r="J674" s="372"/>
      <c r="K674" s="372"/>
      <c r="L674" s="372"/>
      <c r="M674" s="372"/>
      <c r="N674" s="372"/>
      <c r="O674" s="372"/>
      <c r="P674" s="372"/>
      <c r="Q674" s="372"/>
      <c r="R674" s="372"/>
      <c r="S674" s="372"/>
      <c r="T674" s="372"/>
      <c r="U674" s="372"/>
      <c r="V674" s="372"/>
      <c r="W674" s="372"/>
      <c r="X674" s="372"/>
      <c r="Y674" s="372"/>
      <c r="Z674" s="372"/>
    </row>
    <row r="675">
      <c r="A675" s="372"/>
      <c r="B675" s="372"/>
      <c r="C675" s="372"/>
      <c r="D675" s="372"/>
      <c r="E675" s="372"/>
      <c r="F675" s="372"/>
      <c r="G675" s="372"/>
      <c r="H675" s="372"/>
      <c r="I675" s="372"/>
      <c r="J675" s="372"/>
      <c r="K675" s="372"/>
      <c r="L675" s="372"/>
      <c r="M675" s="372"/>
      <c r="N675" s="372"/>
      <c r="O675" s="372"/>
      <c r="P675" s="372"/>
      <c r="Q675" s="372"/>
      <c r="R675" s="372"/>
      <c r="S675" s="372"/>
      <c r="T675" s="372"/>
      <c r="U675" s="372"/>
      <c r="V675" s="372"/>
      <c r="W675" s="372"/>
      <c r="X675" s="372"/>
      <c r="Y675" s="372"/>
      <c r="Z675" s="372"/>
    </row>
    <row r="676">
      <c r="A676" s="372"/>
      <c r="B676" s="372"/>
      <c r="C676" s="372"/>
      <c r="D676" s="372"/>
      <c r="E676" s="372"/>
      <c r="F676" s="372"/>
      <c r="G676" s="372"/>
      <c r="H676" s="372"/>
      <c r="I676" s="372"/>
      <c r="J676" s="372"/>
      <c r="K676" s="372"/>
      <c r="L676" s="372"/>
      <c r="M676" s="372"/>
      <c r="N676" s="372"/>
      <c r="O676" s="372"/>
      <c r="P676" s="372"/>
      <c r="Q676" s="372"/>
      <c r="R676" s="372"/>
      <c r="S676" s="372"/>
      <c r="T676" s="372"/>
      <c r="U676" s="372"/>
      <c r="V676" s="372"/>
      <c r="W676" s="372"/>
      <c r="X676" s="372"/>
      <c r="Y676" s="372"/>
      <c r="Z676" s="372"/>
    </row>
    <row r="677">
      <c r="A677" s="372"/>
      <c r="B677" s="372"/>
      <c r="C677" s="372"/>
      <c r="D677" s="372"/>
      <c r="E677" s="372"/>
      <c r="F677" s="372"/>
      <c r="G677" s="372"/>
      <c r="H677" s="372"/>
      <c r="I677" s="372"/>
      <c r="J677" s="372"/>
      <c r="K677" s="372"/>
      <c r="L677" s="372"/>
      <c r="M677" s="372"/>
      <c r="N677" s="372"/>
      <c r="O677" s="372"/>
      <c r="P677" s="372"/>
      <c r="Q677" s="372"/>
      <c r="R677" s="372"/>
      <c r="S677" s="372"/>
      <c r="T677" s="372"/>
      <c r="U677" s="372"/>
      <c r="V677" s="372"/>
      <c r="W677" s="372"/>
      <c r="X677" s="372"/>
      <c r="Y677" s="372"/>
      <c r="Z677" s="372"/>
    </row>
    <row r="678">
      <c r="A678" s="372"/>
      <c r="B678" s="372"/>
      <c r="C678" s="372"/>
      <c r="D678" s="372"/>
      <c r="E678" s="372"/>
      <c r="F678" s="372"/>
      <c r="G678" s="372"/>
      <c r="H678" s="372"/>
      <c r="I678" s="372"/>
      <c r="J678" s="372"/>
      <c r="K678" s="372"/>
      <c r="L678" s="372"/>
      <c r="M678" s="372"/>
      <c r="N678" s="372"/>
      <c r="O678" s="372"/>
      <c r="P678" s="372"/>
      <c r="Q678" s="372"/>
      <c r="R678" s="372"/>
      <c r="S678" s="372"/>
      <c r="T678" s="372"/>
      <c r="U678" s="372"/>
      <c r="V678" s="372"/>
      <c r="W678" s="372"/>
      <c r="X678" s="372"/>
      <c r="Y678" s="372"/>
      <c r="Z678" s="372"/>
    </row>
    <row r="679">
      <c r="A679" s="372"/>
      <c r="B679" s="372"/>
      <c r="C679" s="372"/>
      <c r="D679" s="372"/>
      <c r="E679" s="372"/>
      <c r="F679" s="372"/>
      <c r="G679" s="372"/>
      <c r="H679" s="372"/>
      <c r="I679" s="372"/>
      <c r="J679" s="372"/>
      <c r="K679" s="372"/>
      <c r="L679" s="372"/>
      <c r="M679" s="372"/>
      <c r="N679" s="372"/>
      <c r="O679" s="372"/>
      <c r="P679" s="372"/>
      <c r="Q679" s="372"/>
      <c r="R679" s="372"/>
      <c r="S679" s="372"/>
      <c r="T679" s="372"/>
      <c r="U679" s="372"/>
      <c r="V679" s="372"/>
      <c r="W679" s="372"/>
      <c r="X679" s="372"/>
      <c r="Y679" s="372"/>
      <c r="Z679" s="372"/>
    </row>
    <row r="680">
      <c r="A680" s="372"/>
      <c r="B680" s="372"/>
      <c r="C680" s="372"/>
      <c r="D680" s="372"/>
      <c r="E680" s="372"/>
      <c r="F680" s="372"/>
      <c r="G680" s="372"/>
      <c r="H680" s="372"/>
      <c r="I680" s="372"/>
      <c r="J680" s="372"/>
      <c r="K680" s="372"/>
      <c r="L680" s="372"/>
      <c r="M680" s="372"/>
      <c r="N680" s="372"/>
      <c r="O680" s="372"/>
      <c r="P680" s="372"/>
      <c r="Q680" s="372"/>
      <c r="R680" s="372"/>
      <c r="S680" s="372"/>
      <c r="T680" s="372"/>
      <c r="U680" s="372"/>
      <c r="V680" s="372"/>
      <c r="W680" s="372"/>
      <c r="X680" s="372"/>
      <c r="Y680" s="372"/>
      <c r="Z680" s="372"/>
    </row>
    <row r="681">
      <c r="A681" s="372"/>
      <c r="B681" s="372"/>
      <c r="C681" s="372"/>
      <c r="D681" s="372"/>
      <c r="E681" s="372"/>
      <c r="F681" s="372"/>
      <c r="G681" s="372"/>
      <c r="H681" s="372"/>
      <c r="I681" s="372"/>
      <c r="J681" s="372"/>
      <c r="K681" s="372"/>
      <c r="L681" s="372"/>
      <c r="M681" s="372"/>
      <c r="N681" s="372"/>
      <c r="O681" s="372"/>
      <c r="P681" s="372"/>
      <c r="Q681" s="372"/>
      <c r="R681" s="372"/>
      <c r="S681" s="372"/>
      <c r="T681" s="372"/>
      <c r="U681" s="372"/>
      <c r="V681" s="372"/>
      <c r="W681" s="372"/>
      <c r="X681" s="372"/>
      <c r="Y681" s="372"/>
      <c r="Z681" s="372"/>
    </row>
    <row r="682">
      <c r="A682" s="372"/>
      <c r="B682" s="372"/>
      <c r="C682" s="372"/>
      <c r="D682" s="372"/>
      <c r="E682" s="372"/>
      <c r="F682" s="372"/>
      <c r="G682" s="372"/>
      <c r="H682" s="372"/>
      <c r="I682" s="372"/>
      <c r="J682" s="372"/>
      <c r="K682" s="372"/>
      <c r="L682" s="372"/>
      <c r="M682" s="372"/>
      <c r="N682" s="372"/>
      <c r="O682" s="372"/>
      <c r="P682" s="372"/>
      <c r="Q682" s="372"/>
      <c r="R682" s="372"/>
      <c r="S682" s="372"/>
      <c r="T682" s="372"/>
      <c r="U682" s="372"/>
      <c r="V682" s="372"/>
      <c r="W682" s="372"/>
      <c r="X682" s="372"/>
      <c r="Y682" s="372"/>
      <c r="Z682" s="372"/>
    </row>
    <row r="683">
      <c r="A683" s="372"/>
      <c r="B683" s="372"/>
      <c r="C683" s="372"/>
      <c r="D683" s="372"/>
      <c r="E683" s="372"/>
      <c r="F683" s="372"/>
      <c r="G683" s="372"/>
      <c r="H683" s="372"/>
      <c r="I683" s="372"/>
      <c r="J683" s="372"/>
      <c r="K683" s="372"/>
      <c r="L683" s="372"/>
      <c r="M683" s="372"/>
      <c r="N683" s="372"/>
      <c r="O683" s="372"/>
      <c r="P683" s="372"/>
      <c r="Q683" s="372"/>
      <c r="R683" s="372"/>
      <c r="S683" s="372"/>
      <c r="T683" s="372"/>
      <c r="U683" s="372"/>
      <c r="V683" s="372"/>
      <c r="W683" s="372"/>
      <c r="X683" s="372"/>
      <c r="Y683" s="372"/>
      <c r="Z683" s="372"/>
    </row>
    <row r="684">
      <c r="A684" s="372"/>
      <c r="B684" s="372"/>
      <c r="C684" s="372"/>
      <c r="D684" s="372"/>
      <c r="E684" s="372"/>
      <c r="F684" s="372"/>
      <c r="G684" s="372"/>
      <c r="H684" s="372"/>
      <c r="I684" s="372"/>
      <c r="J684" s="372"/>
      <c r="K684" s="372"/>
      <c r="L684" s="372"/>
      <c r="M684" s="372"/>
      <c r="N684" s="372"/>
      <c r="O684" s="372"/>
      <c r="P684" s="372"/>
      <c r="Q684" s="372"/>
      <c r="R684" s="372"/>
      <c r="S684" s="372"/>
      <c r="T684" s="372"/>
      <c r="U684" s="372"/>
      <c r="V684" s="372"/>
      <c r="W684" s="372"/>
      <c r="X684" s="372"/>
      <c r="Y684" s="372"/>
      <c r="Z684" s="372"/>
    </row>
    <row r="685">
      <c r="A685" s="372"/>
      <c r="B685" s="372"/>
      <c r="C685" s="372"/>
      <c r="D685" s="372"/>
      <c r="E685" s="372"/>
      <c r="F685" s="372"/>
      <c r="G685" s="372"/>
      <c r="H685" s="372"/>
      <c r="I685" s="372"/>
      <c r="J685" s="372"/>
      <c r="K685" s="372"/>
      <c r="L685" s="372"/>
      <c r="M685" s="372"/>
      <c r="N685" s="372"/>
      <c r="O685" s="372"/>
      <c r="P685" s="372"/>
      <c r="Q685" s="372"/>
      <c r="R685" s="372"/>
      <c r="S685" s="372"/>
      <c r="T685" s="372"/>
      <c r="U685" s="372"/>
      <c r="V685" s="372"/>
      <c r="W685" s="372"/>
      <c r="X685" s="372"/>
      <c r="Y685" s="372"/>
      <c r="Z685" s="372"/>
    </row>
    <row r="686">
      <c r="A686" s="372"/>
      <c r="B686" s="372"/>
      <c r="C686" s="372"/>
      <c r="D686" s="372"/>
      <c r="E686" s="372"/>
      <c r="F686" s="372"/>
      <c r="G686" s="372"/>
      <c r="H686" s="372"/>
      <c r="I686" s="372"/>
      <c r="J686" s="372"/>
      <c r="K686" s="372"/>
      <c r="L686" s="372"/>
      <c r="M686" s="372"/>
      <c r="N686" s="372"/>
      <c r="O686" s="372"/>
      <c r="P686" s="372"/>
      <c r="Q686" s="372"/>
      <c r="R686" s="372"/>
      <c r="S686" s="372"/>
      <c r="T686" s="372"/>
      <c r="U686" s="372"/>
      <c r="V686" s="372"/>
      <c r="W686" s="372"/>
      <c r="X686" s="372"/>
      <c r="Y686" s="372"/>
      <c r="Z686" s="372"/>
    </row>
    <row r="687">
      <c r="A687" s="372"/>
      <c r="B687" s="372"/>
      <c r="C687" s="372"/>
      <c r="D687" s="372"/>
      <c r="E687" s="372"/>
      <c r="F687" s="372"/>
      <c r="G687" s="372"/>
      <c r="H687" s="372"/>
      <c r="I687" s="372"/>
      <c r="J687" s="372"/>
      <c r="K687" s="372"/>
      <c r="L687" s="372"/>
      <c r="M687" s="372"/>
      <c r="N687" s="372"/>
      <c r="O687" s="372"/>
      <c r="P687" s="372"/>
      <c r="Q687" s="372"/>
      <c r="R687" s="372"/>
      <c r="S687" s="372"/>
      <c r="T687" s="372"/>
      <c r="U687" s="372"/>
      <c r="V687" s="372"/>
      <c r="W687" s="372"/>
      <c r="X687" s="372"/>
      <c r="Y687" s="372"/>
      <c r="Z687" s="372"/>
    </row>
    <row r="688">
      <c r="A688" s="372"/>
      <c r="B688" s="372"/>
      <c r="C688" s="372"/>
      <c r="D688" s="372"/>
      <c r="E688" s="372"/>
      <c r="F688" s="372"/>
      <c r="G688" s="372"/>
      <c r="H688" s="372"/>
      <c r="I688" s="372"/>
      <c r="J688" s="372"/>
      <c r="K688" s="372"/>
      <c r="L688" s="372"/>
      <c r="M688" s="372"/>
      <c r="N688" s="372"/>
      <c r="O688" s="372"/>
      <c r="P688" s="372"/>
      <c r="Q688" s="372"/>
      <c r="R688" s="372"/>
      <c r="S688" s="372"/>
      <c r="T688" s="372"/>
      <c r="U688" s="372"/>
      <c r="V688" s="372"/>
      <c r="W688" s="372"/>
      <c r="X688" s="372"/>
      <c r="Y688" s="372"/>
      <c r="Z688" s="372"/>
    </row>
    <row r="689">
      <c r="A689" s="372"/>
      <c r="B689" s="372"/>
      <c r="C689" s="372"/>
      <c r="D689" s="372"/>
      <c r="E689" s="372"/>
      <c r="F689" s="372"/>
      <c r="G689" s="372"/>
      <c r="H689" s="372"/>
      <c r="I689" s="372"/>
      <c r="J689" s="372"/>
      <c r="K689" s="372"/>
      <c r="L689" s="372"/>
      <c r="M689" s="372"/>
      <c r="N689" s="372"/>
      <c r="O689" s="372"/>
      <c r="P689" s="372"/>
      <c r="Q689" s="372"/>
      <c r="R689" s="372"/>
      <c r="S689" s="372"/>
      <c r="T689" s="372"/>
      <c r="U689" s="372"/>
      <c r="V689" s="372"/>
      <c r="W689" s="372"/>
      <c r="X689" s="372"/>
      <c r="Y689" s="372"/>
      <c r="Z689" s="372"/>
    </row>
    <row r="690">
      <c r="A690" s="372"/>
      <c r="B690" s="372"/>
      <c r="C690" s="372"/>
      <c r="D690" s="372"/>
      <c r="E690" s="372"/>
      <c r="F690" s="372"/>
      <c r="G690" s="372"/>
      <c r="H690" s="372"/>
      <c r="I690" s="372"/>
      <c r="J690" s="372"/>
      <c r="K690" s="372"/>
      <c r="L690" s="372"/>
      <c r="M690" s="372"/>
      <c r="N690" s="372"/>
      <c r="O690" s="372"/>
      <c r="P690" s="372"/>
      <c r="Q690" s="372"/>
      <c r="R690" s="372"/>
      <c r="S690" s="372"/>
      <c r="T690" s="372"/>
      <c r="U690" s="372"/>
      <c r="V690" s="372"/>
      <c r="W690" s="372"/>
      <c r="X690" s="372"/>
      <c r="Y690" s="372"/>
      <c r="Z690" s="372"/>
    </row>
    <row r="691">
      <c r="A691" s="372"/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  <c r="T691" s="372"/>
      <c r="U691" s="372"/>
      <c r="V691" s="372"/>
      <c r="W691" s="372"/>
      <c r="X691" s="372"/>
      <c r="Y691" s="372"/>
      <c r="Z691" s="372"/>
    </row>
    <row r="692">
      <c r="A692" s="372"/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  <c r="T692" s="372"/>
      <c r="U692" s="372"/>
      <c r="V692" s="372"/>
      <c r="W692" s="372"/>
      <c r="X692" s="372"/>
      <c r="Y692" s="372"/>
      <c r="Z692" s="372"/>
    </row>
    <row r="693">
      <c r="A693" s="372"/>
      <c r="B693" s="372"/>
      <c r="C693" s="372"/>
      <c r="D693" s="372"/>
      <c r="E693" s="372"/>
      <c r="F693" s="372"/>
      <c r="G693" s="372"/>
      <c r="H693" s="372"/>
      <c r="I693" s="372"/>
      <c r="J693" s="372"/>
      <c r="K693" s="372"/>
      <c r="L693" s="372"/>
      <c r="M693" s="372"/>
      <c r="N693" s="372"/>
      <c r="O693" s="372"/>
      <c r="P693" s="372"/>
      <c r="Q693" s="372"/>
      <c r="R693" s="372"/>
      <c r="S693" s="372"/>
      <c r="T693" s="372"/>
      <c r="U693" s="372"/>
      <c r="V693" s="372"/>
      <c r="W693" s="372"/>
      <c r="X693" s="372"/>
      <c r="Y693" s="372"/>
      <c r="Z693" s="372"/>
    </row>
    <row r="694">
      <c r="A694" s="372"/>
      <c r="B694" s="372"/>
      <c r="C694" s="372"/>
      <c r="D694" s="372"/>
      <c r="E694" s="372"/>
      <c r="F694" s="372"/>
      <c r="G694" s="372"/>
      <c r="H694" s="372"/>
      <c r="I694" s="372"/>
      <c r="J694" s="372"/>
      <c r="K694" s="372"/>
      <c r="L694" s="372"/>
      <c r="M694" s="372"/>
      <c r="N694" s="372"/>
      <c r="O694" s="372"/>
      <c r="P694" s="372"/>
      <c r="Q694" s="372"/>
      <c r="R694" s="372"/>
      <c r="S694" s="372"/>
      <c r="T694" s="372"/>
      <c r="U694" s="372"/>
      <c r="V694" s="372"/>
      <c r="W694" s="372"/>
      <c r="X694" s="372"/>
      <c r="Y694" s="372"/>
      <c r="Z694" s="372"/>
    </row>
    <row r="695">
      <c r="A695" s="372"/>
      <c r="B695" s="372"/>
      <c r="C695" s="372"/>
      <c r="D695" s="372"/>
      <c r="E695" s="372"/>
      <c r="F695" s="372"/>
      <c r="G695" s="372"/>
      <c r="H695" s="372"/>
      <c r="I695" s="372"/>
      <c r="J695" s="372"/>
      <c r="K695" s="372"/>
      <c r="L695" s="372"/>
      <c r="M695" s="372"/>
      <c r="N695" s="372"/>
      <c r="O695" s="372"/>
      <c r="P695" s="372"/>
      <c r="Q695" s="372"/>
      <c r="R695" s="372"/>
      <c r="S695" s="372"/>
      <c r="T695" s="372"/>
      <c r="U695" s="372"/>
      <c r="V695" s="372"/>
      <c r="W695" s="372"/>
      <c r="X695" s="372"/>
      <c r="Y695" s="372"/>
      <c r="Z695" s="372"/>
    </row>
    <row r="696">
      <c r="A696" s="372"/>
      <c r="B696" s="372"/>
      <c r="C696" s="372"/>
      <c r="D696" s="372"/>
      <c r="E696" s="372"/>
      <c r="F696" s="372"/>
      <c r="G696" s="372"/>
      <c r="H696" s="372"/>
      <c r="I696" s="372"/>
      <c r="J696" s="372"/>
      <c r="K696" s="372"/>
      <c r="L696" s="372"/>
      <c r="M696" s="372"/>
      <c r="N696" s="372"/>
      <c r="O696" s="372"/>
      <c r="P696" s="372"/>
      <c r="Q696" s="372"/>
      <c r="R696" s="372"/>
      <c r="S696" s="372"/>
      <c r="T696" s="372"/>
      <c r="U696" s="372"/>
      <c r="V696" s="372"/>
      <c r="W696" s="372"/>
      <c r="X696" s="372"/>
      <c r="Y696" s="372"/>
      <c r="Z696" s="372"/>
    </row>
    <row r="697">
      <c r="A697" s="372"/>
      <c r="B697" s="372"/>
      <c r="C697" s="372"/>
      <c r="D697" s="372"/>
      <c r="E697" s="372"/>
      <c r="F697" s="372"/>
      <c r="G697" s="372"/>
      <c r="H697" s="372"/>
      <c r="I697" s="372"/>
      <c r="J697" s="372"/>
      <c r="K697" s="372"/>
      <c r="L697" s="372"/>
      <c r="M697" s="372"/>
      <c r="N697" s="372"/>
      <c r="O697" s="372"/>
      <c r="P697" s="372"/>
      <c r="Q697" s="372"/>
      <c r="R697" s="372"/>
      <c r="S697" s="372"/>
      <c r="T697" s="372"/>
      <c r="U697" s="372"/>
      <c r="V697" s="372"/>
      <c r="W697" s="372"/>
      <c r="X697" s="372"/>
      <c r="Y697" s="372"/>
      <c r="Z697" s="372"/>
    </row>
    <row r="698">
      <c r="A698" s="372"/>
      <c r="B698" s="372"/>
      <c r="C698" s="372"/>
      <c r="D698" s="372"/>
      <c r="E698" s="372"/>
      <c r="F698" s="372"/>
      <c r="G698" s="372"/>
      <c r="H698" s="372"/>
      <c r="I698" s="372"/>
      <c r="J698" s="372"/>
      <c r="K698" s="372"/>
      <c r="L698" s="372"/>
      <c r="M698" s="372"/>
      <c r="N698" s="372"/>
      <c r="O698" s="372"/>
      <c r="P698" s="372"/>
      <c r="Q698" s="372"/>
      <c r="R698" s="372"/>
      <c r="S698" s="372"/>
      <c r="T698" s="372"/>
      <c r="U698" s="372"/>
      <c r="V698" s="372"/>
      <c r="W698" s="372"/>
      <c r="X698" s="372"/>
      <c r="Y698" s="372"/>
      <c r="Z698" s="372"/>
    </row>
    <row r="699">
      <c r="A699" s="372"/>
      <c r="B699" s="372"/>
      <c r="C699" s="372"/>
      <c r="D699" s="372"/>
      <c r="E699" s="372"/>
      <c r="F699" s="372"/>
      <c r="G699" s="372"/>
      <c r="H699" s="372"/>
      <c r="I699" s="372"/>
      <c r="J699" s="372"/>
      <c r="K699" s="372"/>
      <c r="L699" s="372"/>
      <c r="M699" s="372"/>
      <c r="N699" s="372"/>
      <c r="O699" s="372"/>
      <c r="P699" s="372"/>
      <c r="Q699" s="372"/>
      <c r="R699" s="372"/>
      <c r="S699" s="372"/>
      <c r="T699" s="372"/>
      <c r="U699" s="372"/>
      <c r="V699" s="372"/>
      <c r="W699" s="372"/>
      <c r="X699" s="372"/>
      <c r="Y699" s="372"/>
      <c r="Z699" s="372"/>
    </row>
    <row r="700">
      <c r="A700" s="372"/>
      <c r="B700" s="372"/>
      <c r="C700" s="372"/>
      <c r="D700" s="372"/>
      <c r="E700" s="372"/>
      <c r="F700" s="372"/>
      <c r="G700" s="372"/>
      <c r="H700" s="372"/>
      <c r="I700" s="372"/>
      <c r="J700" s="372"/>
      <c r="K700" s="372"/>
      <c r="L700" s="372"/>
      <c r="M700" s="372"/>
      <c r="N700" s="372"/>
      <c r="O700" s="372"/>
      <c r="P700" s="372"/>
      <c r="Q700" s="372"/>
      <c r="R700" s="372"/>
      <c r="S700" s="372"/>
      <c r="T700" s="372"/>
      <c r="U700" s="372"/>
      <c r="V700" s="372"/>
      <c r="W700" s="372"/>
      <c r="X700" s="372"/>
      <c r="Y700" s="372"/>
      <c r="Z700" s="372"/>
    </row>
    <row r="701">
      <c r="A701" s="372"/>
      <c r="B701" s="372"/>
      <c r="C701" s="372"/>
      <c r="D701" s="372"/>
      <c r="E701" s="372"/>
      <c r="F701" s="372"/>
      <c r="G701" s="372"/>
      <c r="H701" s="372"/>
      <c r="I701" s="372"/>
      <c r="J701" s="372"/>
      <c r="K701" s="372"/>
      <c r="L701" s="372"/>
      <c r="M701" s="372"/>
      <c r="N701" s="372"/>
      <c r="O701" s="372"/>
      <c r="P701" s="372"/>
      <c r="Q701" s="372"/>
      <c r="R701" s="372"/>
      <c r="S701" s="372"/>
      <c r="T701" s="372"/>
      <c r="U701" s="372"/>
      <c r="V701" s="372"/>
      <c r="W701" s="372"/>
      <c r="X701" s="372"/>
      <c r="Y701" s="372"/>
      <c r="Z701" s="372"/>
    </row>
    <row r="702">
      <c r="A702" s="372"/>
      <c r="B702" s="372"/>
      <c r="C702" s="372"/>
      <c r="D702" s="372"/>
      <c r="E702" s="372"/>
      <c r="F702" s="372"/>
      <c r="G702" s="372"/>
      <c r="H702" s="372"/>
      <c r="I702" s="372"/>
      <c r="J702" s="372"/>
      <c r="K702" s="372"/>
      <c r="L702" s="372"/>
      <c r="M702" s="372"/>
      <c r="N702" s="372"/>
      <c r="O702" s="372"/>
      <c r="P702" s="372"/>
      <c r="Q702" s="372"/>
      <c r="R702" s="372"/>
      <c r="S702" s="372"/>
      <c r="T702" s="372"/>
      <c r="U702" s="372"/>
      <c r="V702" s="372"/>
      <c r="W702" s="372"/>
      <c r="X702" s="372"/>
      <c r="Y702" s="372"/>
      <c r="Z702" s="372"/>
    </row>
    <row r="703">
      <c r="A703" s="372"/>
      <c r="B703" s="372"/>
      <c r="C703" s="372"/>
      <c r="D703" s="372"/>
      <c r="E703" s="372"/>
      <c r="F703" s="372"/>
      <c r="G703" s="372"/>
      <c r="H703" s="372"/>
      <c r="I703" s="372"/>
      <c r="J703" s="372"/>
      <c r="K703" s="372"/>
      <c r="L703" s="372"/>
      <c r="M703" s="372"/>
      <c r="N703" s="372"/>
      <c r="O703" s="372"/>
      <c r="P703" s="372"/>
      <c r="Q703" s="372"/>
      <c r="R703" s="372"/>
      <c r="S703" s="372"/>
      <c r="T703" s="372"/>
      <c r="U703" s="372"/>
      <c r="V703" s="372"/>
      <c r="W703" s="372"/>
      <c r="X703" s="372"/>
      <c r="Y703" s="372"/>
      <c r="Z703" s="372"/>
    </row>
    <row r="704">
      <c r="A704" s="372"/>
      <c r="B704" s="372"/>
      <c r="C704" s="372"/>
      <c r="D704" s="372"/>
      <c r="E704" s="372"/>
      <c r="F704" s="372"/>
      <c r="G704" s="372"/>
      <c r="H704" s="372"/>
      <c r="I704" s="372"/>
      <c r="J704" s="372"/>
      <c r="K704" s="372"/>
      <c r="L704" s="372"/>
      <c r="M704" s="372"/>
      <c r="N704" s="372"/>
      <c r="O704" s="372"/>
      <c r="P704" s="372"/>
      <c r="Q704" s="372"/>
      <c r="R704" s="372"/>
      <c r="S704" s="372"/>
      <c r="T704" s="372"/>
      <c r="U704" s="372"/>
      <c r="V704" s="372"/>
      <c r="W704" s="372"/>
      <c r="X704" s="372"/>
      <c r="Y704" s="372"/>
      <c r="Z704" s="372"/>
    </row>
    <row r="705">
      <c r="A705" s="372"/>
      <c r="B705" s="372"/>
      <c r="C705" s="372"/>
      <c r="D705" s="372"/>
      <c r="E705" s="372"/>
      <c r="F705" s="372"/>
      <c r="G705" s="372"/>
      <c r="H705" s="372"/>
      <c r="I705" s="372"/>
      <c r="J705" s="372"/>
      <c r="K705" s="372"/>
      <c r="L705" s="372"/>
      <c r="M705" s="372"/>
      <c r="N705" s="372"/>
      <c r="O705" s="372"/>
      <c r="P705" s="372"/>
      <c r="Q705" s="372"/>
      <c r="R705" s="372"/>
      <c r="S705" s="372"/>
      <c r="T705" s="372"/>
      <c r="U705" s="372"/>
      <c r="V705" s="372"/>
      <c r="W705" s="372"/>
      <c r="X705" s="372"/>
      <c r="Y705" s="372"/>
      <c r="Z705" s="372"/>
    </row>
    <row r="706">
      <c r="A706" s="372"/>
      <c r="B706" s="372"/>
      <c r="C706" s="372"/>
      <c r="D706" s="372"/>
      <c r="E706" s="372"/>
      <c r="F706" s="372"/>
      <c r="G706" s="372"/>
      <c r="H706" s="372"/>
      <c r="I706" s="372"/>
      <c r="J706" s="372"/>
      <c r="K706" s="372"/>
      <c r="L706" s="372"/>
      <c r="M706" s="372"/>
      <c r="N706" s="372"/>
      <c r="O706" s="372"/>
      <c r="P706" s="372"/>
      <c r="Q706" s="372"/>
      <c r="R706" s="372"/>
      <c r="S706" s="372"/>
      <c r="T706" s="372"/>
      <c r="U706" s="372"/>
      <c r="V706" s="372"/>
      <c r="W706" s="372"/>
      <c r="X706" s="372"/>
      <c r="Y706" s="372"/>
      <c r="Z706" s="372"/>
    </row>
    <row r="707">
      <c r="A707" s="372"/>
      <c r="B707" s="372"/>
      <c r="C707" s="372"/>
      <c r="D707" s="372"/>
      <c r="E707" s="372"/>
      <c r="F707" s="372"/>
      <c r="G707" s="372"/>
      <c r="H707" s="372"/>
      <c r="I707" s="372"/>
      <c r="J707" s="372"/>
      <c r="K707" s="372"/>
      <c r="L707" s="372"/>
      <c r="M707" s="372"/>
      <c r="N707" s="372"/>
      <c r="O707" s="372"/>
      <c r="P707" s="372"/>
      <c r="Q707" s="372"/>
      <c r="R707" s="372"/>
      <c r="S707" s="372"/>
      <c r="T707" s="372"/>
      <c r="U707" s="372"/>
      <c r="V707" s="372"/>
      <c r="W707" s="372"/>
      <c r="X707" s="372"/>
      <c r="Y707" s="372"/>
      <c r="Z707" s="372"/>
    </row>
    <row r="708">
      <c r="A708" s="372"/>
      <c r="B708" s="372"/>
      <c r="C708" s="372"/>
      <c r="D708" s="372"/>
      <c r="E708" s="372"/>
      <c r="F708" s="372"/>
      <c r="G708" s="372"/>
      <c r="H708" s="372"/>
      <c r="I708" s="372"/>
      <c r="J708" s="372"/>
      <c r="K708" s="372"/>
      <c r="L708" s="372"/>
      <c r="M708" s="372"/>
      <c r="N708" s="372"/>
      <c r="O708" s="372"/>
      <c r="P708" s="372"/>
      <c r="Q708" s="372"/>
      <c r="R708" s="372"/>
      <c r="S708" s="372"/>
      <c r="T708" s="372"/>
      <c r="U708" s="372"/>
      <c r="V708" s="372"/>
      <c r="W708" s="372"/>
      <c r="X708" s="372"/>
      <c r="Y708" s="372"/>
      <c r="Z708" s="372"/>
    </row>
    <row r="709">
      <c r="A709" s="372"/>
      <c r="B709" s="372"/>
      <c r="C709" s="372"/>
      <c r="D709" s="372"/>
      <c r="E709" s="372"/>
      <c r="F709" s="372"/>
      <c r="G709" s="372"/>
      <c r="H709" s="372"/>
      <c r="I709" s="372"/>
      <c r="J709" s="372"/>
      <c r="K709" s="372"/>
      <c r="L709" s="372"/>
      <c r="M709" s="372"/>
      <c r="N709" s="372"/>
      <c r="O709" s="372"/>
      <c r="P709" s="372"/>
      <c r="Q709" s="372"/>
      <c r="R709" s="372"/>
      <c r="S709" s="372"/>
      <c r="T709" s="372"/>
      <c r="U709" s="372"/>
      <c r="V709" s="372"/>
      <c r="W709" s="372"/>
      <c r="X709" s="372"/>
      <c r="Y709" s="372"/>
      <c r="Z709" s="372"/>
    </row>
    <row r="710">
      <c r="A710" s="372"/>
      <c r="B710" s="372"/>
      <c r="C710" s="372"/>
      <c r="D710" s="372"/>
      <c r="E710" s="372"/>
      <c r="F710" s="372"/>
      <c r="G710" s="372"/>
      <c r="H710" s="372"/>
      <c r="I710" s="372"/>
      <c r="J710" s="372"/>
      <c r="K710" s="372"/>
      <c r="L710" s="372"/>
      <c r="M710" s="372"/>
      <c r="N710" s="372"/>
      <c r="O710" s="372"/>
      <c r="P710" s="372"/>
      <c r="Q710" s="372"/>
      <c r="R710" s="372"/>
      <c r="S710" s="372"/>
      <c r="T710" s="372"/>
      <c r="U710" s="372"/>
      <c r="V710" s="372"/>
      <c r="W710" s="372"/>
      <c r="X710" s="372"/>
      <c r="Y710" s="372"/>
      <c r="Z710" s="372"/>
    </row>
    <row r="711">
      <c r="A711" s="372"/>
      <c r="B711" s="372"/>
      <c r="C711" s="372"/>
      <c r="D711" s="372"/>
      <c r="E711" s="372"/>
      <c r="F711" s="372"/>
      <c r="G711" s="372"/>
      <c r="H711" s="372"/>
      <c r="I711" s="372"/>
      <c r="J711" s="372"/>
      <c r="K711" s="372"/>
      <c r="L711" s="372"/>
      <c r="M711" s="372"/>
      <c r="N711" s="372"/>
      <c r="O711" s="372"/>
      <c r="P711" s="372"/>
      <c r="Q711" s="372"/>
      <c r="R711" s="372"/>
      <c r="S711" s="372"/>
      <c r="T711" s="372"/>
      <c r="U711" s="372"/>
      <c r="V711" s="372"/>
      <c r="W711" s="372"/>
      <c r="X711" s="372"/>
      <c r="Y711" s="372"/>
      <c r="Z711" s="372"/>
    </row>
    <row r="712">
      <c r="A712" s="372"/>
      <c r="B712" s="372"/>
      <c r="C712" s="372"/>
      <c r="D712" s="372"/>
      <c r="E712" s="372"/>
      <c r="F712" s="372"/>
      <c r="G712" s="372"/>
      <c r="H712" s="372"/>
      <c r="I712" s="372"/>
      <c r="J712" s="372"/>
      <c r="K712" s="372"/>
      <c r="L712" s="372"/>
      <c r="M712" s="372"/>
      <c r="N712" s="372"/>
      <c r="O712" s="372"/>
      <c r="P712" s="372"/>
      <c r="Q712" s="372"/>
      <c r="R712" s="372"/>
      <c r="S712" s="372"/>
      <c r="T712" s="372"/>
      <c r="U712" s="372"/>
      <c r="V712" s="372"/>
      <c r="W712" s="372"/>
      <c r="X712" s="372"/>
      <c r="Y712" s="372"/>
      <c r="Z712" s="372"/>
    </row>
    <row r="713">
      <c r="A713" s="372"/>
      <c r="B713" s="372"/>
      <c r="C713" s="372"/>
      <c r="D713" s="372"/>
      <c r="E713" s="372"/>
      <c r="F713" s="372"/>
      <c r="G713" s="372"/>
      <c r="H713" s="372"/>
      <c r="I713" s="372"/>
      <c r="J713" s="372"/>
      <c r="K713" s="372"/>
      <c r="L713" s="372"/>
      <c r="M713" s="372"/>
      <c r="N713" s="372"/>
      <c r="O713" s="372"/>
      <c r="P713" s="372"/>
      <c r="Q713" s="372"/>
      <c r="R713" s="372"/>
      <c r="S713" s="372"/>
      <c r="T713" s="372"/>
      <c r="U713" s="372"/>
      <c r="V713" s="372"/>
      <c r="W713" s="372"/>
      <c r="X713" s="372"/>
      <c r="Y713" s="372"/>
      <c r="Z713" s="372"/>
    </row>
    <row r="714">
      <c r="A714" s="372"/>
      <c r="B714" s="372"/>
      <c r="C714" s="372"/>
      <c r="D714" s="372"/>
      <c r="E714" s="372"/>
      <c r="F714" s="372"/>
      <c r="G714" s="372"/>
      <c r="H714" s="372"/>
      <c r="I714" s="372"/>
      <c r="J714" s="372"/>
      <c r="K714" s="372"/>
      <c r="L714" s="372"/>
      <c r="M714" s="372"/>
      <c r="N714" s="372"/>
      <c r="O714" s="372"/>
      <c r="P714" s="372"/>
      <c r="Q714" s="372"/>
      <c r="R714" s="372"/>
      <c r="S714" s="372"/>
      <c r="T714" s="372"/>
      <c r="U714" s="372"/>
      <c r="V714" s="372"/>
      <c r="W714" s="372"/>
      <c r="X714" s="372"/>
      <c r="Y714" s="372"/>
      <c r="Z714" s="372"/>
    </row>
    <row r="715">
      <c r="A715" s="372"/>
      <c r="B715" s="372"/>
      <c r="C715" s="372"/>
      <c r="D715" s="372"/>
      <c r="E715" s="372"/>
      <c r="F715" s="372"/>
      <c r="G715" s="372"/>
      <c r="H715" s="372"/>
      <c r="I715" s="372"/>
      <c r="J715" s="372"/>
      <c r="K715" s="372"/>
      <c r="L715" s="372"/>
      <c r="M715" s="372"/>
      <c r="N715" s="372"/>
      <c r="O715" s="372"/>
      <c r="P715" s="372"/>
      <c r="Q715" s="372"/>
      <c r="R715" s="372"/>
      <c r="S715" s="372"/>
      <c r="T715" s="372"/>
      <c r="U715" s="372"/>
      <c r="V715" s="372"/>
      <c r="W715" s="372"/>
      <c r="X715" s="372"/>
      <c r="Y715" s="372"/>
      <c r="Z715" s="372"/>
    </row>
    <row r="716">
      <c r="A716" s="372"/>
      <c r="B716" s="372"/>
      <c r="C716" s="372"/>
      <c r="D716" s="372"/>
      <c r="E716" s="372"/>
      <c r="F716" s="372"/>
      <c r="G716" s="372"/>
      <c r="H716" s="372"/>
      <c r="I716" s="372"/>
      <c r="J716" s="372"/>
      <c r="K716" s="372"/>
      <c r="L716" s="372"/>
      <c r="M716" s="372"/>
      <c r="N716" s="372"/>
      <c r="O716" s="372"/>
      <c r="P716" s="372"/>
      <c r="Q716" s="372"/>
      <c r="R716" s="372"/>
      <c r="S716" s="372"/>
      <c r="T716" s="372"/>
      <c r="U716" s="372"/>
      <c r="V716" s="372"/>
      <c r="W716" s="372"/>
      <c r="X716" s="372"/>
      <c r="Y716" s="372"/>
      <c r="Z716" s="372"/>
    </row>
    <row r="717">
      <c r="A717" s="372"/>
      <c r="B717" s="372"/>
      <c r="C717" s="372"/>
      <c r="D717" s="372"/>
      <c r="E717" s="372"/>
      <c r="F717" s="372"/>
      <c r="G717" s="372"/>
      <c r="H717" s="372"/>
      <c r="I717" s="372"/>
      <c r="J717" s="372"/>
      <c r="K717" s="372"/>
      <c r="L717" s="372"/>
      <c r="M717" s="372"/>
      <c r="N717" s="372"/>
      <c r="O717" s="372"/>
      <c r="P717" s="372"/>
      <c r="Q717" s="372"/>
      <c r="R717" s="372"/>
      <c r="S717" s="372"/>
      <c r="T717" s="372"/>
      <c r="U717" s="372"/>
      <c r="V717" s="372"/>
      <c r="W717" s="372"/>
      <c r="X717" s="372"/>
      <c r="Y717" s="372"/>
      <c r="Z717" s="372"/>
    </row>
    <row r="718">
      <c r="A718" s="372"/>
      <c r="B718" s="372"/>
      <c r="C718" s="372"/>
      <c r="D718" s="372"/>
      <c r="E718" s="372"/>
      <c r="F718" s="372"/>
      <c r="G718" s="372"/>
      <c r="H718" s="372"/>
      <c r="I718" s="372"/>
      <c r="J718" s="372"/>
      <c r="K718" s="372"/>
      <c r="L718" s="372"/>
      <c r="M718" s="372"/>
      <c r="N718" s="372"/>
      <c r="O718" s="372"/>
      <c r="P718" s="372"/>
      <c r="Q718" s="372"/>
      <c r="R718" s="372"/>
      <c r="S718" s="372"/>
      <c r="T718" s="372"/>
      <c r="U718" s="372"/>
      <c r="V718" s="372"/>
      <c r="W718" s="372"/>
      <c r="X718" s="372"/>
      <c r="Y718" s="372"/>
      <c r="Z718" s="372"/>
    </row>
    <row r="719">
      <c r="A719" s="372"/>
      <c r="B719" s="372"/>
      <c r="C719" s="372"/>
      <c r="D719" s="372"/>
      <c r="E719" s="372"/>
      <c r="F719" s="372"/>
      <c r="G719" s="372"/>
      <c r="H719" s="372"/>
      <c r="I719" s="372"/>
      <c r="J719" s="372"/>
      <c r="K719" s="372"/>
      <c r="L719" s="372"/>
      <c r="M719" s="372"/>
      <c r="N719" s="372"/>
      <c r="O719" s="372"/>
      <c r="P719" s="372"/>
      <c r="Q719" s="372"/>
      <c r="R719" s="372"/>
      <c r="S719" s="372"/>
      <c r="T719" s="372"/>
      <c r="U719" s="372"/>
      <c r="V719" s="372"/>
      <c r="W719" s="372"/>
      <c r="X719" s="372"/>
      <c r="Y719" s="372"/>
      <c r="Z719" s="372"/>
    </row>
    <row r="720">
      <c r="A720" s="372"/>
      <c r="B720" s="372"/>
      <c r="C720" s="372"/>
      <c r="D720" s="372"/>
      <c r="E720" s="372"/>
      <c r="F720" s="372"/>
      <c r="G720" s="372"/>
      <c r="H720" s="372"/>
      <c r="I720" s="372"/>
      <c r="J720" s="372"/>
      <c r="K720" s="372"/>
      <c r="L720" s="372"/>
      <c r="M720" s="372"/>
      <c r="N720" s="372"/>
      <c r="O720" s="372"/>
      <c r="P720" s="372"/>
      <c r="Q720" s="372"/>
      <c r="R720" s="372"/>
      <c r="S720" s="372"/>
      <c r="T720" s="372"/>
      <c r="U720" s="372"/>
      <c r="V720" s="372"/>
      <c r="W720" s="372"/>
      <c r="X720" s="372"/>
      <c r="Y720" s="372"/>
      <c r="Z720" s="372"/>
    </row>
    <row r="721">
      <c r="A721" s="372"/>
      <c r="B721" s="372"/>
      <c r="C721" s="372"/>
      <c r="D721" s="372"/>
      <c r="E721" s="372"/>
      <c r="F721" s="372"/>
      <c r="G721" s="372"/>
      <c r="H721" s="372"/>
      <c r="I721" s="372"/>
      <c r="J721" s="372"/>
      <c r="K721" s="372"/>
      <c r="L721" s="372"/>
      <c r="M721" s="372"/>
      <c r="N721" s="372"/>
      <c r="O721" s="372"/>
      <c r="P721" s="372"/>
      <c r="Q721" s="372"/>
      <c r="R721" s="372"/>
      <c r="S721" s="372"/>
      <c r="T721" s="372"/>
      <c r="U721" s="372"/>
      <c r="V721" s="372"/>
      <c r="W721" s="372"/>
      <c r="X721" s="372"/>
      <c r="Y721" s="372"/>
      <c r="Z721" s="372"/>
    </row>
    <row r="722">
      <c r="A722" s="372"/>
      <c r="B722" s="372"/>
      <c r="C722" s="372"/>
      <c r="D722" s="372"/>
      <c r="E722" s="372"/>
      <c r="F722" s="372"/>
      <c r="G722" s="372"/>
      <c r="H722" s="372"/>
      <c r="I722" s="372"/>
      <c r="J722" s="372"/>
      <c r="K722" s="372"/>
      <c r="L722" s="372"/>
      <c r="M722" s="372"/>
      <c r="N722" s="372"/>
      <c r="O722" s="372"/>
      <c r="P722" s="372"/>
      <c r="Q722" s="372"/>
      <c r="R722" s="372"/>
      <c r="S722" s="372"/>
      <c r="T722" s="372"/>
      <c r="U722" s="372"/>
      <c r="V722" s="372"/>
      <c r="W722" s="372"/>
      <c r="X722" s="372"/>
      <c r="Y722" s="372"/>
      <c r="Z722" s="372"/>
    </row>
    <row r="723">
      <c r="A723" s="372"/>
      <c r="B723" s="372"/>
      <c r="C723" s="372"/>
      <c r="D723" s="372"/>
      <c r="E723" s="372"/>
      <c r="F723" s="372"/>
      <c r="G723" s="372"/>
      <c r="H723" s="372"/>
      <c r="I723" s="372"/>
      <c r="J723" s="372"/>
      <c r="K723" s="372"/>
      <c r="L723" s="372"/>
      <c r="M723" s="372"/>
      <c r="N723" s="372"/>
      <c r="O723" s="372"/>
      <c r="P723" s="372"/>
      <c r="Q723" s="372"/>
      <c r="R723" s="372"/>
      <c r="S723" s="372"/>
      <c r="T723" s="372"/>
      <c r="U723" s="372"/>
      <c r="V723" s="372"/>
      <c r="W723" s="372"/>
      <c r="X723" s="372"/>
      <c r="Y723" s="372"/>
      <c r="Z723" s="372"/>
    </row>
    <row r="724">
      <c r="A724" s="372"/>
      <c r="B724" s="372"/>
      <c r="C724" s="372"/>
      <c r="D724" s="372"/>
      <c r="E724" s="372"/>
      <c r="F724" s="372"/>
      <c r="G724" s="372"/>
      <c r="H724" s="372"/>
      <c r="I724" s="372"/>
      <c r="J724" s="372"/>
      <c r="K724" s="372"/>
      <c r="L724" s="372"/>
      <c r="M724" s="372"/>
      <c r="N724" s="372"/>
      <c r="O724" s="372"/>
      <c r="P724" s="372"/>
      <c r="Q724" s="372"/>
      <c r="R724" s="372"/>
      <c r="S724" s="372"/>
      <c r="T724" s="372"/>
      <c r="U724" s="372"/>
      <c r="V724" s="372"/>
      <c r="W724" s="372"/>
      <c r="X724" s="372"/>
      <c r="Y724" s="372"/>
      <c r="Z724" s="372"/>
    </row>
    <row r="725">
      <c r="A725" s="372"/>
      <c r="B725" s="372"/>
      <c r="C725" s="372"/>
      <c r="D725" s="372"/>
      <c r="E725" s="372"/>
      <c r="F725" s="372"/>
      <c r="G725" s="372"/>
      <c r="H725" s="372"/>
      <c r="I725" s="372"/>
      <c r="J725" s="372"/>
      <c r="K725" s="372"/>
      <c r="L725" s="372"/>
      <c r="M725" s="372"/>
      <c r="N725" s="372"/>
      <c r="O725" s="372"/>
      <c r="P725" s="372"/>
      <c r="Q725" s="372"/>
      <c r="R725" s="372"/>
      <c r="S725" s="372"/>
      <c r="T725" s="372"/>
      <c r="U725" s="372"/>
      <c r="V725" s="372"/>
      <c r="W725" s="372"/>
      <c r="X725" s="372"/>
      <c r="Y725" s="372"/>
      <c r="Z725" s="372"/>
    </row>
    <row r="726">
      <c r="A726" s="372"/>
      <c r="B726" s="372"/>
      <c r="C726" s="372"/>
      <c r="D726" s="372"/>
      <c r="E726" s="372"/>
      <c r="F726" s="372"/>
      <c r="G726" s="372"/>
      <c r="H726" s="372"/>
      <c r="I726" s="372"/>
      <c r="J726" s="372"/>
      <c r="K726" s="372"/>
      <c r="L726" s="372"/>
      <c r="M726" s="372"/>
      <c r="N726" s="372"/>
      <c r="O726" s="372"/>
      <c r="P726" s="372"/>
      <c r="Q726" s="372"/>
      <c r="R726" s="372"/>
      <c r="S726" s="372"/>
      <c r="T726" s="372"/>
      <c r="U726" s="372"/>
      <c r="V726" s="372"/>
      <c r="W726" s="372"/>
      <c r="X726" s="372"/>
      <c r="Y726" s="372"/>
      <c r="Z726" s="372"/>
    </row>
    <row r="727">
      <c r="A727" s="372"/>
      <c r="B727" s="372"/>
      <c r="C727" s="372"/>
      <c r="D727" s="372"/>
      <c r="E727" s="372"/>
      <c r="F727" s="372"/>
      <c r="G727" s="372"/>
      <c r="H727" s="372"/>
      <c r="I727" s="372"/>
      <c r="J727" s="372"/>
      <c r="K727" s="372"/>
      <c r="L727" s="372"/>
      <c r="M727" s="372"/>
      <c r="N727" s="372"/>
      <c r="O727" s="372"/>
      <c r="P727" s="372"/>
      <c r="Q727" s="372"/>
      <c r="R727" s="372"/>
      <c r="S727" s="372"/>
      <c r="T727" s="372"/>
      <c r="U727" s="372"/>
      <c r="V727" s="372"/>
      <c r="W727" s="372"/>
      <c r="X727" s="372"/>
      <c r="Y727" s="372"/>
      <c r="Z727" s="372"/>
    </row>
    <row r="728">
      <c r="A728" s="372"/>
      <c r="B728" s="372"/>
      <c r="C728" s="372"/>
      <c r="D728" s="372"/>
      <c r="E728" s="372"/>
      <c r="F728" s="372"/>
      <c r="G728" s="372"/>
      <c r="H728" s="372"/>
      <c r="I728" s="372"/>
      <c r="J728" s="372"/>
      <c r="K728" s="372"/>
      <c r="L728" s="372"/>
      <c r="M728" s="372"/>
      <c r="N728" s="372"/>
      <c r="O728" s="372"/>
      <c r="P728" s="372"/>
      <c r="Q728" s="372"/>
      <c r="R728" s="372"/>
      <c r="S728" s="372"/>
      <c r="T728" s="372"/>
      <c r="U728" s="372"/>
      <c r="V728" s="372"/>
      <c r="W728" s="372"/>
      <c r="X728" s="372"/>
      <c r="Y728" s="372"/>
      <c r="Z728" s="372"/>
    </row>
    <row r="729">
      <c r="A729" s="372"/>
      <c r="B729" s="372"/>
      <c r="C729" s="372"/>
      <c r="D729" s="372"/>
      <c r="E729" s="372"/>
      <c r="F729" s="372"/>
      <c r="G729" s="372"/>
      <c r="H729" s="372"/>
      <c r="I729" s="372"/>
      <c r="J729" s="372"/>
      <c r="K729" s="372"/>
      <c r="L729" s="372"/>
      <c r="M729" s="372"/>
      <c r="N729" s="372"/>
      <c r="O729" s="372"/>
      <c r="P729" s="372"/>
      <c r="Q729" s="372"/>
      <c r="R729" s="372"/>
      <c r="S729" s="372"/>
      <c r="T729" s="372"/>
      <c r="U729" s="372"/>
      <c r="V729" s="372"/>
      <c r="W729" s="372"/>
      <c r="X729" s="372"/>
      <c r="Y729" s="372"/>
      <c r="Z729" s="372"/>
    </row>
    <row r="730">
      <c r="A730" s="372"/>
      <c r="B730" s="372"/>
      <c r="C730" s="372"/>
      <c r="D730" s="372"/>
      <c r="E730" s="372"/>
      <c r="F730" s="372"/>
      <c r="G730" s="372"/>
      <c r="H730" s="372"/>
      <c r="I730" s="372"/>
      <c r="J730" s="372"/>
      <c r="K730" s="372"/>
      <c r="L730" s="372"/>
      <c r="M730" s="372"/>
      <c r="N730" s="372"/>
      <c r="O730" s="372"/>
      <c r="P730" s="372"/>
      <c r="Q730" s="372"/>
      <c r="R730" s="372"/>
      <c r="S730" s="372"/>
      <c r="T730" s="372"/>
      <c r="U730" s="372"/>
      <c r="V730" s="372"/>
      <c r="W730" s="372"/>
      <c r="X730" s="372"/>
      <c r="Y730" s="372"/>
      <c r="Z730" s="372"/>
    </row>
    <row r="731">
      <c r="A731" s="372"/>
      <c r="B731" s="372"/>
      <c r="C731" s="372"/>
      <c r="D731" s="372"/>
      <c r="E731" s="372"/>
      <c r="F731" s="372"/>
      <c r="G731" s="372"/>
      <c r="H731" s="372"/>
      <c r="I731" s="372"/>
      <c r="J731" s="372"/>
      <c r="K731" s="372"/>
      <c r="L731" s="372"/>
      <c r="M731" s="372"/>
      <c r="N731" s="372"/>
      <c r="O731" s="372"/>
      <c r="P731" s="372"/>
      <c r="Q731" s="372"/>
      <c r="R731" s="372"/>
      <c r="S731" s="372"/>
      <c r="T731" s="372"/>
      <c r="U731" s="372"/>
      <c r="V731" s="372"/>
      <c r="W731" s="372"/>
      <c r="X731" s="372"/>
      <c r="Y731" s="372"/>
      <c r="Z731" s="372"/>
    </row>
    <row r="732">
      <c r="A732" s="372"/>
      <c r="B732" s="372"/>
      <c r="C732" s="372"/>
      <c r="D732" s="372"/>
      <c r="E732" s="372"/>
      <c r="F732" s="372"/>
      <c r="G732" s="372"/>
      <c r="H732" s="372"/>
      <c r="I732" s="372"/>
      <c r="J732" s="372"/>
      <c r="K732" s="372"/>
      <c r="L732" s="372"/>
      <c r="M732" s="372"/>
      <c r="N732" s="372"/>
      <c r="O732" s="372"/>
      <c r="P732" s="372"/>
      <c r="Q732" s="372"/>
      <c r="R732" s="372"/>
      <c r="S732" s="372"/>
      <c r="T732" s="372"/>
      <c r="U732" s="372"/>
      <c r="V732" s="372"/>
      <c r="W732" s="372"/>
      <c r="X732" s="372"/>
      <c r="Y732" s="372"/>
      <c r="Z732" s="372"/>
    </row>
    <row r="733">
      <c r="A733" s="372"/>
      <c r="B733" s="372"/>
      <c r="C733" s="372"/>
      <c r="D733" s="372"/>
      <c r="E733" s="372"/>
      <c r="F733" s="372"/>
      <c r="G733" s="372"/>
      <c r="H733" s="372"/>
      <c r="I733" s="372"/>
      <c r="J733" s="372"/>
      <c r="K733" s="372"/>
      <c r="L733" s="372"/>
      <c r="M733" s="372"/>
      <c r="N733" s="372"/>
      <c r="O733" s="372"/>
      <c r="P733" s="372"/>
      <c r="Q733" s="372"/>
      <c r="R733" s="372"/>
      <c r="S733" s="372"/>
      <c r="T733" s="372"/>
      <c r="U733" s="372"/>
      <c r="V733" s="372"/>
      <c r="W733" s="372"/>
      <c r="X733" s="372"/>
      <c r="Y733" s="372"/>
      <c r="Z733" s="372"/>
    </row>
    <row r="734">
      <c r="A734" s="372"/>
      <c r="B734" s="372"/>
      <c r="C734" s="372"/>
      <c r="D734" s="372"/>
      <c r="E734" s="372"/>
      <c r="F734" s="372"/>
      <c r="G734" s="372"/>
      <c r="H734" s="372"/>
      <c r="I734" s="372"/>
      <c r="J734" s="372"/>
      <c r="K734" s="372"/>
      <c r="L734" s="372"/>
      <c r="M734" s="372"/>
      <c r="N734" s="372"/>
      <c r="O734" s="372"/>
      <c r="P734" s="372"/>
      <c r="Q734" s="372"/>
      <c r="R734" s="372"/>
      <c r="S734" s="372"/>
      <c r="T734" s="372"/>
      <c r="U734" s="372"/>
      <c r="V734" s="372"/>
      <c r="W734" s="372"/>
      <c r="X734" s="372"/>
      <c r="Y734" s="372"/>
      <c r="Z734" s="372"/>
    </row>
    <row r="735">
      <c r="A735" s="372"/>
      <c r="B735" s="372"/>
      <c r="C735" s="372"/>
      <c r="D735" s="372"/>
      <c r="E735" s="372"/>
      <c r="F735" s="372"/>
      <c r="G735" s="372"/>
      <c r="H735" s="372"/>
      <c r="I735" s="372"/>
      <c r="J735" s="372"/>
      <c r="K735" s="372"/>
      <c r="L735" s="372"/>
      <c r="M735" s="372"/>
      <c r="N735" s="372"/>
      <c r="O735" s="372"/>
      <c r="P735" s="372"/>
      <c r="Q735" s="372"/>
      <c r="R735" s="372"/>
      <c r="S735" s="372"/>
      <c r="T735" s="372"/>
      <c r="U735" s="372"/>
      <c r="V735" s="372"/>
      <c r="W735" s="372"/>
      <c r="X735" s="372"/>
      <c r="Y735" s="372"/>
      <c r="Z735" s="372"/>
    </row>
    <row r="736">
      <c r="A736" s="372"/>
      <c r="B736" s="372"/>
      <c r="C736" s="372"/>
      <c r="D736" s="372"/>
      <c r="E736" s="372"/>
      <c r="F736" s="372"/>
      <c r="G736" s="372"/>
      <c r="H736" s="372"/>
      <c r="I736" s="372"/>
      <c r="J736" s="372"/>
      <c r="K736" s="372"/>
      <c r="L736" s="372"/>
      <c r="M736" s="372"/>
      <c r="N736" s="372"/>
      <c r="O736" s="372"/>
      <c r="P736" s="372"/>
      <c r="Q736" s="372"/>
      <c r="R736" s="372"/>
      <c r="S736" s="372"/>
      <c r="T736" s="372"/>
      <c r="U736" s="372"/>
      <c r="V736" s="372"/>
      <c r="W736" s="372"/>
      <c r="X736" s="372"/>
      <c r="Y736" s="372"/>
      <c r="Z736" s="372"/>
    </row>
    <row r="737">
      <c r="A737" s="372"/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  <c r="T737" s="372"/>
      <c r="U737" s="372"/>
      <c r="V737" s="372"/>
      <c r="W737" s="372"/>
      <c r="X737" s="372"/>
      <c r="Y737" s="372"/>
      <c r="Z737" s="372"/>
    </row>
    <row r="738">
      <c r="A738" s="372"/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  <c r="T738" s="372"/>
      <c r="U738" s="372"/>
      <c r="V738" s="372"/>
      <c r="W738" s="372"/>
      <c r="X738" s="372"/>
      <c r="Y738" s="372"/>
      <c r="Z738" s="372"/>
    </row>
    <row r="739">
      <c r="A739" s="372"/>
      <c r="B739" s="372"/>
      <c r="C739" s="372"/>
      <c r="D739" s="372"/>
      <c r="E739" s="372"/>
      <c r="F739" s="372"/>
      <c r="G739" s="372"/>
      <c r="H739" s="372"/>
      <c r="I739" s="372"/>
      <c r="J739" s="372"/>
      <c r="K739" s="372"/>
      <c r="L739" s="372"/>
      <c r="M739" s="372"/>
      <c r="N739" s="372"/>
      <c r="O739" s="372"/>
      <c r="P739" s="372"/>
      <c r="Q739" s="372"/>
      <c r="R739" s="372"/>
      <c r="S739" s="372"/>
      <c r="T739" s="372"/>
      <c r="U739" s="372"/>
      <c r="V739" s="372"/>
      <c r="W739" s="372"/>
      <c r="X739" s="372"/>
      <c r="Y739" s="372"/>
      <c r="Z739" s="372"/>
    </row>
    <row r="740">
      <c r="A740" s="372"/>
      <c r="B740" s="372"/>
      <c r="C740" s="372"/>
      <c r="D740" s="372"/>
      <c r="E740" s="372"/>
      <c r="F740" s="372"/>
      <c r="G740" s="372"/>
      <c r="H740" s="372"/>
      <c r="I740" s="372"/>
      <c r="J740" s="372"/>
      <c r="K740" s="372"/>
      <c r="L740" s="372"/>
      <c r="M740" s="372"/>
      <c r="N740" s="372"/>
      <c r="O740" s="372"/>
      <c r="P740" s="372"/>
      <c r="Q740" s="372"/>
      <c r="R740" s="372"/>
      <c r="S740" s="372"/>
      <c r="T740" s="372"/>
      <c r="U740" s="372"/>
      <c r="V740" s="372"/>
      <c r="W740" s="372"/>
      <c r="X740" s="372"/>
      <c r="Y740" s="372"/>
      <c r="Z740" s="372"/>
    </row>
    <row r="741">
      <c r="A741" s="372"/>
      <c r="B741" s="372"/>
      <c r="C741" s="372"/>
      <c r="D741" s="372"/>
      <c r="E741" s="372"/>
      <c r="F741" s="372"/>
      <c r="G741" s="372"/>
      <c r="H741" s="372"/>
      <c r="I741" s="372"/>
      <c r="J741" s="372"/>
      <c r="K741" s="372"/>
      <c r="L741" s="372"/>
      <c r="M741" s="372"/>
      <c r="N741" s="372"/>
      <c r="O741" s="372"/>
      <c r="P741" s="372"/>
      <c r="Q741" s="372"/>
      <c r="R741" s="372"/>
      <c r="S741" s="372"/>
      <c r="T741" s="372"/>
      <c r="U741" s="372"/>
      <c r="V741" s="372"/>
      <c r="W741" s="372"/>
      <c r="X741" s="372"/>
      <c r="Y741" s="372"/>
      <c r="Z741" s="372"/>
    </row>
    <row r="742">
      <c r="A742" s="372"/>
      <c r="B742" s="372"/>
      <c r="C742" s="372"/>
      <c r="D742" s="372"/>
      <c r="E742" s="372"/>
      <c r="F742" s="372"/>
      <c r="G742" s="372"/>
      <c r="H742" s="372"/>
      <c r="I742" s="372"/>
      <c r="J742" s="372"/>
      <c r="K742" s="372"/>
      <c r="L742" s="372"/>
      <c r="M742" s="372"/>
      <c r="N742" s="372"/>
      <c r="O742" s="372"/>
      <c r="P742" s="372"/>
      <c r="Q742" s="372"/>
      <c r="R742" s="372"/>
      <c r="S742" s="372"/>
      <c r="T742" s="372"/>
      <c r="U742" s="372"/>
      <c r="V742" s="372"/>
      <c r="W742" s="372"/>
      <c r="X742" s="372"/>
      <c r="Y742" s="372"/>
      <c r="Z742" s="372"/>
    </row>
    <row r="743">
      <c r="A743" s="372"/>
      <c r="B743" s="372"/>
      <c r="C743" s="372"/>
      <c r="D743" s="372"/>
      <c r="E743" s="372"/>
      <c r="F743" s="372"/>
      <c r="G743" s="372"/>
      <c r="H743" s="372"/>
      <c r="I743" s="372"/>
      <c r="J743" s="372"/>
      <c r="K743" s="372"/>
      <c r="L743" s="372"/>
      <c r="M743" s="372"/>
      <c r="N743" s="372"/>
      <c r="O743" s="372"/>
      <c r="P743" s="372"/>
      <c r="Q743" s="372"/>
      <c r="R743" s="372"/>
      <c r="S743" s="372"/>
      <c r="T743" s="372"/>
      <c r="U743" s="372"/>
      <c r="V743" s="372"/>
      <c r="W743" s="372"/>
      <c r="X743" s="372"/>
      <c r="Y743" s="372"/>
      <c r="Z743" s="372"/>
    </row>
    <row r="744">
      <c r="A744" s="372"/>
      <c r="B744" s="372"/>
      <c r="C744" s="372"/>
      <c r="D744" s="372"/>
      <c r="E744" s="372"/>
      <c r="F744" s="372"/>
      <c r="G744" s="372"/>
      <c r="H744" s="372"/>
      <c r="I744" s="372"/>
      <c r="J744" s="372"/>
      <c r="K744" s="372"/>
      <c r="L744" s="372"/>
      <c r="M744" s="372"/>
      <c r="N744" s="372"/>
      <c r="O744" s="372"/>
      <c r="P744" s="372"/>
      <c r="Q744" s="372"/>
      <c r="R744" s="372"/>
      <c r="S744" s="372"/>
      <c r="T744" s="372"/>
      <c r="U744" s="372"/>
      <c r="V744" s="372"/>
      <c r="W744" s="372"/>
      <c r="X744" s="372"/>
      <c r="Y744" s="372"/>
      <c r="Z744" s="372"/>
    </row>
    <row r="745">
      <c r="A745" s="372"/>
      <c r="B745" s="372"/>
      <c r="C745" s="372"/>
      <c r="D745" s="372"/>
      <c r="E745" s="372"/>
      <c r="F745" s="372"/>
      <c r="G745" s="372"/>
      <c r="H745" s="372"/>
      <c r="I745" s="372"/>
      <c r="J745" s="372"/>
      <c r="K745" s="372"/>
      <c r="L745" s="372"/>
      <c r="M745" s="372"/>
      <c r="N745" s="372"/>
      <c r="O745" s="372"/>
      <c r="P745" s="372"/>
      <c r="Q745" s="372"/>
      <c r="R745" s="372"/>
      <c r="S745" s="372"/>
      <c r="T745" s="372"/>
      <c r="U745" s="372"/>
      <c r="V745" s="372"/>
      <c r="W745" s="372"/>
      <c r="X745" s="372"/>
      <c r="Y745" s="372"/>
      <c r="Z745" s="372"/>
    </row>
    <row r="746">
      <c r="A746" s="372"/>
      <c r="B746" s="372"/>
      <c r="C746" s="372"/>
      <c r="D746" s="372"/>
      <c r="E746" s="372"/>
      <c r="F746" s="372"/>
      <c r="G746" s="372"/>
      <c r="H746" s="372"/>
      <c r="I746" s="372"/>
      <c r="J746" s="372"/>
      <c r="K746" s="372"/>
      <c r="L746" s="372"/>
      <c r="M746" s="372"/>
      <c r="N746" s="372"/>
      <c r="O746" s="372"/>
      <c r="P746" s="372"/>
      <c r="Q746" s="372"/>
      <c r="R746" s="372"/>
      <c r="S746" s="372"/>
      <c r="T746" s="372"/>
      <c r="U746" s="372"/>
      <c r="V746" s="372"/>
      <c r="W746" s="372"/>
      <c r="X746" s="372"/>
      <c r="Y746" s="372"/>
      <c r="Z746" s="372"/>
    </row>
    <row r="747">
      <c r="A747" s="372"/>
      <c r="B747" s="372"/>
      <c r="C747" s="372"/>
      <c r="D747" s="372"/>
      <c r="E747" s="372"/>
      <c r="F747" s="372"/>
      <c r="G747" s="372"/>
      <c r="H747" s="372"/>
      <c r="I747" s="372"/>
      <c r="J747" s="372"/>
      <c r="K747" s="372"/>
      <c r="L747" s="372"/>
      <c r="M747" s="372"/>
      <c r="N747" s="372"/>
      <c r="O747" s="372"/>
      <c r="P747" s="372"/>
      <c r="Q747" s="372"/>
      <c r="R747" s="372"/>
      <c r="S747" s="372"/>
      <c r="T747" s="372"/>
      <c r="U747" s="372"/>
      <c r="V747" s="372"/>
      <c r="W747" s="372"/>
      <c r="X747" s="372"/>
      <c r="Y747" s="372"/>
      <c r="Z747" s="372"/>
    </row>
    <row r="748">
      <c r="A748" s="372"/>
      <c r="B748" s="372"/>
      <c r="C748" s="372"/>
      <c r="D748" s="372"/>
      <c r="E748" s="372"/>
      <c r="F748" s="372"/>
      <c r="G748" s="372"/>
      <c r="H748" s="372"/>
      <c r="I748" s="372"/>
      <c r="J748" s="372"/>
      <c r="K748" s="372"/>
      <c r="L748" s="372"/>
      <c r="M748" s="372"/>
      <c r="N748" s="372"/>
      <c r="O748" s="372"/>
      <c r="P748" s="372"/>
      <c r="Q748" s="372"/>
      <c r="R748" s="372"/>
      <c r="S748" s="372"/>
      <c r="T748" s="372"/>
      <c r="U748" s="372"/>
      <c r="V748" s="372"/>
      <c r="W748" s="372"/>
      <c r="X748" s="372"/>
      <c r="Y748" s="372"/>
      <c r="Z748" s="372"/>
    </row>
    <row r="749">
      <c r="A749" s="372"/>
      <c r="B749" s="372"/>
      <c r="C749" s="372"/>
      <c r="D749" s="372"/>
      <c r="E749" s="372"/>
      <c r="F749" s="372"/>
      <c r="G749" s="372"/>
      <c r="H749" s="372"/>
      <c r="I749" s="372"/>
      <c r="J749" s="372"/>
      <c r="K749" s="372"/>
      <c r="L749" s="372"/>
      <c r="M749" s="372"/>
      <c r="N749" s="372"/>
      <c r="O749" s="372"/>
      <c r="P749" s="372"/>
      <c r="Q749" s="372"/>
      <c r="R749" s="372"/>
      <c r="S749" s="372"/>
      <c r="T749" s="372"/>
      <c r="U749" s="372"/>
      <c r="V749" s="372"/>
      <c r="W749" s="372"/>
      <c r="X749" s="372"/>
      <c r="Y749" s="372"/>
      <c r="Z749" s="372"/>
    </row>
    <row r="750">
      <c r="A750" s="372"/>
      <c r="B750" s="372"/>
      <c r="C750" s="372"/>
      <c r="D750" s="372"/>
      <c r="E750" s="372"/>
      <c r="F750" s="372"/>
      <c r="G750" s="372"/>
      <c r="H750" s="372"/>
      <c r="I750" s="372"/>
      <c r="J750" s="372"/>
      <c r="K750" s="372"/>
      <c r="L750" s="372"/>
      <c r="M750" s="372"/>
      <c r="N750" s="372"/>
      <c r="O750" s="372"/>
      <c r="P750" s="372"/>
      <c r="Q750" s="372"/>
      <c r="R750" s="372"/>
      <c r="S750" s="372"/>
      <c r="T750" s="372"/>
      <c r="U750" s="372"/>
      <c r="V750" s="372"/>
      <c r="W750" s="372"/>
      <c r="X750" s="372"/>
      <c r="Y750" s="372"/>
      <c r="Z750" s="372"/>
    </row>
    <row r="751">
      <c r="A751" s="372"/>
      <c r="B751" s="372"/>
      <c r="C751" s="372"/>
      <c r="D751" s="372"/>
      <c r="E751" s="372"/>
      <c r="F751" s="372"/>
      <c r="G751" s="372"/>
      <c r="H751" s="372"/>
      <c r="I751" s="372"/>
      <c r="J751" s="372"/>
      <c r="K751" s="372"/>
      <c r="L751" s="372"/>
      <c r="M751" s="372"/>
      <c r="N751" s="372"/>
      <c r="O751" s="372"/>
      <c r="P751" s="372"/>
      <c r="Q751" s="372"/>
      <c r="R751" s="372"/>
      <c r="S751" s="372"/>
      <c r="T751" s="372"/>
      <c r="U751" s="372"/>
      <c r="V751" s="372"/>
      <c r="W751" s="372"/>
      <c r="X751" s="372"/>
      <c r="Y751" s="372"/>
      <c r="Z751" s="372"/>
    </row>
    <row r="752">
      <c r="A752" s="372"/>
      <c r="B752" s="372"/>
      <c r="C752" s="372"/>
      <c r="D752" s="372"/>
      <c r="E752" s="372"/>
      <c r="F752" s="372"/>
      <c r="G752" s="372"/>
      <c r="H752" s="372"/>
      <c r="I752" s="372"/>
      <c r="J752" s="372"/>
      <c r="K752" s="372"/>
      <c r="L752" s="372"/>
      <c r="M752" s="372"/>
      <c r="N752" s="372"/>
      <c r="O752" s="372"/>
      <c r="P752" s="372"/>
      <c r="Q752" s="372"/>
      <c r="R752" s="372"/>
      <c r="S752" s="372"/>
      <c r="T752" s="372"/>
      <c r="U752" s="372"/>
      <c r="V752" s="372"/>
      <c r="W752" s="372"/>
      <c r="X752" s="372"/>
      <c r="Y752" s="372"/>
      <c r="Z752" s="372"/>
    </row>
    <row r="753">
      <c r="A753" s="372"/>
      <c r="B753" s="372"/>
      <c r="C753" s="372"/>
      <c r="D753" s="372"/>
      <c r="E753" s="372"/>
      <c r="F753" s="372"/>
      <c r="G753" s="372"/>
      <c r="H753" s="372"/>
      <c r="I753" s="372"/>
      <c r="J753" s="372"/>
      <c r="K753" s="372"/>
      <c r="L753" s="372"/>
      <c r="M753" s="372"/>
      <c r="N753" s="372"/>
      <c r="O753" s="372"/>
      <c r="P753" s="372"/>
      <c r="Q753" s="372"/>
      <c r="R753" s="372"/>
      <c r="S753" s="372"/>
      <c r="T753" s="372"/>
      <c r="U753" s="372"/>
      <c r="V753" s="372"/>
      <c r="W753" s="372"/>
      <c r="X753" s="372"/>
      <c r="Y753" s="372"/>
      <c r="Z753" s="372"/>
    </row>
    <row r="754">
      <c r="A754" s="372"/>
      <c r="B754" s="372"/>
      <c r="C754" s="372"/>
      <c r="D754" s="372"/>
      <c r="E754" s="372"/>
      <c r="F754" s="372"/>
      <c r="G754" s="372"/>
      <c r="H754" s="372"/>
      <c r="I754" s="372"/>
      <c r="J754" s="372"/>
      <c r="K754" s="372"/>
      <c r="L754" s="372"/>
      <c r="M754" s="372"/>
      <c r="N754" s="372"/>
      <c r="O754" s="372"/>
      <c r="P754" s="372"/>
      <c r="Q754" s="372"/>
      <c r="R754" s="372"/>
      <c r="S754" s="372"/>
      <c r="T754" s="372"/>
      <c r="U754" s="372"/>
      <c r="V754" s="372"/>
      <c r="W754" s="372"/>
      <c r="X754" s="372"/>
      <c r="Y754" s="372"/>
      <c r="Z754" s="372"/>
    </row>
    <row r="755">
      <c r="A755" s="372"/>
      <c r="B755" s="372"/>
      <c r="C755" s="372"/>
      <c r="D755" s="372"/>
      <c r="E755" s="372"/>
      <c r="F755" s="372"/>
      <c r="G755" s="372"/>
      <c r="H755" s="372"/>
      <c r="I755" s="372"/>
      <c r="J755" s="372"/>
      <c r="K755" s="372"/>
      <c r="L755" s="372"/>
      <c r="M755" s="372"/>
      <c r="N755" s="372"/>
      <c r="O755" s="372"/>
      <c r="P755" s="372"/>
      <c r="Q755" s="372"/>
      <c r="R755" s="372"/>
      <c r="S755" s="372"/>
      <c r="T755" s="372"/>
      <c r="U755" s="372"/>
      <c r="V755" s="372"/>
      <c r="W755" s="372"/>
      <c r="X755" s="372"/>
      <c r="Y755" s="372"/>
      <c r="Z755" s="372"/>
    </row>
    <row r="756">
      <c r="A756" s="372"/>
      <c r="B756" s="372"/>
      <c r="C756" s="372"/>
      <c r="D756" s="372"/>
      <c r="E756" s="372"/>
      <c r="F756" s="372"/>
      <c r="G756" s="372"/>
      <c r="H756" s="372"/>
      <c r="I756" s="372"/>
      <c r="J756" s="372"/>
      <c r="K756" s="372"/>
      <c r="L756" s="372"/>
      <c r="M756" s="372"/>
      <c r="N756" s="372"/>
      <c r="O756" s="372"/>
      <c r="P756" s="372"/>
      <c r="Q756" s="372"/>
      <c r="R756" s="372"/>
      <c r="S756" s="372"/>
      <c r="T756" s="372"/>
      <c r="U756" s="372"/>
      <c r="V756" s="372"/>
      <c r="W756" s="372"/>
      <c r="X756" s="372"/>
      <c r="Y756" s="372"/>
      <c r="Z756" s="372"/>
    </row>
    <row r="757">
      <c r="A757" s="372"/>
      <c r="B757" s="372"/>
      <c r="C757" s="372"/>
      <c r="D757" s="372"/>
      <c r="E757" s="372"/>
      <c r="F757" s="372"/>
      <c r="G757" s="372"/>
      <c r="H757" s="372"/>
      <c r="I757" s="372"/>
      <c r="J757" s="372"/>
      <c r="K757" s="372"/>
      <c r="L757" s="372"/>
      <c r="M757" s="372"/>
      <c r="N757" s="372"/>
      <c r="O757" s="372"/>
      <c r="P757" s="372"/>
      <c r="Q757" s="372"/>
      <c r="R757" s="372"/>
      <c r="S757" s="372"/>
      <c r="T757" s="372"/>
      <c r="U757" s="372"/>
      <c r="V757" s="372"/>
      <c r="W757" s="372"/>
      <c r="X757" s="372"/>
      <c r="Y757" s="372"/>
      <c r="Z757" s="372"/>
    </row>
    <row r="758">
      <c r="A758" s="372"/>
      <c r="B758" s="372"/>
      <c r="C758" s="372"/>
      <c r="D758" s="372"/>
      <c r="E758" s="372"/>
      <c r="F758" s="372"/>
      <c r="G758" s="372"/>
      <c r="H758" s="372"/>
      <c r="I758" s="372"/>
      <c r="J758" s="372"/>
      <c r="K758" s="372"/>
      <c r="L758" s="372"/>
      <c r="M758" s="372"/>
      <c r="N758" s="372"/>
      <c r="O758" s="372"/>
      <c r="P758" s="372"/>
      <c r="Q758" s="372"/>
      <c r="R758" s="372"/>
      <c r="S758" s="372"/>
      <c r="T758" s="372"/>
      <c r="U758" s="372"/>
      <c r="V758" s="372"/>
      <c r="W758" s="372"/>
      <c r="X758" s="372"/>
      <c r="Y758" s="372"/>
      <c r="Z758" s="372"/>
    </row>
    <row r="759">
      <c r="A759" s="372"/>
      <c r="B759" s="372"/>
      <c r="C759" s="372"/>
      <c r="D759" s="372"/>
      <c r="E759" s="372"/>
      <c r="F759" s="372"/>
      <c r="G759" s="372"/>
      <c r="H759" s="372"/>
      <c r="I759" s="372"/>
      <c r="J759" s="372"/>
      <c r="K759" s="372"/>
      <c r="L759" s="372"/>
      <c r="M759" s="372"/>
      <c r="N759" s="372"/>
      <c r="O759" s="372"/>
      <c r="P759" s="372"/>
      <c r="Q759" s="372"/>
      <c r="R759" s="372"/>
      <c r="S759" s="372"/>
      <c r="T759" s="372"/>
      <c r="U759" s="372"/>
      <c r="V759" s="372"/>
      <c r="W759" s="372"/>
      <c r="X759" s="372"/>
      <c r="Y759" s="372"/>
      <c r="Z759" s="372"/>
    </row>
    <row r="760">
      <c r="A760" s="372"/>
      <c r="B760" s="372"/>
      <c r="C760" s="372"/>
      <c r="D760" s="372"/>
      <c r="E760" s="372"/>
      <c r="F760" s="372"/>
      <c r="G760" s="372"/>
      <c r="H760" s="372"/>
      <c r="I760" s="372"/>
      <c r="J760" s="372"/>
      <c r="K760" s="372"/>
      <c r="L760" s="372"/>
      <c r="M760" s="372"/>
      <c r="N760" s="372"/>
      <c r="O760" s="372"/>
      <c r="P760" s="372"/>
      <c r="Q760" s="372"/>
      <c r="R760" s="372"/>
      <c r="S760" s="372"/>
      <c r="T760" s="372"/>
      <c r="U760" s="372"/>
      <c r="V760" s="372"/>
      <c r="W760" s="372"/>
      <c r="X760" s="372"/>
      <c r="Y760" s="372"/>
      <c r="Z760" s="372"/>
    </row>
    <row r="761">
      <c r="A761" s="372"/>
      <c r="B761" s="372"/>
      <c r="C761" s="372"/>
      <c r="D761" s="372"/>
      <c r="E761" s="372"/>
      <c r="F761" s="372"/>
      <c r="G761" s="372"/>
      <c r="H761" s="372"/>
      <c r="I761" s="372"/>
      <c r="J761" s="372"/>
      <c r="K761" s="372"/>
      <c r="L761" s="372"/>
      <c r="M761" s="372"/>
      <c r="N761" s="372"/>
      <c r="O761" s="372"/>
      <c r="P761" s="372"/>
      <c r="Q761" s="372"/>
      <c r="R761" s="372"/>
      <c r="S761" s="372"/>
      <c r="T761" s="372"/>
      <c r="U761" s="372"/>
      <c r="V761" s="372"/>
      <c r="W761" s="372"/>
      <c r="X761" s="372"/>
      <c r="Y761" s="372"/>
      <c r="Z761" s="372"/>
    </row>
    <row r="762">
      <c r="A762" s="372"/>
      <c r="B762" s="372"/>
      <c r="C762" s="372"/>
      <c r="D762" s="372"/>
      <c r="E762" s="372"/>
      <c r="F762" s="372"/>
      <c r="G762" s="372"/>
      <c r="H762" s="372"/>
      <c r="I762" s="372"/>
      <c r="J762" s="372"/>
      <c r="K762" s="372"/>
      <c r="L762" s="372"/>
      <c r="M762" s="372"/>
      <c r="N762" s="372"/>
      <c r="O762" s="372"/>
      <c r="P762" s="372"/>
      <c r="Q762" s="372"/>
      <c r="R762" s="372"/>
      <c r="S762" s="372"/>
      <c r="T762" s="372"/>
      <c r="U762" s="372"/>
      <c r="V762" s="372"/>
      <c r="W762" s="372"/>
      <c r="X762" s="372"/>
      <c r="Y762" s="372"/>
      <c r="Z762" s="372"/>
    </row>
    <row r="763">
      <c r="A763" s="372"/>
      <c r="B763" s="372"/>
      <c r="C763" s="372"/>
      <c r="D763" s="372"/>
      <c r="E763" s="372"/>
      <c r="F763" s="372"/>
      <c r="G763" s="372"/>
      <c r="H763" s="372"/>
      <c r="I763" s="372"/>
      <c r="J763" s="372"/>
      <c r="K763" s="372"/>
      <c r="L763" s="372"/>
      <c r="M763" s="372"/>
      <c r="N763" s="372"/>
      <c r="O763" s="372"/>
      <c r="P763" s="372"/>
      <c r="Q763" s="372"/>
      <c r="R763" s="372"/>
      <c r="S763" s="372"/>
      <c r="T763" s="372"/>
      <c r="U763" s="372"/>
      <c r="V763" s="372"/>
      <c r="W763" s="372"/>
      <c r="X763" s="372"/>
      <c r="Y763" s="372"/>
      <c r="Z763" s="372"/>
    </row>
    <row r="764">
      <c r="A764" s="372"/>
      <c r="B764" s="372"/>
      <c r="C764" s="372"/>
      <c r="D764" s="372"/>
      <c r="E764" s="372"/>
      <c r="F764" s="372"/>
      <c r="G764" s="372"/>
      <c r="H764" s="372"/>
      <c r="I764" s="372"/>
      <c r="J764" s="372"/>
      <c r="K764" s="372"/>
      <c r="L764" s="372"/>
      <c r="M764" s="372"/>
      <c r="N764" s="372"/>
      <c r="O764" s="372"/>
      <c r="P764" s="372"/>
      <c r="Q764" s="372"/>
      <c r="R764" s="372"/>
      <c r="S764" s="372"/>
      <c r="T764" s="372"/>
      <c r="U764" s="372"/>
      <c r="V764" s="372"/>
      <c r="W764" s="372"/>
      <c r="X764" s="372"/>
      <c r="Y764" s="372"/>
      <c r="Z764" s="372"/>
    </row>
    <row r="765">
      <c r="A765" s="372"/>
      <c r="B765" s="372"/>
      <c r="C765" s="372"/>
      <c r="D765" s="372"/>
      <c r="E765" s="372"/>
      <c r="F765" s="372"/>
      <c r="G765" s="372"/>
      <c r="H765" s="372"/>
      <c r="I765" s="372"/>
      <c r="J765" s="372"/>
      <c r="K765" s="372"/>
      <c r="L765" s="372"/>
      <c r="M765" s="372"/>
      <c r="N765" s="372"/>
      <c r="O765" s="372"/>
      <c r="P765" s="372"/>
      <c r="Q765" s="372"/>
      <c r="R765" s="372"/>
      <c r="S765" s="372"/>
      <c r="T765" s="372"/>
      <c r="U765" s="372"/>
      <c r="V765" s="372"/>
      <c r="W765" s="372"/>
      <c r="X765" s="372"/>
      <c r="Y765" s="372"/>
      <c r="Z765" s="372"/>
    </row>
    <row r="766">
      <c r="A766" s="372"/>
      <c r="B766" s="372"/>
      <c r="C766" s="372"/>
      <c r="D766" s="372"/>
      <c r="E766" s="372"/>
      <c r="F766" s="372"/>
      <c r="G766" s="372"/>
      <c r="H766" s="372"/>
      <c r="I766" s="372"/>
      <c r="J766" s="372"/>
      <c r="K766" s="372"/>
      <c r="L766" s="372"/>
      <c r="M766" s="372"/>
      <c r="N766" s="372"/>
      <c r="O766" s="372"/>
      <c r="P766" s="372"/>
      <c r="Q766" s="372"/>
      <c r="R766" s="372"/>
      <c r="S766" s="372"/>
      <c r="T766" s="372"/>
      <c r="U766" s="372"/>
      <c r="V766" s="372"/>
      <c r="W766" s="372"/>
      <c r="X766" s="372"/>
      <c r="Y766" s="372"/>
      <c r="Z766" s="372"/>
    </row>
    <row r="767">
      <c r="A767" s="372"/>
      <c r="B767" s="372"/>
      <c r="C767" s="372"/>
      <c r="D767" s="372"/>
      <c r="E767" s="372"/>
      <c r="F767" s="372"/>
      <c r="G767" s="372"/>
      <c r="H767" s="372"/>
      <c r="I767" s="372"/>
      <c r="J767" s="372"/>
      <c r="K767" s="372"/>
      <c r="L767" s="372"/>
      <c r="M767" s="372"/>
      <c r="N767" s="372"/>
      <c r="O767" s="372"/>
      <c r="P767" s="372"/>
      <c r="Q767" s="372"/>
      <c r="R767" s="372"/>
      <c r="S767" s="372"/>
      <c r="T767" s="372"/>
      <c r="U767" s="372"/>
      <c r="V767" s="372"/>
      <c r="W767" s="372"/>
      <c r="X767" s="372"/>
      <c r="Y767" s="372"/>
      <c r="Z767" s="372"/>
    </row>
    <row r="768">
      <c r="A768" s="372"/>
      <c r="B768" s="372"/>
      <c r="C768" s="372"/>
      <c r="D768" s="372"/>
      <c r="E768" s="372"/>
      <c r="F768" s="372"/>
      <c r="G768" s="372"/>
      <c r="H768" s="372"/>
      <c r="I768" s="372"/>
      <c r="J768" s="372"/>
      <c r="K768" s="372"/>
      <c r="L768" s="372"/>
      <c r="M768" s="372"/>
      <c r="N768" s="372"/>
      <c r="O768" s="372"/>
      <c r="P768" s="372"/>
      <c r="Q768" s="372"/>
      <c r="R768" s="372"/>
      <c r="S768" s="372"/>
      <c r="T768" s="372"/>
      <c r="U768" s="372"/>
      <c r="V768" s="372"/>
      <c r="W768" s="372"/>
      <c r="X768" s="372"/>
      <c r="Y768" s="372"/>
      <c r="Z768" s="372"/>
    </row>
    <row r="769">
      <c r="A769" s="372"/>
      <c r="B769" s="372"/>
      <c r="C769" s="372"/>
      <c r="D769" s="372"/>
      <c r="E769" s="372"/>
      <c r="F769" s="372"/>
      <c r="G769" s="372"/>
      <c r="H769" s="372"/>
      <c r="I769" s="372"/>
      <c r="J769" s="372"/>
      <c r="K769" s="372"/>
      <c r="L769" s="372"/>
      <c r="M769" s="372"/>
      <c r="N769" s="372"/>
      <c r="O769" s="372"/>
      <c r="P769" s="372"/>
      <c r="Q769" s="372"/>
      <c r="R769" s="372"/>
      <c r="S769" s="372"/>
      <c r="T769" s="372"/>
      <c r="U769" s="372"/>
      <c r="V769" s="372"/>
      <c r="W769" s="372"/>
      <c r="X769" s="372"/>
      <c r="Y769" s="372"/>
      <c r="Z769" s="372"/>
    </row>
    <row r="770">
      <c r="A770" s="372"/>
      <c r="B770" s="372"/>
      <c r="C770" s="372"/>
      <c r="D770" s="372"/>
      <c r="E770" s="372"/>
      <c r="F770" s="372"/>
      <c r="G770" s="372"/>
      <c r="H770" s="372"/>
      <c r="I770" s="372"/>
      <c r="J770" s="372"/>
      <c r="K770" s="372"/>
      <c r="L770" s="372"/>
      <c r="M770" s="372"/>
      <c r="N770" s="372"/>
      <c r="O770" s="372"/>
      <c r="P770" s="372"/>
      <c r="Q770" s="372"/>
      <c r="R770" s="372"/>
      <c r="S770" s="372"/>
      <c r="T770" s="372"/>
      <c r="U770" s="372"/>
      <c r="V770" s="372"/>
      <c r="W770" s="372"/>
      <c r="X770" s="372"/>
      <c r="Y770" s="372"/>
      <c r="Z770" s="372"/>
    </row>
    <row r="771">
      <c r="A771" s="372"/>
      <c r="B771" s="372"/>
      <c r="C771" s="372"/>
      <c r="D771" s="372"/>
      <c r="E771" s="372"/>
      <c r="F771" s="372"/>
      <c r="G771" s="372"/>
      <c r="H771" s="372"/>
      <c r="I771" s="372"/>
      <c r="J771" s="372"/>
      <c r="K771" s="372"/>
      <c r="L771" s="372"/>
      <c r="M771" s="372"/>
      <c r="N771" s="372"/>
      <c r="O771" s="372"/>
      <c r="P771" s="372"/>
      <c r="Q771" s="372"/>
      <c r="R771" s="372"/>
      <c r="S771" s="372"/>
      <c r="T771" s="372"/>
      <c r="U771" s="372"/>
      <c r="V771" s="372"/>
      <c r="W771" s="372"/>
      <c r="X771" s="372"/>
      <c r="Y771" s="372"/>
      <c r="Z771" s="372"/>
    </row>
    <row r="772">
      <c r="A772" s="372"/>
      <c r="B772" s="372"/>
      <c r="C772" s="372"/>
      <c r="D772" s="372"/>
      <c r="E772" s="372"/>
      <c r="F772" s="372"/>
      <c r="G772" s="372"/>
      <c r="H772" s="372"/>
      <c r="I772" s="372"/>
      <c r="J772" s="372"/>
      <c r="K772" s="372"/>
      <c r="L772" s="372"/>
      <c r="M772" s="372"/>
      <c r="N772" s="372"/>
      <c r="O772" s="372"/>
      <c r="P772" s="372"/>
      <c r="Q772" s="372"/>
      <c r="R772" s="372"/>
      <c r="S772" s="372"/>
      <c r="T772" s="372"/>
      <c r="U772" s="372"/>
      <c r="V772" s="372"/>
      <c r="W772" s="372"/>
      <c r="X772" s="372"/>
      <c r="Y772" s="372"/>
      <c r="Z772" s="372"/>
    </row>
    <row r="773">
      <c r="A773" s="372"/>
      <c r="B773" s="372"/>
      <c r="C773" s="372"/>
      <c r="D773" s="372"/>
      <c r="E773" s="372"/>
      <c r="F773" s="372"/>
      <c r="G773" s="372"/>
      <c r="H773" s="372"/>
      <c r="I773" s="372"/>
      <c r="J773" s="372"/>
      <c r="K773" s="372"/>
      <c r="L773" s="372"/>
      <c r="M773" s="372"/>
      <c r="N773" s="372"/>
      <c r="O773" s="372"/>
      <c r="P773" s="372"/>
      <c r="Q773" s="372"/>
      <c r="R773" s="372"/>
      <c r="S773" s="372"/>
      <c r="T773" s="372"/>
      <c r="U773" s="372"/>
      <c r="V773" s="372"/>
      <c r="W773" s="372"/>
      <c r="X773" s="372"/>
      <c r="Y773" s="372"/>
      <c r="Z773" s="372"/>
    </row>
    <row r="774">
      <c r="A774" s="372"/>
      <c r="B774" s="372"/>
      <c r="C774" s="372"/>
      <c r="D774" s="372"/>
      <c r="E774" s="372"/>
      <c r="F774" s="372"/>
      <c r="G774" s="372"/>
      <c r="H774" s="372"/>
      <c r="I774" s="372"/>
      <c r="J774" s="372"/>
      <c r="K774" s="372"/>
      <c r="L774" s="372"/>
      <c r="M774" s="372"/>
      <c r="N774" s="372"/>
      <c r="O774" s="372"/>
      <c r="P774" s="372"/>
      <c r="Q774" s="372"/>
      <c r="R774" s="372"/>
      <c r="S774" s="372"/>
      <c r="T774" s="372"/>
      <c r="U774" s="372"/>
      <c r="V774" s="372"/>
      <c r="W774" s="372"/>
      <c r="X774" s="372"/>
      <c r="Y774" s="372"/>
      <c r="Z774" s="372"/>
    </row>
    <row r="775">
      <c r="A775" s="372"/>
      <c r="B775" s="372"/>
      <c r="C775" s="372"/>
      <c r="D775" s="372"/>
      <c r="E775" s="372"/>
      <c r="F775" s="372"/>
      <c r="G775" s="372"/>
      <c r="H775" s="372"/>
      <c r="I775" s="372"/>
      <c r="J775" s="372"/>
      <c r="K775" s="372"/>
      <c r="L775" s="372"/>
      <c r="M775" s="372"/>
      <c r="N775" s="372"/>
      <c r="O775" s="372"/>
      <c r="P775" s="372"/>
      <c r="Q775" s="372"/>
      <c r="R775" s="372"/>
      <c r="S775" s="372"/>
      <c r="T775" s="372"/>
      <c r="U775" s="372"/>
      <c r="V775" s="372"/>
      <c r="W775" s="372"/>
      <c r="X775" s="372"/>
      <c r="Y775" s="372"/>
      <c r="Z775" s="372"/>
    </row>
    <row r="776">
      <c r="A776" s="372"/>
      <c r="B776" s="372"/>
      <c r="C776" s="372"/>
      <c r="D776" s="372"/>
      <c r="E776" s="372"/>
      <c r="F776" s="372"/>
      <c r="G776" s="372"/>
      <c r="H776" s="372"/>
      <c r="I776" s="372"/>
      <c r="J776" s="372"/>
      <c r="K776" s="372"/>
      <c r="L776" s="372"/>
      <c r="M776" s="372"/>
      <c r="N776" s="372"/>
      <c r="O776" s="372"/>
      <c r="P776" s="372"/>
      <c r="Q776" s="372"/>
      <c r="R776" s="372"/>
      <c r="S776" s="372"/>
      <c r="T776" s="372"/>
      <c r="U776" s="372"/>
      <c r="V776" s="372"/>
      <c r="W776" s="372"/>
      <c r="X776" s="372"/>
      <c r="Y776" s="372"/>
      <c r="Z776" s="372"/>
    </row>
    <row r="777">
      <c r="A777" s="372"/>
      <c r="B777" s="372"/>
      <c r="C777" s="372"/>
      <c r="D777" s="372"/>
      <c r="E777" s="372"/>
      <c r="F777" s="372"/>
      <c r="G777" s="372"/>
      <c r="H777" s="372"/>
      <c r="I777" s="372"/>
      <c r="J777" s="372"/>
      <c r="K777" s="372"/>
      <c r="L777" s="372"/>
      <c r="M777" s="372"/>
      <c r="N777" s="372"/>
      <c r="O777" s="372"/>
      <c r="P777" s="372"/>
      <c r="Q777" s="372"/>
      <c r="R777" s="372"/>
      <c r="S777" s="372"/>
      <c r="T777" s="372"/>
      <c r="U777" s="372"/>
      <c r="V777" s="372"/>
      <c r="W777" s="372"/>
      <c r="X777" s="372"/>
      <c r="Y777" s="372"/>
      <c r="Z777" s="372"/>
    </row>
    <row r="778">
      <c r="A778" s="372"/>
      <c r="B778" s="372"/>
      <c r="C778" s="372"/>
      <c r="D778" s="372"/>
      <c r="E778" s="372"/>
      <c r="F778" s="372"/>
      <c r="G778" s="372"/>
      <c r="H778" s="372"/>
      <c r="I778" s="372"/>
      <c r="J778" s="372"/>
      <c r="K778" s="372"/>
      <c r="L778" s="372"/>
      <c r="M778" s="372"/>
      <c r="N778" s="372"/>
      <c r="O778" s="372"/>
      <c r="P778" s="372"/>
      <c r="Q778" s="372"/>
      <c r="R778" s="372"/>
      <c r="S778" s="372"/>
      <c r="T778" s="372"/>
      <c r="U778" s="372"/>
      <c r="V778" s="372"/>
      <c r="W778" s="372"/>
      <c r="X778" s="372"/>
      <c r="Y778" s="372"/>
      <c r="Z778" s="372"/>
    </row>
    <row r="779">
      <c r="A779" s="372"/>
      <c r="B779" s="372"/>
      <c r="C779" s="372"/>
      <c r="D779" s="372"/>
      <c r="E779" s="372"/>
      <c r="F779" s="372"/>
      <c r="G779" s="372"/>
      <c r="H779" s="372"/>
      <c r="I779" s="372"/>
      <c r="J779" s="372"/>
      <c r="K779" s="372"/>
      <c r="L779" s="372"/>
      <c r="M779" s="372"/>
      <c r="N779" s="372"/>
      <c r="O779" s="372"/>
      <c r="P779" s="372"/>
      <c r="Q779" s="372"/>
      <c r="R779" s="372"/>
      <c r="S779" s="372"/>
      <c r="T779" s="372"/>
      <c r="U779" s="372"/>
      <c r="V779" s="372"/>
      <c r="W779" s="372"/>
      <c r="X779" s="372"/>
      <c r="Y779" s="372"/>
      <c r="Z779" s="372"/>
    </row>
    <row r="780">
      <c r="A780" s="372"/>
      <c r="B780" s="372"/>
      <c r="C780" s="372"/>
      <c r="D780" s="372"/>
      <c r="E780" s="372"/>
      <c r="F780" s="372"/>
      <c r="G780" s="372"/>
      <c r="H780" s="372"/>
      <c r="I780" s="372"/>
      <c r="J780" s="372"/>
      <c r="K780" s="372"/>
      <c r="L780" s="372"/>
      <c r="M780" s="372"/>
      <c r="N780" s="372"/>
      <c r="O780" s="372"/>
      <c r="P780" s="372"/>
      <c r="Q780" s="372"/>
      <c r="R780" s="372"/>
      <c r="S780" s="372"/>
      <c r="T780" s="372"/>
      <c r="U780" s="372"/>
      <c r="V780" s="372"/>
      <c r="W780" s="372"/>
      <c r="X780" s="372"/>
      <c r="Y780" s="372"/>
      <c r="Z780" s="372"/>
    </row>
    <row r="781">
      <c r="A781" s="372"/>
      <c r="B781" s="372"/>
      <c r="C781" s="372"/>
      <c r="D781" s="372"/>
      <c r="E781" s="372"/>
      <c r="F781" s="372"/>
      <c r="G781" s="372"/>
      <c r="H781" s="372"/>
      <c r="I781" s="372"/>
      <c r="J781" s="372"/>
      <c r="K781" s="372"/>
      <c r="L781" s="372"/>
      <c r="M781" s="372"/>
      <c r="N781" s="372"/>
      <c r="O781" s="372"/>
      <c r="P781" s="372"/>
      <c r="Q781" s="372"/>
      <c r="R781" s="372"/>
      <c r="S781" s="372"/>
      <c r="T781" s="372"/>
      <c r="U781" s="372"/>
      <c r="V781" s="372"/>
      <c r="W781" s="372"/>
      <c r="X781" s="372"/>
      <c r="Y781" s="372"/>
      <c r="Z781" s="372"/>
    </row>
    <row r="782">
      <c r="A782" s="372"/>
      <c r="B782" s="372"/>
      <c r="C782" s="372"/>
      <c r="D782" s="372"/>
      <c r="E782" s="372"/>
      <c r="F782" s="372"/>
      <c r="G782" s="372"/>
      <c r="H782" s="372"/>
      <c r="I782" s="372"/>
      <c r="J782" s="372"/>
      <c r="K782" s="372"/>
      <c r="L782" s="372"/>
      <c r="M782" s="372"/>
      <c r="N782" s="372"/>
      <c r="O782" s="372"/>
      <c r="P782" s="372"/>
      <c r="Q782" s="372"/>
      <c r="R782" s="372"/>
      <c r="S782" s="372"/>
      <c r="T782" s="372"/>
      <c r="U782" s="372"/>
      <c r="V782" s="372"/>
      <c r="W782" s="372"/>
      <c r="X782" s="372"/>
      <c r="Y782" s="372"/>
      <c r="Z782" s="372"/>
    </row>
    <row r="783">
      <c r="A783" s="372"/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  <c r="T783" s="372"/>
      <c r="U783" s="372"/>
      <c r="V783" s="372"/>
      <c r="W783" s="372"/>
      <c r="X783" s="372"/>
      <c r="Y783" s="372"/>
      <c r="Z783" s="372"/>
    </row>
    <row r="784">
      <c r="A784" s="372"/>
      <c r="B784" s="372"/>
      <c r="C784" s="372"/>
      <c r="D784" s="372"/>
      <c r="E784" s="372"/>
      <c r="F784" s="372"/>
      <c r="G784" s="372"/>
      <c r="H784" s="372"/>
      <c r="I784" s="372"/>
      <c r="J784" s="372"/>
      <c r="K784" s="372"/>
      <c r="L784" s="372"/>
      <c r="M784" s="372"/>
      <c r="N784" s="372"/>
      <c r="O784" s="372"/>
      <c r="P784" s="372"/>
      <c r="Q784" s="372"/>
      <c r="R784" s="372"/>
      <c r="S784" s="372"/>
      <c r="T784" s="372"/>
      <c r="U784" s="372"/>
      <c r="V784" s="372"/>
      <c r="W784" s="372"/>
      <c r="X784" s="372"/>
      <c r="Y784" s="372"/>
      <c r="Z784" s="372"/>
    </row>
    <row r="785">
      <c r="A785" s="372"/>
      <c r="B785" s="372"/>
      <c r="C785" s="372"/>
      <c r="D785" s="372"/>
      <c r="E785" s="372"/>
      <c r="F785" s="372"/>
      <c r="G785" s="372"/>
      <c r="H785" s="372"/>
      <c r="I785" s="372"/>
      <c r="J785" s="372"/>
      <c r="K785" s="372"/>
      <c r="L785" s="372"/>
      <c r="M785" s="372"/>
      <c r="N785" s="372"/>
      <c r="O785" s="372"/>
      <c r="P785" s="372"/>
      <c r="Q785" s="372"/>
      <c r="R785" s="372"/>
      <c r="S785" s="372"/>
      <c r="T785" s="372"/>
      <c r="U785" s="372"/>
      <c r="V785" s="372"/>
      <c r="W785" s="372"/>
      <c r="X785" s="372"/>
      <c r="Y785" s="372"/>
      <c r="Z785" s="372"/>
    </row>
    <row r="786">
      <c r="A786" s="372"/>
      <c r="B786" s="372"/>
      <c r="C786" s="372"/>
      <c r="D786" s="372"/>
      <c r="E786" s="372"/>
      <c r="F786" s="372"/>
      <c r="G786" s="372"/>
      <c r="H786" s="372"/>
      <c r="I786" s="372"/>
      <c r="J786" s="372"/>
      <c r="K786" s="372"/>
      <c r="L786" s="372"/>
      <c r="M786" s="372"/>
      <c r="N786" s="372"/>
      <c r="O786" s="372"/>
      <c r="P786" s="372"/>
      <c r="Q786" s="372"/>
      <c r="R786" s="372"/>
      <c r="S786" s="372"/>
      <c r="T786" s="372"/>
      <c r="U786" s="372"/>
      <c r="V786" s="372"/>
      <c r="W786" s="372"/>
      <c r="X786" s="372"/>
      <c r="Y786" s="372"/>
      <c r="Z786" s="372"/>
    </row>
    <row r="787">
      <c r="A787" s="372"/>
      <c r="B787" s="372"/>
      <c r="C787" s="372"/>
      <c r="D787" s="372"/>
      <c r="E787" s="372"/>
      <c r="F787" s="372"/>
      <c r="G787" s="372"/>
      <c r="H787" s="372"/>
      <c r="I787" s="372"/>
      <c r="J787" s="372"/>
      <c r="K787" s="372"/>
      <c r="L787" s="372"/>
      <c r="M787" s="372"/>
      <c r="N787" s="372"/>
      <c r="O787" s="372"/>
      <c r="P787" s="372"/>
      <c r="Q787" s="372"/>
      <c r="R787" s="372"/>
      <c r="S787" s="372"/>
      <c r="T787" s="372"/>
      <c r="U787" s="372"/>
      <c r="V787" s="372"/>
      <c r="W787" s="372"/>
      <c r="X787" s="372"/>
      <c r="Y787" s="372"/>
      <c r="Z787" s="372"/>
    </row>
    <row r="788">
      <c r="A788" s="372"/>
      <c r="B788" s="372"/>
      <c r="C788" s="372"/>
      <c r="D788" s="372"/>
      <c r="E788" s="372"/>
      <c r="F788" s="372"/>
      <c r="G788" s="372"/>
      <c r="H788" s="372"/>
      <c r="I788" s="372"/>
      <c r="J788" s="372"/>
      <c r="K788" s="372"/>
      <c r="L788" s="372"/>
      <c r="M788" s="372"/>
      <c r="N788" s="372"/>
      <c r="O788" s="372"/>
      <c r="P788" s="372"/>
      <c r="Q788" s="372"/>
      <c r="R788" s="372"/>
      <c r="S788" s="372"/>
      <c r="T788" s="372"/>
      <c r="U788" s="372"/>
      <c r="V788" s="372"/>
      <c r="W788" s="372"/>
      <c r="X788" s="372"/>
      <c r="Y788" s="372"/>
      <c r="Z788" s="372"/>
    </row>
    <row r="789">
      <c r="A789" s="372"/>
      <c r="B789" s="372"/>
      <c r="C789" s="372"/>
      <c r="D789" s="372"/>
      <c r="E789" s="372"/>
      <c r="F789" s="372"/>
      <c r="G789" s="372"/>
      <c r="H789" s="372"/>
      <c r="I789" s="372"/>
      <c r="J789" s="372"/>
      <c r="K789" s="372"/>
      <c r="L789" s="372"/>
      <c r="M789" s="372"/>
      <c r="N789" s="372"/>
      <c r="O789" s="372"/>
      <c r="P789" s="372"/>
      <c r="Q789" s="372"/>
      <c r="R789" s="372"/>
      <c r="S789" s="372"/>
      <c r="T789" s="372"/>
      <c r="U789" s="372"/>
      <c r="V789" s="372"/>
      <c r="W789" s="372"/>
      <c r="X789" s="372"/>
      <c r="Y789" s="372"/>
      <c r="Z789" s="372"/>
    </row>
    <row r="790">
      <c r="A790" s="372"/>
      <c r="B790" s="372"/>
      <c r="C790" s="372"/>
      <c r="D790" s="372"/>
      <c r="E790" s="372"/>
      <c r="F790" s="372"/>
      <c r="G790" s="372"/>
      <c r="H790" s="372"/>
      <c r="I790" s="372"/>
      <c r="J790" s="372"/>
      <c r="K790" s="372"/>
      <c r="L790" s="372"/>
      <c r="M790" s="372"/>
      <c r="N790" s="372"/>
      <c r="O790" s="372"/>
      <c r="P790" s="372"/>
      <c r="Q790" s="372"/>
      <c r="R790" s="372"/>
      <c r="S790" s="372"/>
      <c r="T790" s="372"/>
      <c r="U790" s="372"/>
      <c r="V790" s="372"/>
      <c r="W790" s="372"/>
      <c r="X790" s="372"/>
      <c r="Y790" s="372"/>
      <c r="Z790" s="372"/>
    </row>
    <row r="791">
      <c r="A791" s="372"/>
      <c r="B791" s="372"/>
      <c r="C791" s="372"/>
      <c r="D791" s="372"/>
      <c r="E791" s="372"/>
      <c r="F791" s="372"/>
      <c r="G791" s="372"/>
      <c r="H791" s="372"/>
      <c r="I791" s="372"/>
      <c r="J791" s="372"/>
      <c r="K791" s="372"/>
      <c r="L791" s="372"/>
      <c r="M791" s="372"/>
      <c r="N791" s="372"/>
      <c r="O791" s="372"/>
      <c r="P791" s="372"/>
      <c r="Q791" s="372"/>
      <c r="R791" s="372"/>
      <c r="S791" s="372"/>
      <c r="T791" s="372"/>
      <c r="U791" s="372"/>
      <c r="V791" s="372"/>
      <c r="W791" s="372"/>
      <c r="X791" s="372"/>
      <c r="Y791" s="372"/>
      <c r="Z791" s="372"/>
    </row>
    <row r="792">
      <c r="A792" s="372"/>
      <c r="B792" s="372"/>
      <c r="C792" s="372"/>
      <c r="D792" s="372"/>
      <c r="E792" s="372"/>
      <c r="F792" s="372"/>
      <c r="G792" s="372"/>
      <c r="H792" s="372"/>
      <c r="I792" s="372"/>
      <c r="J792" s="372"/>
      <c r="K792" s="372"/>
      <c r="L792" s="372"/>
      <c r="M792" s="372"/>
      <c r="N792" s="372"/>
      <c r="O792" s="372"/>
      <c r="P792" s="372"/>
      <c r="Q792" s="372"/>
      <c r="R792" s="372"/>
      <c r="S792" s="372"/>
      <c r="T792" s="372"/>
      <c r="U792" s="372"/>
      <c r="V792" s="372"/>
      <c r="W792" s="372"/>
      <c r="X792" s="372"/>
      <c r="Y792" s="372"/>
      <c r="Z792" s="372"/>
    </row>
    <row r="793">
      <c r="A793" s="372"/>
      <c r="B793" s="372"/>
      <c r="C793" s="372"/>
      <c r="D793" s="372"/>
      <c r="E793" s="372"/>
      <c r="F793" s="372"/>
      <c r="G793" s="372"/>
      <c r="H793" s="372"/>
      <c r="I793" s="372"/>
      <c r="J793" s="372"/>
      <c r="K793" s="372"/>
      <c r="L793" s="372"/>
      <c r="M793" s="372"/>
      <c r="N793" s="372"/>
      <c r="O793" s="372"/>
      <c r="P793" s="372"/>
      <c r="Q793" s="372"/>
      <c r="R793" s="372"/>
      <c r="S793" s="372"/>
      <c r="T793" s="372"/>
      <c r="U793" s="372"/>
      <c r="V793" s="372"/>
      <c r="W793" s="372"/>
      <c r="X793" s="372"/>
      <c r="Y793" s="372"/>
      <c r="Z793" s="372"/>
    </row>
    <row r="794">
      <c r="A794" s="372"/>
      <c r="B794" s="372"/>
      <c r="C794" s="372"/>
      <c r="D794" s="372"/>
      <c r="E794" s="372"/>
      <c r="F794" s="372"/>
      <c r="G794" s="372"/>
      <c r="H794" s="372"/>
      <c r="I794" s="372"/>
      <c r="J794" s="372"/>
      <c r="K794" s="372"/>
      <c r="L794" s="372"/>
      <c r="M794" s="372"/>
      <c r="N794" s="372"/>
      <c r="O794" s="372"/>
      <c r="P794" s="372"/>
      <c r="Q794" s="372"/>
      <c r="R794" s="372"/>
      <c r="S794" s="372"/>
      <c r="T794" s="372"/>
      <c r="U794" s="372"/>
      <c r="V794" s="372"/>
      <c r="W794" s="372"/>
      <c r="X794" s="372"/>
      <c r="Y794" s="372"/>
      <c r="Z794" s="372"/>
    </row>
    <row r="795">
      <c r="A795" s="372"/>
      <c r="B795" s="372"/>
      <c r="C795" s="372"/>
      <c r="D795" s="372"/>
      <c r="E795" s="372"/>
      <c r="F795" s="372"/>
      <c r="G795" s="372"/>
      <c r="H795" s="372"/>
      <c r="I795" s="372"/>
      <c r="J795" s="372"/>
      <c r="K795" s="372"/>
      <c r="L795" s="372"/>
      <c r="M795" s="372"/>
      <c r="N795" s="372"/>
      <c r="O795" s="372"/>
      <c r="P795" s="372"/>
      <c r="Q795" s="372"/>
      <c r="R795" s="372"/>
      <c r="S795" s="372"/>
      <c r="T795" s="372"/>
      <c r="U795" s="372"/>
      <c r="V795" s="372"/>
      <c r="W795" s="372"/>
      <c r="X795" s="372"/>
      <c r="Y795" s="372"/>
      <c r="Z795" s="372"/>
    </row>
    <row r="796">
      <c r="A796" s="372"/>
      <c r="B796" s="372"/>
      <c r="C796" s="372"/>
      <c r="D796" s="372"/>
      <c r="E796" s="372"/>
      <c r="F796" s="372"/>
      <c r="G796" s="372"/>
      <c r="H796" s="372"/>
      <c r="I796" s="372"/>
      <c r="J796" s="372"/>
      <c r="K796" s="372"/>
      <c r="L796" s="372"/>
      <c r="M796" s="372"/>
      <c r="N796" s="372"/>
      <c r="O796" s="372"/>
      <c r="P796" s="372"/>
      <c r="Q796" s="372"/>
      <c r="R796" s="372"/>
      <c r="S796" s="372"/>
      <c r="T796" s="372"/>
      <c r="U796" s="372"/>
      <c r="V796" s="372"/>
      <c r="W796" s="372"/>
      <c r="X796" s="372"/>
      <c r="Y796" s="372"/>
      <c r="Z796" s="372"/>
    </row>
    <row r="797">
      <c r="A797" s="372"/>
      <c r="B797" s="372"/>
      <c r="C797" s="372"/>
      <c r="D797" s="372"/>
      <c r="E797" s="372"/>
      <c r="F797" s="372"/>
      <c r="G797" s="372"/>
      <c r="H797" s="372"/>
      <c r="I797" s="372"/>
      <c r="J797" s="372"/>
      <c r="K797" s="372"/>
      <c r="L797" s="372"/>
      <c r="M797" s="372"/>
      <c r="N797" s="372"/>
      <c r="O797" s="372"/>
      <c r="P797" s="372"/>
      <c r="Q797" s="372"/>
      <c r="R797" s="372"/>
      <c r="S797" s="372"/>
      <c r="T797" s="372"/>
      <c r="U797" s="372"/>
      <c r="V797" s="372"/>
      <c r="W797" s="372"/>
      <c r="X797" s="372"/>
      <c r="Y797" s="372"/>
      <c r="Z797" s="372"/>
    </row>
    <row r="798">
      <c r="A798" s="372"/>
      <c r="B798" s="372"/>
      <c r="C798" s="372"/>
      <c r="D798" s="372"/>
      <c r="E798" s="372"/>
      <c r="F798" s="372"/>
      <c r="G798" s="372"/>
      <c r="H798" s="372"/>
      <c r="I798" s="372"/>
      <c r="J798" s="372"/>
      <c r="K798" s="372"/>
      <c r="L798" s="372"/>
      <c r="M798" s="372"/>
      <c r="N798" s="372"/>
      <c r="O798" s="372"/>
      <c r="P798" s="372"/>
      <c r="Q798" s="372"/>
      <c r="R798" s="372"/>
      <c r="S798" s="372"/>
      <c r="T798" s="372"/>
      <c r="U798" s="372"/>
      <c r="V798" s="372"/>
      <c r="W798" s="372"/>
      <c r="X798" s="372"/>
      <c r="Y798" s="372"/>
      <c r="Z798" s="372"/>
    </row>
    <row r="799">
      <c r="A799" s="372"/>
      <c r="B799" s="372"/>
      <c r="C799" s="372"/>
      <c r="D799" s="372"/>
      <c r="E799" s="372"/>
      <c r="F799" s="372"/>
      <c r="G799" s="372"/>
      <c r="H799" s="372"/>
      <c r="I799" s="372"/>
      <c r="J799" s="372"/>
      <c r="K799" s="372"/>
      <c r="L799" s="372"/>
      <c r="M799" s="372"/>
      <c r="N799" s="372"/>
      <c r="O799" s="372"/>
      <c r="P799" s="372"/>
      <c r="Q799" s="372"/>
      <c r="R799" s="372"/>
      <c r="S799" s="372"/>
      <c r="T799" s="372"/>
      <c r="U799" s="372"/>
      <c r="V799" s="372"/>
      <c r="W799" s="372"/>
      <c r="X799" s="372"/>
      <c r="Y799" s="372"/>
      <c r="Z799" s="372"/>
    </row>
    <row r="800">
      <c r="A800" s="372"/>
      <c r="B800" s="372"/>
      <c r="C800" s="372"/>
      <c r="D800" s="372"/>
      <c r="E800" s="372"/>
      <c r="F800" s="372"/>
      <c r="G800" s="372"/>
      <c r="H800" s="372"/>
      <c r="I800" s="372"/>
      <c r="J800" s="372"/>
      <c r="K800" s="372"/>
      <c r="L800" s="372"/>
      <c r="M800" s="372"/>
      <c r="N800" s="372"/>
      <c r="O800" s="372"/>
      <c r="P800" s="372"/>
      <c r="Q800" s="372"/>
      <c r="R800" s="372"/>
      <c r="S800" s="372"/>
      <c r="T800" s="372"/>
      <c r="U800" s="372"/>
      <c r="V800" s="372"/>
      <c r="W800" s="372"/>
      <c r="X800" s="372"/>
      <c r="Y800" s="372"/>
      <c r="Z800" s="372"/>
    </row>
    <row r="801">
      <c r="A801" s="372"/>
      <c r="B801" s="372"/>
      <c r="C801" s="372"/>
      <c r="D801" s="372"/>
      <c r="E801" s="372"/>
      <c r="F801" s="372"/>
      <c r="G801" s="372"/>
      <c r="H801" s="372"/>
      <c r="I801" s="372"/>
      <c r="J801" s="372"/>
      <c r="K801" s="372"/>
      <c r="L801" s="372"/>
      <c r="M801" s="372"/>
      <c r="N801" s="372"/>
      <c r="O801" s="372"/>
      <c r="P801" s="372"/>
      <c r="Q801" s="372"/>
      <c r="R801" s="372"/>
      <c r="S801" s="372"/>
      <c r="T801" s="372"/>
      <c r="U801" s="372"/>
      <c r="V801" s="372"/>
      <c r="W801" s="372"/>
      <c r="X801" s="372"/>
      <c r="Y801" s="372"/>
      <c r="Z801" s="372"/>
    </row>
    <row r="802">
      <c r="A802" s="372"/>
      <c r="B802" s="372"/>
      <c r="C802" s="372"/>
      <c r="D802" s="372"/>
      <c r="E802" s="372"/>
      <c r="F802" s="372"/>
      <c r="G802" s="372"/>
      <c r="H802" s="372"/>
      <c r="I802" s="372"/>
      <c r="J802" s="372"/>
      <c r="K802" s="372"/>
      <c r="L802" s="372"/>
      <c r="M802" s="372"/>
      <c r="N802" s="372"/>
      <c r="O802" s="372"/>
      <c r="P802" s="372"/>
      <c r="Q802" s="372"/>
      <c r="R802" s="372"/>
      <c r="S802" s="372"/>
      <c r="T802" s="372"/>
      <c r="U802" s="372"/>
      <c r="V802" s="372"/>
      <c r="W802" s="372"/>
      <c r="X802" s="372"/>
      <c r="Y802" s="372"/>
      <c r="Z802" s="372"/>
    </row>
    <row r="803">
      <c r="A803" s="372"/>
      <c r="B803" s="372"/>
      <c r="C803" s="372"/>
      <c r="D803" s="372"/>
      <c r="E803" s="372"/>
      <c r="F803" s="372"/>
      <c r="G803" s="372"/>
      <c r="H803" s="372"/>
      <c r="I803" s="372"/>
      <c r="J803" s="372"/>
      <c r="K803" s="372"/>
      <c r="L803" s="372"/>
      <c r="M803" s="372"/>
      <c r="N803" s="372"/>
      <c r="O803" s="372"/>
      <c r="P803" s="372"/>
      <c r="Q803" s="372"/>
      <c r="R803" s="372"/>
      <c r="S803" s="372"/>
      <c r="T803" s="372"/>
      <c r="U803" s="372"/>
      <c r="V803" s="372"/>
      <c r="W803" s="372"/>
      <c r="X803" s="372"/>
      <c r="Y803" s="372"/>
      <c r="Z803" s="372"/>
    </row>
    <row r="804">
      <c r="A804" s="372"/>
      <c r="B804" s="372"/>
      <c r="C804" s="372"/>
      <c r="D804" s="372"/>
      <c r="E804" s="372"/>
      <c r="F804" s="372"/>
      <c r="G804" s="372"/>
      <c r="H804" s="372"/>
      <c r="I804" s="372"/>
      <c r="J804" s="372"/>
      <c r="K804" s="372"/>
      <c r="L804" s="372"/>
      <c r="M804" s="372"/>
      <c r="N804" s="372"/>
      <c r="O804" s="372"/>
      <c r="P804" s="372"/>
      <c r="Q804" s="372"/>
      <c r="R804" s="372"/>
      <c r="S804" s="372"/>
      <c r="T804" s="372"/>
      <c r="U804" s="372"/>
      <c r="V804" s="372"/>
      <c r="W804" s="372"/>
      <c r="X804" s="372"/>
      <c r="Y804" s="372"/>
      <c r="Z804" s="372"/>
    </row>
    <row r="805">
      <c r="A805" s="372"/>
      <c r="B805" s="372"/>
      <c r="C805" s="372"/>
      <c r="D805" s="372"/>
      <c r="E805" s="372"/>
      <c r="F805" s="372"/>
      <c r="G805" s="372"/>
      <c r="H805" s="372"/>
      <c r="I805" s="372"/>
      <c r="J805" s="372"/>
      <c r="K805" s="372"/>
      <c r="L805" s="372"/>
      <c r="M805" s="372"/>
      <c r="N805" s="372"/>
      <c r="O805" s="372"/>
      <c r="P805" s="372"/>
      <c r="Q805" s="372"/>
      <c r="R805" s="372"/>
      <c r="S805" s="372"/>
      <c r="T805" s="372"/>
      <c r="U805" s="372"/>
      <c r="V805" s="372"/>
      <c r="W805" s="372"/>
      <c r="X805" s="372"/>
      <c r="Y805" s="372"/>
      <c r="Z805" s="372"/>
    </row>
    <row r="806">
      <c r="A806" s="372"/>
      <c r="B806" s="372"/>
      <c r="C806" s="372"/>
      <c r="D806" s="372"/>
      <c r="E806" s="372"/>
      <c r="F806" s="372"/>
      <c r="G806" s="372"/>
      <c r="H806" s="372"/>
      <c r="I806" s="372"/>
      <c r="J806" s="372"/>
      <c r="K806" s="372"/>
      <c r="L806" s="372"/>
      <c r="M806" s="372"/>
      <c r="N806" s="372"/>
      <c r="O806" s="372"/>
      <c r="P806" s="372"/>
      <c r="Q806" s="372"/>
      <c r="R806" s="372"/>
      <c r="S806" s="372"/>
      <c r="T806" s="372"/>
      <c r="U806" s="372"/>
      <c r="V806" s="372"/>
      <c r="W806" s="372"/>
      <c r="X806" s="372"/>
      <c r="Y806" s="372"/>
      <c r="Z806" s="372"/>
    </row>
    <row r="807">
      <c r="A807" s="372"/>
      <c r="B807" s="372"/>
      <c r="C807" s="372"/>
      <c r="D807" s="372"/>
      <c r="E807" s="372"/>
      <c r="F807" s="372"/>
      <c r="G807" s="372"/>
      <c r="H807" s="372"/>
      <c r="I807" s="372"/>
      <c r="J807" s="372"/>
      <c r="K807" s="372"/>
      <c r="L807" s="372"/>
      <c r="M807" s="372"/>
      <c r="N807" s="372"/>
      <c r="O807" s="372"/>
      <c r="P807" s="372"/>
      <c r="Q807" s="372"/>
      <c r="R807" s="372"/>
      <c r="S807" s="372"/>
      <c r="T807" s="372"/>
      <c r="U807" s="372"/>
      <c r="V807" s="372"/>
      <c r="W807" s="372"/>
      <c r="X807" s="372"/>
      <c r="Y807" s="372"/>
      <c r="Z807" s="372"/>
    </row>
    <row r="808">
      <c r="A808" s="372"/>
      <c r="B808" s="372"/>
      <c r="C808" s="372"/>
      <c r="D808" s="372"/>
      <c r="E808" s="372"/>
      <c r="F808" s="372"/>
      <c r="G808" s="372"/>
      <c r="H808" s="372"/>
      <c r="I808" s="372"/>
      <c r="J808" s="372"/>
      <c r="K808" s="372"/>
      <c r="L808" s="372"/>
      <c r="M808" s="372"/>
      <c r="N808" s="372"/>
      <c r="O808" s="372"/>
      <c r="P808" s="372"/>
      <c r="Q808" s="372"/>
      <c r="R808" s="372"/>
      <c r="S808" s="372"/>
      <c r="T808" s="372"/>
      <c r="U808" s="372"/>
      <c r="V808" s="372"/>
      <c r="W808" s="372"/>
      <c r="X808" s="372"/>
      <c r="Y808" s="372"/>
      <c r="Z808" s="372"/>
    </row>
    <row r="809">
      <c r="A809" s="372"/>
      <c r="B809" s="372"/>
      <c r="C809" s="372"/>
      <c r="D809" s="372"/>
      <c r="E809" s="372"/>
      <c r="F809" s="372"/>
      <c r="G809" s="372"/>
      <c r="H809" s="372"/>
      <c r="I809" s="372"/>
      <c r="J809" s="372"/>
      <c r="K809" s="372"/>
      <c r="L809" s="372"/>
      <c r="M809" s="372"/>
      <c r="N809" s="372"/>
      <c r="O809" s="372"/>
      <c r="P809" s="372"/>
      <c r="Q809" s="372"/>
      <c r="R809" s="372"/>
      <c r="S809" s="372"/>
      <c r="T809" s="372"/>
      <c r="U809" s="372"/>
      <c r="V809" s="372"/>
      <c r="W809" s="372"/>
      <c r="X809" s="372"/>
      <c r="Y809" s="372"/>
      <c r="Z809" s="372"/>
    </row>
    <row r="810">
      <c r="A810" s="372"/>
      <c r="B810" s="372"/>
      <c r="C810" s="372"/>
      <c r="D810" s="372"/>
      <c r="E810" s="372"/>
      <c r="F810" s="372"/>
      <c r="G810" s="372"/>
      <c r="H810" s="372"/>
      <c r="I810" s="372"/>
      <c r="J810" s="372"/>
      <c r="K810" s="372"/>
      <c r="L810" s="372"/>
      <c r="M810" s="372"/>
      <c r="N810" s="372"/>
      <c r="O810" s="372"/>
      <c r="P810" s="372"/>
      <c r="Q810" s="372"/>
      <c r="R810" s="372"/>
      <c r="S810" s="372"/>
      <c r="T810" s="372"/>
      <c r="U810" s="372"/>
      <c r="V810" s="372"/>
      <c r="W810" s="372"/>
      <c r="X810" s="372"/>
      <c r="Y810" s="372"/>
      <c r="Z810" s="372"/>
    </row>
    <row r="811">
      <c r="A811" s="372"/>
      <c r="B811" s="372"/>
      <c r="C811" s="372"/>
      <c r="D811" s="372"/>
      <c r="E811" s="372"/>
      <c r="F811" s="372"/>
      <c r="G811" s="372"/>
      <c r="H811" s="372"/>
      <c r="I811" s="372"/>
      <c r="J811" s="372"/>
      <c r="K811" s="372"/>
      <c r="L811" s="372"/>
      <c r="M811" s="372"/>
      <c r="N811" s="372"/>
      <c r="O811" s="372"/>
      <c r="P811" s="372"/>
      <c r="Q811" s="372"/>
      <c r="R811" s="372"/>
      <c r="S811" s="372"/>
      <c r="T811" s="372"/>
      <c r="U811" s="372"/>
      <c r="V811" s="372"/>
      <c r="W811" s="372"/>
      <c r="X811" s="372"/>
      <c r="Y811" s="372"/>
      <c r="Z811" s="372"/>
    </row>
    <row r="812">
      <c r="A812" s="372"/>
      <c r="B812" s="372"/>
      <c r="C812" s="372"/>
      <c r="D812" s="372"/>
      <c r="E812" s="372"/>
      <c r="F812" s="372"/>
      <c r="G812" s="372"/>
      <c r="H812" s="372"/>
      <c r="I812" s="372"/>
      <c r="J812" s="372"/>
      <c r="K812" s="372"/>
      <c r="L812" s="372"/>
      <c r="M812" s="372"/>
      <c r="N812" s="372"/>
      <c r="O812" s="372"/>
      <c r="P812" s="372"/>
      <c r="Q812" s="372"/>
      <c r="R812" s="372"/>
      <c r="S812" s="372"/>
      <c r="T812" s="372"/>
      <c r="U812" s="372"/>
      <c r="V812" s="372"/>
      <c r="W812" s="372"/>
      <c r="X812" s="372"/>
      <c r="Y812" s="372"/>
      <c r="Z812" s="372"/>
    </row>
    <row r="813">
      <c r="A813" s="372"/>
      <c r="B813" s="372"/>
      <c r="C813" s="372"/>
      <c r="D813" s="372"/>
      <c r="E813" s="372"/>
      <c r="F813" s="372"/>
      <c r="G813" s="372"/>
      <c r="H813" s="372"/>
      <c r="I813" s="372"/>
      <c r="J813" s="372"/>
      <c r="K813" s="372"/>
      <c r="L813" s="372"/>
      <c r="M813" s="372"/>
      <c r="N813" s="372"/>
      <c r="O813" s="372"/>
      <c r="P813" s="372"/>
      <c r="Q813" s="372"/>
      <c r="R813" s="372"/>
      <c r="S813" s="372"/>
      <c r="T813" s="372"/>
      <c r="U813" s="372"/>
      <c r="V813" s="372"/>
      <c r="W813" s="372"/>
      <c r="X813" s="372"/>
      <c r="Y813" s="372"/>
      <c r="Z813" s="372"/>
    </row>
    <row r="814">
      <c r="A814" s="372"/>
      <c r="B814" s="372"/>
      <c r="C814" s="372"/>
      <c r="D814" s="372"/>
      <c r="E814" s="372"/>
      <c r="F814" s="372"/>
      <c r="G814" s="372"/>
      <c r="H814" s="372"/>
      <c r="I814" s="372"/>
      <c r="J814" s="372"/>
      <c r="K814" s="372"/>
      <c r="L814" s="372"/>
      <c r="M814" s="372"/>
      <c r="N814" s="372"/>
      <c r="O814" s="372"/>
      <c r="P814" s="372"/>
      <c r="Q814" s="372"/>
      <c r="R814" s="372"/>
      <c r="S814" s="372"/>
      <c r="T814" s="372"/>
      <c r="U814" s="372"/>
      <c r="V814" s="372"/>
      <c r="W814" s="372"/>
      <c r="X814" s="372"/>
      <c r="Y814" s="372"/>
      <c r="Z814" s="372"/>
    </row>
    <row r="815">
      <c r="A815" s="372"/>
      <c r="B815" s="372"/>
      <c r="C815" s="372"/>
      <c r="D815" s="372"/>
      <c r="E815" s="372"/>
      <c r="F815" s="372"/>
      <c r="G815" s="372"/>
      <c r="H815" s="372"/>
      <c r="I815" s="372"/>
      <c r="J815" s="372"/>
      <c r="K815" s="372"/>
      <c r="L815" s="372"/>
      <c r="M815" s="372"/>
      <c r="N815" s="372"/>
      <c r="O815" s="372"/>
      <c r="P815" s="372"/>
      <c r="Q815" s="372"/>
      <c r="R815" s="372"/>
      <c r="S815" s="372"/>
      <c r="T815" s="372"/>
      <c r="U815" s="372"/>
      <c r="V815" s="372"/>
      <c r="W815" s="372"/>
      <c r="X815" s="372"/>
      <c r="Y815" s="372"/>
      <c r="Z815" s="372"/>
    </row>
    <row r="816">
      <c r="A816" s="372"/>
      <c r="B816" s="372"/>
      <c r="C816" s="372"/>
      <c r="D816" s="372"/>
      <c r="E816" s="372"/>
      <c r="F816" s="372"/>
      <c r="G816" s="372"/>
      <c r="H816" s="372"/>
      <c r="I816" s="372"/>
      <c r="J816" s="372"/>
      <c r="K816" s="372"/>
      <c r="L816" s="372"/>
      <c r="M816" s="372"/>
      <c r="N816" s="372"/>
      <c r="O816" s="372"/>
      <c r="P816" s="372"/>
      <c r="Q816" s="372"/>
      <c r="R816" s="372"/>
      <c r="S816" s="372"/>
      <c r="T816" s="372"/>
      <c r="U816" s="372"/>
      <c r="V816" s="372"/>
      <c r="W816" s="372"/>
      <c r="X816" s="372"/>
      <c r="Y816" s="372"/>
      <c r="Z816" s="372"/>
    </row>
    <row r="817">
      <c r="A817" s="372"/>
      <c r="B817" s="372"/>
      <c r="C817" s="372"/>
      <c r="D817" s="372"/>
      <c r="E817" s="372"/>
      <c r="F817" s="372"/>
      <c r="G817" s="372"/>
      <c r="H817" s="372"/>
      <c r="I817" s="372"/>
      <c r="J817" s="372"/>
      <c r="K817" s="372"/>
      <c r="L817" s="372"/>
      <c r="M817" s="372"/>
      <c r="N817" s="372"/>
      <c r="O817" s="372"/>
      <c r="P817" s="372"/>
      <c r="Q817" s="372"/>
      <c r="R817" s="372"/>
      <c r="S817" s="372"/>
      <c r="T817" s="372"/>
      <c r="U817" s="372"/>
      <c r="V817" s="372"/>
      <c r="W817" s="372"/>
      <c r="X817" s="372"/>
      <c r="Y817" s="372"/>
      <c r="Z817" s="372"/>
    </row>
    <row r="818">
      <c r="A818" s="372"/>
      <c r="B818" s="372"/>
      <c r="C818" s="372"/>
      <c r="D818" s="372"/>
      <c r="E818" s="372"/>
      <c r="F818" s="372"/>
      <c r="G818" s="372"/>
      <c r="H818" s="372"/>
      <c r="I818" s="372"/>
      <c r="J818" s="372"/>
      <c r="K818" s="372"/>
      <c r="L818" s="372"/>
      <c r="M818" s="372"/>
      <c r="N818" s="372"/>
      <c r="O818" s="372"/>
      <c r="P818" s="372"/>
      <c r="Q818" s="372"/>
      <c r="R818" s="372"/>
      <c r="S818" s="372"/>
      <c r="T818" s="372"/>
      <c r="U818" s="372"/>
      <c r="V818" s="372"/>
      <c r="W818" s="372"/>
      <c r="X818" s="372"/>
      <c r="Y818" s="372"/>
      <c r="Z818" s="372"/>
    </row>
    <row r="819">
      <c r="A819" s="372"/>
      <c r="B819" s="372"/>
      <c r="C819" s="372"/>
      <c r="D819" s="372"/>
      <c r="E819" s="372"/>
      <c r="F819" s="372"/>
      <c r="G819" s="372"/>
      <c r="H819" s="372"/>
      <c r="I819" s="372"/>
      <c r="J819" s="372"/>
      <c r="K819" s="372"/>
      <c r="L819" s="372"/>
      <c r="M819" s="372"/>
      <c r="N819" s="372"/>
      <c r="O819" s="372"/>
      <c r="P819" s="372"/>
      <c r="Q819" s="372"/>
      <c r="R819" s="372"/>
      <c r="S819" s="372"/>
      <c r="T819" s="372"/>
      <c r="U819" s="372"/>
      <c r="V819" s="372"/>
      <c r="W819" s="372"/>
      <c r="X819" s="372"/>
      <c r="Y819" s="372"/>
      <c r="Z819" s="372"/>
    </row>
    <row r="820">
      <c r="A820" s="372"/>
      <c r="B820" s="372"/>
      <c r="C820" s="372"/>
      <c r="D820" s="372"/>
      <c r="E820" s="372"/>
      <c r="F820" s="372"/>
      <c r="G820" s="372"/>
      <c r="H820" s="372"/>
      <c r="I820" s="372"/>
      <c r="J820" s="372"/>
      <c r="K820" s="372"/>
      <c r="L820" s="372"/>
      <c r="M820" s="372"/>
      <c r="N820" s="372"/>
      <c r="O820" s="372"/>
      <c r="P820" s="372"/>
      <c r="Q820" s="372"/>
      <c r="R820" s="372"/>
      <c r="S820" s="372"/>
      <c r="T820" s="372"/>
      <c r="U820" s="372"/>
      <c r="V820" s="372"/>
      <c r="W820" s="372"/>
      <c r="X820" s="372"/>
      <c r="Y820" s="372"/>
      <c r="Z820" s="372"/>
    </row>
    <row r="821">
      <c r="A821" s="372"/>
      <c r="B821" s="372"/>
      <c r="C821" s="372"/>
      <c r="D821" s="372"/>
      <c r="E821" s="372"/>
      <c r="F821" s="372"/>
      <c r="G821" s="372"/>
      <c r="H821" s="372"/>
      <c r="I821" s="372"/>
      <c r="J821" s="372"/>
      <c r="K821" s="372"/>
      <c r="L821" s="372"/>
      <c r="M821" s="372"/>
      <c r="N821" s="372"/>
      <c r="O821" s="372"/>
      <c r="P821" s="372"/>
      <c r="Q821" s="372"/>
      <c r="R821" s="372"/>
      <c r="S821" s="372"/>
      <c r="T821" s="372"/>
      <c r="U821" s="372"/>
      <c r="V821" s="372"/>
      <c r="W821" s="372"/>
      <c r="X821" s="372"/>
      <c r="Y821" s="372"/>
      <c r="Z821" s="372"/>
    </row>
    <row r="822">
      <c r="A822" s="372"/>
      <c r="B822" s="372"/>
      <c r="C822" s="372"/>
      <c r="D822" s="372"/>
      <c r="E822" s="372"/>
      <c r="F822" s="372"/>
      <c r="G822" s="372"/>
      <c r="H822" s="372"/>
      <c r="I822" s="372"/>
      <c r="J822" s="372"/>
      <c r="K822" s="372"/>
      <c r="L822" s="372"/>
      <c r="M822" s="372"/>
      <c r="N822" s="372"/>
      <c r="O822" s="372"/>
      <c r="P822" s="372"/>
      <c r="Q822" s="372"/>
      <c r="R822" s="372"/>
      <c r="S822" s="372"/>
      <c r="T822" s="372"/>
      <c r="U822" s="372"/>
      <c r="V822" s="372"/>
      <c r="W822" s="372"/>
      <c r="X822" s="372"/>
      <c r="Y822" s="372"/>
      <c r="Z822" s="372"/>
    </row>
    <row r="823">
      <c r="A823" s="372"/>
      <c r="B823" s="372"/>
      <c r="C823" s="372"/>
      <c r="D823" s="372"/>
      <c r="E823" s="372"/>
      <c r="F823" s="372"/>
      <c r="G823" s="372"/>
      <c r="H823" s="372"/>
      <c r="I823" s="372"/>
      <c r="J823" s="372"/>
      <c r="K823" s="372"/>
      <c r="L823" s="372"/>
      <c r="M823" s="372"/>
      <c r="N823" s="372"/>
      <c r="O823" s="372"/>
      <c r="P823" s="372"/>
      <c r="Q823" s="372"/>
      <c r="R823" s="372"/>
      <c r="S823" s="372"/>
      <c r="T823" s="372"/>
      <c r="U823" s="372"/>
      <c r="V823" s="372"/>
      <c r="W823" s="372"/>
      <c r="X823" s="372"/>
      <c r="Y823" s="372"/>
      <c r="Z823" s="372"/>
    </row>
    <row r="824">
      <c r="A824" s="372"/>
      <c r="B824" s="372"/>
      <c r="C824" s="372"/>
      <c r="D824" s="372"/>
      <c r="E824" s="372"/>
      <c r="F824" s="372"/>
      <c r="G824" s="372"/>
      <c r="H824" s="372"/>
      <c r="I824" s="372"/>
      <c r="J824" s="372"/>
      <c r="K824" s="372"/>
      <c r="L824" s="372"/>
      <c r="M824" s="372"/>
      <c r="N824" s="372"/>
      <c r="O824" s="372"/>
      <c r="P824" s="372"/>
      <c r="Q824" s="372"/>
      <c r="R824" s="372"/>
      <c r="S824" s="372"/>
      <c r="T824" s="372"/>
      <c r="U824" s="372"/>
      <c r="V824" s="372"/>
      <c r="W824" s="372"/>
      <c r="X824" s="372"/>
      <c r="Y824" s="372"/>
      <c r="Z824" s="372"/>
    </row>
    <row r="825">
      <c r="A825" s="372"/>
      <c r="B825" s="372"/>
      <c r="C825" s="372"/>
      <c r="D825" s="372"/>
      <c r="E825" s="372"/>
      <c r="F825" s="372"/>
      <c r="G825" s="372"/>
      <c r="H825" s="372"/>
      <c r="I825" s="372"/>
      <c r="J825" s="372"/>
      <c r="K825" s="372"/>
      <c r="L825" s="372"/>
      <c r="M825" s="372"/>
      <c r="N825" s="372"/>
      <c r="O825" s="372"/>
      <c r="P825" s="372"/>
      <c r="Q825" s="372"/>
      <c r="R825" s="372"/>
      <c r="S825" s="372"/>
      <c r="T825" s="372"/>
      <c r="U825" s="372"/>
      <c r="V825" s="372"/>
      <c r="W825" s="372"/>
      <c r="X825" s="372"/>
      <c r="Y825" s="372"/>
      <c r="Z825" s="372"/>
    </row>
    <row r="826">
      <c r="A826" s="372"/>
      <c r="B826" s="372"/>
      <c r="C826" s="372"/>
      <c r="D826" s="372"/>
      <c r="E826" s="372"/>
      <c r="F826" s="372"/>
      <c r="G826" s="372"/>
      <c r="H826" s="372"/>
      <c r="I826" s="372"/>
      <c r="J826" s="372"/>
      <c r="K826" s="372"/>
      <c r="L826" s="372"/>
      <c r="M826" s="372"/>
      <c r="N826" s="372"/>
      <c r="O826" s="372"/>
      <c r="P826" s="372"/>
      <c r="Q826" s="372"/>
      <c r="R826" s="372"/>
      <c r="S826" s="372"/>
      <c r="T826" s="372"/>
      <c r="U826" s="372"/>
      <c r="V826" s="372"/>
      <c r="W826" s="372"/>
      <c r="X826" s="372"/>
      <c r="Y826" s="372"/>
      <c r="Z826" s="372"/>
    </row>
    <row r="827">
      <c r="A827" s="372"/>
      <c r="B827" s="372"/>
      <c r="C827" s="372"/>
      <c r="D827" s="372"/>
      <c r="E827" s="372"/>
      <c r="F827" s="372"/>
      <c r="G827" s="372"/>
      <c r="H827" s="372"/>
      <c r="I827" s="372"/>
      <c r="J827" s="372"/>
      <c r="K827" s="372"/>
      <c r="L827" s="372"/>
      <c r="M827" s="372"/>
      <c r="N827" s="372"/>
      <c r="O827" s="372"/>
      <c r="P827" s="372"/>
      <c r="Q827" s="372"/>
      <c r="R827" s="372"/>
      <c r="S827" s="372"/>
      <c r="T827" s="372"/>
      <c r="U827" s="372"/>
      <c r="V827" s="372"/>
      <c r="W827" s="372"/>
      <c r="X827" s="372"/>
      <c r="Y827" s="372"/>
      <c r="Z827" s="372"/>
    </row>
    <row r="828">
      <c r="A828" s="372"/>
      <c r="B828" s="372"/>
      <c r="C828" s="372"/>
      <c r="D828" s="372"/>
      <c r="E828" s="372"/>
      <c r="F828" s="372"/>
      <c r="G828" s="372"/>
      <c r="H828" s="372"/>
      <c r="I828" s="372"/>
      <c r="J828" s="372"/>
      <c r="K828" s="372"/>
      <c r="L828" s="372"/>
      <c r="M828" s="372"/>
      <c r="N828" s="372"/>
      <c r="O828" s="372"/>
      <c r="P828" s="372"/>
      <c r="Q828" s="372"/>
      <c r="R828" s="372"/>
      <c r="S828" s="372"/>
      <c r="T828" s="372"/>
      <c r="U828" s="372"/>
      <c r="V828" s="372"/>
      <c r="W828" s="372"/>
      <c r="X828" s="372"/>
      <c r="Y828" s="372"/>
      <c r="Z828" s="372"/>
    </row>
    <row r="829">
      <c r="A829" s="372"/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  <c r="T829" s="372"/>
      <c r="U829" s="372"/>
      <c r="V829" s="372"/>
      <c r="W829" s="372"/>
      <c r="X829" s="372"/>
      <c r="Y829" s="372"/>
      <c r="Z829" s="372"/>
    </row>
    <row r="830">
      <c r="A830" s="372"/>
      <c r="B830" s="372"/>
      <c r="C830" s="372"/>
      <c r="D830" s="372"/>
      <c r="E830" s="372"/>
      <c r="F830" s="372"/>
      <c r="G830" s="372"/>
      <c r="H830" s="372"/>
      <c r="I830" s="372"/>
      <c r="J830" s="372"/>
      <c r="K830" s="372"/>
      <c r="L830" s="372"/>
      <c r="M830" s="372"/>
      <c r="N830" s="372"/>
      <c r="O830" s="372"/>
      <c r="P830" s="372"/>
      <c r="Q830" s="372"/>
      <c r="R830" s="372"/>
      <c r="S830" s="372"/>
      <c r="T830" s="372"/>
      <c r="U830" s="372"/>
      <c r="V830" s="372"/>
      <c r="W830" s="372"/>
      <c r="X830" s="372"/>
      <c r="Y830" s="372"/>
      <c r="Z830" s="372"/>
    </row>
    <row r="831">
      <c r="A831" s="372"/>
      <c r="B831" s="372"/>
      <c r="C831" s="372"/>
      <c r="D831" s="372"/>
      <c r="E831" s="372"/>
      <c r="F831" s="372"/>
      <c r="G831" s="372"/>
      <c r="H831" s="372"/>
      <c r="I831" s="372"/>
      <c r="J831" s="372"/>
      <c r="K831" s="372"/>
      <c r="L831" s="372"/>
      <c r="M831" s="372"/>
      <c r="N831" s="372"/>
      <c r="O831" s="372"/>
      <c r="P831" s="372"/>
      <c r="Q831" s="372"/>
      <c r="R831" s="372"/>
      <c r="S831" s="372"/>
      <c r="T831" s="372"/>
      <c r="U831" s="372"/>
      <c r="V831" s="372"/>
      <c r="W831" s="372"/>
      <c r="X831" s="372"/>
      <c r="Y831" s="372"/>
      <c r="Z831" s="372"/>
    </row>
    <row r="832">
      <c r="A832" s="372"/>
      <c r="B832" s="372"/>
      <c r="C832" s="372"/>
      <c r="D832" s="372"/>
      <c r="E832" s="372"/>
      <c r="F832" s="372"/>
      <c r="G832" s="372"/>
      <c r="H832" s="372"/>
      <c r="I832" s="372"/>
      <c r="J832" s="372"/>
      <c r="K832" s="372"/>
      <c r="L832" s="372"/>
      <c r="M832" s="372"/>
      <c r="N832" s="372"/>
      <c r="O832" s="372"/>
      <c r="P832" s="372"/>
      <c r="Q832" s="372"/>
      <c r="R832" s="372"/>
      <c r="S832" s="372"/>
      <c r="T832" s="372"/>
      <c r="U832" s="372"/>
      <c r="V832" s="372"/>
      <c r="W832" s="372"/>
      <c r="X832" s="372"/>
      <c r="Y832" s="372"/>
      <c r="Z832" s="372"/>
    </row>
    <row r="833">
      <c r="A833" s="372"/>
      <c r="B833" s="372"/>
      <c r="C833" s="372"/>
      <c r="D833" s="372"/>
      <c r="E833" s="372"/>
      <c r="F833" s="372"/>
      <c r="G833" s="372"/>
      <c r="H833" s="372"/>
      <c r="I833" s="372"/>
      <c r="J833" s="372"/>
      <c r="K833" s="372"/>
      <c r="L833" s="372"/>
      <c r="M833" s="372"/>
      <c r="N833" s="372"/>
      <c r="O833" s="372"/>
      <c r="P833" s="372"/>
      <c r="Q833" s="372"/>
      <c r="R833" s="372"/>
      <c r="S833" s="372"/>
      <c r="T833" s="372"/>
      <c r="U833" s="372"/>
      <c r="V833" s="372"/>
      <c r="W833" s="372"/>
      <c r="X833" s="372"/>
      <c r="Y833" s="372"/>
      <c r="Z833" s="372"/>
    </row>
    <row r="834">
      <c r="A834" s="372"/>
      <c r="B834" s="372"/>
      <c r="C834" s="372"/>
      <c r="D834" s="372"/>
      <c r="E834" s="372"/>
      <c r="F834" s="372"/>
      <c r="G834" s="372"/>
      <c r="H834" s="372"/>
      <c r="I834" s="372"/>
      <c r="J834" s="372"/>
      <c r="K834" s="372"/>
      <c r="L834" s="372"/>
      <c r="M834" s="372"/>
      <c r="N834" s="372"/>
      <c r="O834" s="372"/>
      <c r="P834" s="372"/>
      <c r="Q834" s="372"/>
      <c r="R834" s="372"/>
      <c r="S834" s="372"/>
      <c r="T834" s="372"/>
      <c r="U834" s="372"/>
      <c r="V834" s="372"/>
      <c r="W834" s="372"/>
      <c r="X834" s="372"/>
      <c r="Y834" s="372"/>
      <c r="Z834" s="372"/>
    </row>
    <row r="835">
      <c r="A835" s="372"/>
      <c r="B835" s="372"/>
      <c r="C835" s="372"/>
      <c r="D835" s="372"/>
      <c r="E835" s="372"/>
      <c r="F835" s="372"/>
      <c r="G835" s="372"/>
      <c r="H835" s="372"/>
      <c r="I835" s="372"/>
      <c r="J835" s="372"/>
      <c r="K835" s="372"/>
      <c r="L835" s="372"/>
      <c r="M835" s="372"/>
      <c r="N835" s="372"/>
      <c r="O835" s="372"/>
      <c r="P835" s="372"/>
      <c r="Q835" s="372"/>
      <c r="R835" s="372"/>
      <c r="S835" s="372"/>
      <c r="T835" s="372"/>
      <c r="U835" s="372"/>
      <c r="V835" s="372"/>
      <c r="W835" s="372"/>
      <c r="X835" s="372"/>
      <c r="Y835" s="372"/>
      <c r="Z835" s="372"/>
    </row>
    <row r="836">
      <c r="A836" s="372"/>
      <c r="B836" s="372"/>
      <c r="C836" s="372"/>
      <c r="D836" s="372"/>
      <c r="E836" s="372"/>
      <c r="F836" s="372"/>
      <c r="G836" s="372"/>
      <c r="H836" s="372"/>
      <c r="I836" s="372"/>
      <c r="J836" s="372"/>
      <c r="K836" s="372"/>
      <c r="L836" s="372"/>
      <c r="M836" s="372"/>
      <c r="N836" s="372"/>
      <c r="O836" s="372"/>
      <c r="P836" s="372"/>
      <c r="Q836" s="372"/>
      <c r="R836" s="372"/>
      <c r="S836" s="372"/>
      <c r="T836" s="372"/>
      <c r="U836" s="372"/>
      <c r="V836" s="372"/>
      <c r="W836" s="372"/>
      <c r="X836" s="372"/>
      <c r="Y836" s="372"/>
      <c r="Z836" s="372"/>
    </row>
    <row r="837">
      <c r="A837" s="372"/>
      <c r="B837" s="372"/>
      <c r="C837" s="372"/>
      <c r="D837" s="372"/>
      <c r="E837" s="372"/>
      <c r="F837" s="372"/>
      <c r="G837" s="372"/>
      <c r="H837" s="372"/>
      <c r="I837" s="372"/>
      <c r="J837" s="372"/>
      <c r="K837" s="372"/>
      <c r="L837" s="372"/>
      <c r="M837" s="372"/>
      <c r="N837" s="372"/>
      <c r="O837" s="372"/>
      <c r="P837" s="372"/>
      <c r="Q837" s="372"/>
      <c r="R837" s="372"/>
      <c r="S837" s="372"/>
      <c r="T837" s="372"/>
      <c r="U837" s="372"/>
      <c r="V837" s="372"/>
      <c r="W837" s="372"/>
      <c r="X837" s="372"/>
      <c r="Y837" s="372"/>
      <c r="Z837" s="372"/>
    </row>
    <row r="838">
      <c r="A838" s="372"/>
      <c r="B838" s="372"/>
      <c r="C838" s="372"/>
      <c r="D838" s="372"/>
      <c r="E838" s="372"/>
      <c r="F838" s="372"/>
      <c r="G838" s="372"/>
      <c r="H838" s="372"/>
      <c r="I838" s="372"/>
      <c r="J838" s="372"/>
      <c r="K838" s="372"/>
      <c r="L838" s="372"/>
      <c r="M838" s="372"/>
      <c r="N838" s="372"/>
      <c r="O838" s="372"/>
      <c r="P838" s="372"/>
      <c r="Q838" s="372"/>
      <c r="R838" s="372"/>
      <c r="S838" s="372"/>
      <c r="T838" s="372"/>
      <c r="U838" s="372"/>
      <c r="V838" s="372"/>
      <c r="W838" s="372"/>
      <c r="X838" s="372"/>
      <c r="Y838" s="372"/>
      <c r="Z838" s="372"/>
    </row>
    <row r="839">
      <c r="A839" s="372"/>
      <c r="B839" s="372"/>
      <c r="C839" s="372"/>
      <c r="D839" s="372"/>
      <c r="E839" s="372"/>
      <c r="F839" s="372"/>
      <c r="G839" s="372"/>
      <c r="H839" s="372"/>
      <c r="I839" s="372"/>
      <c r="J839" s="372"/>
      <c r="K839" s="372"/>
      <c r="L839" s="372"/>
      <c r="M839" s="372"/>
      <c r="N839" s="372"/>
      <c r="O839" s="372"/>
      <c r="P839" s="372"/>
      <c r="Q839" s="372"/>
      <c r="R839" s="372"/>
      <c r="S839" s="372"/>
      <c r="T839" s="372"/>
      <c r="U839" s="372"/>
      <c r="V839" s="372"/>
      <c r="W839" s="372"/>
      <c r="X839" s="372"/>
      <c r="Y839" s="372"/>
      <c r="Z839" s="372"/>
    </row>
    <row r="840">
      <c r="A840" s="372"/>
      <c r="B840" s="372"/>
      <c r="C840" s="372"/>
      <c r="D840" s="372"/>
      <c r="E840" s="372"/>
      <c r="F840" s="372"/>
      <c r="G840" s="372"/>
      <c r="H840" s="372"/>
      <c r="I840" s="372"/>
      <c r="J840" s="372"/>
      <c r="K840" s="372"/>
      <c r="L840" s="372"/>
      <c r="M840" s="372"/>
      <c r="N840" s="372"/>
      <c r="O840" s="372"/>
      <c r="P840" s="372"/>
      <c r="Q840" s="372"/>
      <c r="R840" s="372"/>
      <c r="S840" s="372"/>
      <c r="T840" s="372"/>
      <c r="U840" s="372"/>
      <c r="V840" s="372"/>
      <c r="W840" s="372"/>
      <c r="X840" s="372"/>
      <c r="Y840" s="372"/>
      <c r="Z840" s="372"/>
    </row>
    <row r="841">
      <c r="A841" s="372"/>
      <c r="B841" s="372"/>
      <c r="C841" s="372"/>
      <c r="D841" s="372"/>
      <c r="E841" s="372"/>
      <c r="F841" s="372"/>
      <c r="G841" s="372"/>
      <c r="H841" s="372"/>
      <c r="I841" s="372"/>
      <c r="J841" s="372"/>
      <c r="K841" s="372"/>
      <c r="L841" s="372"/>
      <c r="M841" s="372"/>
      <c r="N841" s="372"/>
      <c r="O841" s="372"/>
      <c r="P841" s="372"/>
      <c r="Q841" s="372"/>
      <c r="R841" s="372"/>
      <c r="S841" s="372"/>
      <c r="T841" s="372"/>
      <c r="U841" s="372"/>
      <c r="V841" s="372"/>
      <c r="W841" s="372"/>
      <c r="X841" s="372"/>
      <c r="Y841" s="372"/>
      <c r="Z841" s="372"/>
    </row>
    <row r="842">
      <c r="A842" s="372"/>
      <c r="B842" s="372"/>
      <c r="C842" s="372"/>
      <c r="D842" s="372"/>
      <c r="E842" s="372"/>
      <c r="F842" s="372"/>
      <c r="G842" s="372"/>
      <c r="H842" s="372"/>
      <c r="I842" s="372"/>
      <c r="J842" s="372"/>
      <c r="K842" s="372"/>
      <c r="L842" s="372"/>
      <c r="M842" s="372"/>
      <c r="N842" s="372"/>
      <c r="O842" s="372"/>
      <c r="P842" s="372"/>
      <c r="Q842" s="372"/>
      <c r="R842" s="372"/>
      <c r="S842" s="372"/>
      <c r="T842" s="372"/>
      <c r="U842" s="372"/>
      <c r="V842" s="372"/>
      <c r="W842" s="372"/>
      <c r="X842" s="372"/>
      <c r="Y842" s="372"/>
      <c r="Z842" s="372"/>
    </row>
    <row r="843">
      <c r="A843" s="372"/>
      <c r="B843" s="372"/>
      <c r="C843" s="372"/>
      <c r="D843" s="372"/>
      <c r="E843" s="372"/>
      <c r="F843" s="372"/>
      <c r="G843" s="372"/>
      <c r="H843" s="372"/>
      <c r="I843" s="372"/>
      <c r="J843" s="372"/>
      <c r="K843" s="372"/>
      <c r="L843" s="372"/>
      <c r="M843" s="372"/>
      <c r="N843" s="372"/>
      <c r="O843" s="372"/>
      <c r="P843" s="372"/>
      <c r="Q843" s="372"/>
      <c r="R843" s="372"/>
      <c r="S843" s="372"/>
      <c r="T843" s="372"/>
      <c r="U843" s="372"/>
      <c r="V843" s="372"/>
      <c r="W843" s="372"/>
      <c r="X843" s="372"/>
      <c r="Y843" s="372"/>
      <c r="Z843" s="372"/>
    </row>
    <row r="844">
      <c r="A844" s="372"/>
      <c r="B844" s="372"/>
      <c r="C844" s="372"/>
      <c r="D844" s="372"/>
      <c r="E844" s="372"/>
      <c r="F844" s="372"/>
      <c r="G844" s="372"/>
      <c r="H844" s="372"/>
      <c r="I844" s="372"/>
      <c r="J844" s="372"/>
      <c r="K844" s="372"/>
      <c r="L844" s="372"/>
      <c r="M844" s="372"/>
      <c r="N844" s="372"/>
      <c r="O844" s="372"/>
      <c r="P844" s="372"/>
      <c r="Q844" s="372"/>
      <c r="R844" s="372"/>
      <c r="S844" s="372"/>
      <c r="T844" s="372"/>
      <c r="U844" s="372"/>
      <c r="V844" s="372"/>
      <c r="W844" s="372"/>
      <c r="X844" s="372"/>
      <c r="Y844" s="372"/>
      <c r="Z844" s="372"/>
    </row>
    <row r="845">
      <c r="A845" s="372"/>
      <c r="B845" s="372"/>
      <c r="C845" s="372"/>
      <c r="D845" s="372"/>
      <c r="E845" s="372"/>
      <c r="F845" s="372"/>
      <c r="G845" s="372"/>
      <c r="H845" s="372"/>
      <c r="I845" s="372"/>
      <c r="J845" s="372"/>
      <c r="K845" s="372"/>
      <c r="L845" s="372"/>
      <c r="M845" s="372"/>
      <c r="N845" s="372"/>
      <c r="O845" s="372"/>
      <c r="P845" s="372"/>
      <c r="Q845" s="372"/>
      <c r="R845" s="372"/>
      <c r="S845" s="372"/>
      <c r="T845" s="372"/>
      <c r="U845" s="372"/>
      <c r="V845" s="372"/>
      <c r="W845" s="372"/>
      <c r="X845" s="372"/>
      <c r="Y845" s="372"/>
      <c r="Z845" s="372"/>
    </row>
    <row r="846">
      <c r="A846" s="372"/>
      <c r="B846" s="372"/>
      <c r="C846" s="372"/>
      <c r="D846" s="372"/>
      <c r="E846" s="372"/>
      <c r="F846" s="372"/>
      <c r="G846" s="372"/>
      <c r="H846" s="372"/>
      <c r="I846" s="372"/>
      <c r="J846" s="372"/>
      <c r="K846" s="372"/>
      <c r="L846" s="372"/>
      <c r="M846" s="372"/>
      <c r="N846" s="372"/>
      <c r="O846" s="372"/>
      <c r="P846" s="372"/>
      <c r="Q846" s="372"/>
      <c r="R846" s="372"/>
      <c r="S846" s="372"/>
      <c r="T846" s="372"/>
      <c r="U846" s="372"/>
      <c r="V846" s="372"/>
      <c r="W846" s="372"/>
      <c r="X846" s="372"/>
      <c r="Y846" s="372"/>
      <c r="Z846" s="372"/>
    </row>
    <row r="847">
      <c r="A847" s="372"/>
      <c r="B847" s="372"/>
      <c r="C847" s="372"/>
      <c r="D847" s="372"/>
      <c r="E847" s="372"/>
      <c r="F847" s="372"/>
      <c r="G847" s="372"/>
      <c r="H847" s="372"/>
      <c r="I847" s="372"/>
      <c r="J847" s="372"/>
      <c r="K847" s="372"/>
      <c r="L847" s="372"/>
      <c r="M847" s="372"/>
      <c r="N847" s="372"/>
      <c r="O847" s="372"/>
      <c r="P847" s="372"/>
      <c r="Q847" s="372"/>
      <c r="R847" s="372"/>
      <c r="S847" s="372"/>
      <c r="T847" s="372"/>
      <c r="U847" s="372"/>
      <c r="V847" s="372"/>
      <c r="W847" s="372"/>
      <c r="X847" s="372"/>
      <c r="Y847" s="372"/>
      <c r="Z847" s="372"/>
    </row>
    <row r="848">
      <c r="A848" s="372"/>
      <c r="B848" s="372"/>
      <c r="C848" s="372"/>
      <c r="D848" s="372"/>
      <c r="E848" s="372"/>
      <c r="F848" s="372"/>
      <c r="G848" s="372"/>
      <c r="H848" s="372"/>
      <c r="I848" s="372"/>
      <c r="J848" s="372"/>
      <c r="K848" s="372"/>
      <c r="L848" s="372"/>
      <c r="M848" s="372"/>
      <c r="N848" s="372"/>
      <c r="O848" s="372"/>
      <c r="P848" s="372"/>
      <c r="Q848" s="372"/>
      <c r="R848" s="372"/>
      <c r="S848" s="372"/>
      <c r="T848" s="372"/>
      <c r="U848" s="372"/>
      <c r="V848" s="372"/>
      <c r="W848" s="372"/>
      <c r="X848" s="372"/>
      <c r="Y848" s="372"/>
      <c r="Z848" s="372"/>
    </row>
    <row r="849">
      <c r="A849" s="372"/>
      <c r="B849" s="372"/>
      <c r="C849" s="372"/>
      <c r="D849" s="372"/>
      <c r="E849" s="372"/>
      <c r="F849" s="372"/>
      <c r="G849" s="372"/>
      <c r="H849" s="372"/>
      <c r="I849" s="372"/>
      <c r="J849" s="372"/>
      <c r="K849" s="372"/>
      <c r="L849" s="372"/>
      <c r="M849" s="372"/>
      <c r="N849" s="372"/>
      <c r="O849" s="372"/>
      <c r="P849" s="372"/>
      <c r="Q849" s="372"/>
      <c r="R849" s="372"/>
      <c r="S849" s="372"/>
      <c r="T849" s="372"/>
      <c r="U849" s="372"/>
      <c r="V849" s="372"/>
      <c r="W849" s="372"/>
      <c r="X849" s="372"/>
      <c r="Y849" s="372"/>
      <c r="Z849" s="372"/>
    </row>
    <row r="850">
      <c r="A850" s="372"/>
      <c r="B850" s="372"/>
      <c r="C850" s="372"/>
      <c r="D850" s="372"/>
      <c r="E850" s="372"/>
      <c r="F850" s="372"/>
      <c r="G850" s="372"/>
      <c r="H850" s="372"/>
      <c r="I850" s="372"/>
      <c r="J850" s="372"/>
      <c r="K850" s="372"/>
      <c r="L850" s="372"/>
      <c r="M850" s="372"/>
      <c r="N850" s="372"/>
      <c r="O850" s="372"/>
      <c r="P850" s="372"/>
      <c r="Q850" s="372"/>
      <c r="R850" s="372"/>
      <c r="S850" s="372"/>
      <c r="T850" s="372"/>
      <c r="U850" s="372"/>
      <c r="V850" s="372"/>
      <c r="W850" s="372"/>
      <c r="X850" s="372"/>
      <c r="Y850" s="372"/>
      <c r="Z850" s="372"/>
    </row>
    <row r="851">
      <c r="A851" s="372"/>
      <c r="B851" s="372"/>
      <c r="C851" s="372"/>
      <c r="D851" s="372"/>
      <c r="E851" s="372"/>
      <c r="F851" s="372"/>
      <c r="G851" s="372"/>
      <c r="H851" s="372"/>
      <c r="I851" s="372"/>
      <c r="J851" s="372"/>
      <c r="K851" s="372"/>
      <c r="L851" s="372"/>
      <c r="M851" s="372"/>
      <c r="N851" s="372"/>
      <c r="O851" s="372"/>
      <c r="P851" s="372"/>
      <c r="Q851" s="372"/>
      <c r="R851" s="372"/>
      <c r="S851" s="372"/>
      <c r="T851" s="372"/>
      <c r="U851" s="372"/>
      <c r="V851" s="372"/>
      <c r="W851" s="372"/>
      <c r="X851" s="372"/>
      <c r="Y851" s="372"/>
      <c r="Z851" s="372"/>
    </row>
    <row r="852">
      <c r="A852" s="372"/>
      <c r="B852" s="372"/>
      <c r="C852" s="372"/>
      <c r="D852" s="372"/>
      <c r="E852" s="372"/>
      <c r="F852" s="372"/>
      <c r="G852" s="372"/>
      <c r="H852" s="372"/>
      <c r="I852" s="372"/>
      <c r="J852" s="372"/>
      <c r="K852" s="372"/>
      <c r="L852" s="372"/>
      <c r="M852" s="372"/>
      <c r="N852" s="372"/>
      <c r="O852" s="372"/>
      <c r="P852" s="372"/>
      <c r="Q852" s="372"/>
      <c r="R852" s="372"/>
      <c r="S852" s="372"/>
      <c r="T852" s="372"/>
      <c r="U852" s="372"/>
      <c r="V852" s="372"/>
      <c r="W852" s="372"/>
      <c r="X852" s="372"/>
      <c r="Y852" s="372"/>
      <c r="Z852" s="372"/>
    </row>
    <row r="853">
      <c r="A853" s="372"/>
      <c r="B853" s="372"/>
      <c r="C853" s="372"/>
      <c r="D853" s="372"/>
      <c r="E853" s="372"/>
      <c r="F853" s="372"/>
      <c r="G853" s="372"/>
      <c r="H853" s="372"/>
      <c r="I853" s="372"/>
      <c r="J853" s="372"/>
      <c r="K853" s="372"/>
      <c r="L853" s="372"/>
      <c r="M853" s="372"/>
      <c r="N853" s="372"/>
      <c r="O853" s="372"/>
      <c r="P853" s="372"/>
      <c r="Q853" s="372"/>
      <c r="R853" s="372"/>
      <c r="S853" s="372"/>
      <c r="T853" s="372"/>
      <c r="U853" s="372"/>
      <c r="V853" s="372"/>
      <c r="W853" s="372"/>
      <c r="X853" s="372"/>
      <c r="Y853" s="372"/>
      <c r="Z853" s="372"/>
    </row>
    <row r="854">
      <c r="A854" s="372"/>
      <c r="B854" s="372"/>
      <c r="C854" s="372"/>
      <c r="D854" s="372"/>
      <c r="E854" s="372"/>
      <c r="F854" s="372"/>
      <c r="G854" s="372"/>
      <c r="H854" s="372"/>
      <c r="I854" s="372"/>
      <c r="J854" s="372"/>
      <c r="K854" s="372"/>
      <c r="L854" s="372"/>
      <c r="M854" s="372"/>
      <c r="N854" s="372"/>
      <c r="O854" s="372"/>
      <c r="P854" s="372"/>
      <c r="Q854" s="372"/>
      <c r="R854" s="372"/>
      <c r="S854" s="372"/>
      <c r="T854" s="372"/>
      <c r="U854" s="372"/>
      <c r="V854" s="372"/>
      <c r="W854" s="372"/>
      <c r="X854" s="372"/>
      <c r="Y854" s="372"/>
      <c r="Z854" s="372"/>
    </row>
    <row r="855">
      <c r="A855" s="372"/>
      <c r="B855" s="372"/>
      <c r="C855" s="372"/>
      <c r="D855" s="372"/>
      <c r="E855" s="372"/>
      <c r="F855" s="372"/>
      <c r="G855" s="372"/>
      <c r="H855" s="372"/>
      <c r="I855" s="372"/>
      <c r="J855" s="372"/>
      <c r="K855" s="372"/>
      <c r="L855" s="372"/>
      <c r="M855" s="372"/>
      <c r="N855" s="372"/>
      <c r="O855" s="372"/>
      <c r="P855" s="372"/>
      <c r="Q855" s="372"/>
      <c r="R855" s="372"/>
      <c r="S855" s="372"/>
      <c r="T855" s="372"/>
      <c r="U855" s="372"/>
      <c r="V855" s="372"/>
      <c r="W855" s="372"/>
      <c r="X855" s="372"/>
      <c r="Y855" s="372"/>
      <c r="Z855" s="372"/>
    </row>
    <row r="856">
      <c r="A856" s="372"/>
      <c r="B856" s="372"/>
      <c r="C856" s="372"/>
      <c r="D856" s="372"/>
      <c r="E856" s="372"/>
      <c r="F856" s="372"/>
      <c r="G856" s="372"/>
      <c r="H856" s="372"/>
      <c r="I856" s="372"/>
      <c r="J856" s="372"/>
      <c r="K856" s="372"/>
      <c r="L856" s="372"/>
      <c r="M856" s="372"/>
      <c r="N856" s="372"/>
      <c r="O856" s="372"/>
      <c r="P856" s="372"/>
      <c r="Q856" s="372"/>
      <c r="R856" s="372"/>
      <c r="S856" s="372"/>
      <c r="T856" s="372"/>
      <c r="U856" s="372"/>
      <c r="V856" s="372"/>
      <c r="W856" s="372"/>
      <c r="X856" s="372"/>
      <c r="Y856" s="372"/>
      <c r="Z856" s="372"/>
    </row>
    <row r="857">
      <c r="A857" s="372"/>
      <c r="B857" s="372"/>
      <c r="C857" s="372"/>
      <c r="D857" s="372"/>
      <c r="E857" s="372"/>
      <c r="F857" s="372"/>
      <c r="G857" s="372"/>
      <c r="H857" s="372"/>
      <c r="I857" s="372"/>
      <c r="J857" s="372"/>
      <c r="K857" s="372"/>
      <c r="L857" s="372"/>
      <c r="M857" s="372"/>
      <c r="N857" s="372"/>
      <c r="O857" s="372"/>
      <c r="P857" s="372"/>
      <c r="Q857" s="372"/>
      <c r="R857" s="372"/>
      <c r="S857" s="372"/>
      <c r="T857" s="372"/>
      <c r="U857" s="372"/>
      <c r="V857" s="372"/>
      <c r="W857" s="372"/>
      <c r="X857" s="372"/>
      <c r="Y857" s="372"/>
      <c r="Z857" s="372"/>
    </row>
    <row r="858">
      <c r="A858" s="372"/>
      <c r="B858" s="372"/>
      <c r="C858" s="372"/>
      <c r="D858" s="372"/>
      <c r="E858" s="372"/>
      <c r="F858" s="372"/>
      <c r="G858" s="372"/>
      <c r="H858" s="372"/>
      <c r="I858" s="372"/>
      <c r="J858" s="372"/>
      <c r="K858" s="372"/>
      <c r="L858" s="372"/>
      <c r="M858" s="372"/>
      <c r="N858" s="372"/>
      <c r="O858" s="372"/>
      <c r="P858" s="372"/>
      <c r="Q858" s="372"/>
      <c r="R858" s="372"/>
      <c r="S858" s="372"/>
      <c r="T858" s="372"/>
      <c r="U858" s="372"/>
      <c r="V858" s="372"/>
      <c r="W858" s="372"/>
      <c r="X858" s="372"/>
      <c r="Y858" s="372"/>
      <c r="Z858" s="372"/>
    </row>
    <row r="859">
      <c r="A859" s="372"/>
      <c r="B859" s="372"/>
      <c r="C859" s="372"/>
      <c r="D859" s="372"/>
      <c r="E859" s="372"/>
      <c r="F859" s="372"/>
      <c r="G859" s="372"/>
      <c r="H859" s="372"/>
      <c r="I859" s="372"/>
      <c r="J859" s="372"/>
      <c r="K859" s="372"/>
      <c r="L859" s="372"/>
      <c r="M859" s="372"/>
      <c r="N859" s="372"/>
      <c r="O859" s="372"/>
      <c r="P859" s="372"/>
      <c r="Q859" s="372"/>
      <c r="R859" s="372"/>
      <c r="S859" s="372"/>
      <c r="T859" s="372"/>
      <c r="U859" s="372"/>
      <c r="V859" s="372"/>
      <c r="W859" s="372"/>
      <c r="X859" s="372"/>
      <c r="Y859" s="372"/>
      <c r="Z859" s="372"/>
    </row>
    <row r="860">
      <c r="A860" s="372"/>
      <c r="B860" s="372"/>
      <c r="C860" s="372"/>
      <c r="D860" s="372"/>
      <c r="E860" s="372"/>
      <c r="F860" s="372"/>
      <c r="G860" s="372"/>
      <c r="H860" s="372"/>
      <c r="I860" s="372"/>
      <c r="J860" s="372"/>
      <c r="K860" s="372"/>
      <c r="L860" s="372"/>
      <c r="M860" s="372"/>
      <c r="N860" s="372"/>
      <c r="O860" s="372"/>
      <c r="P860" s="372"/>
      <c r="Q860" s="372"/>
      <c r="R860" s="372"/>
      <c r="S860" s="372"/>
      <c r="T860" s="372"/>
      <c r="U860" s="372"/>
      <c r="V860" s="372"/>
      <c r="W860" s="372"/>
      <c r="X860" s="372"/>
      <c r="Y860" s="372"/>
      <c r="Z860" s="372"/>
    </row>
    <row r="861">
      <c r="A861" s="372"/>
      <c r="B861" s="372"/>
      <c r="C861" s="372"/>
      <c r="D861" s="372"/>
      <c r="E861" s="372"/>
      <c r="F861" s="372"/>
      <c r="G861" s="372"/>
      <c r="H861" s="372"/>
      <c r="I861" s="372"/>
      <c r="J861" s="372"/>
      <c r="K861" s="372"/>
      <c r="L861" s="372"/>
      <c r="M861" s="372"/>
      <c r="N861" s="372"/>
      <c r="O861" s="372"/>
      <c r="P861" s="372"/>
      <c r="Q861" s="372"/>
      <c r="R861" s="372"/>
      <c r="S861" s="372"/>
      <c r="T861" s="372"/>
      <c r="U861" s="372"/>
      <c r="V861" s="372"/>
      <c r="W861" s="372"/>
      <c r="X861" s="372"/>
      <c r="Y861" s="372"/>
      <c r="Z861" s="372"/>
    </row>
    <row r="862">
      <c r="A862" s="372"/>
      <c r="B862" s="372"/>
      <c r="C862" s="372"/>
      <c r="D862" s="372"/>
      <c r="E862" s="372"/>
      <c r="F862" s="372"/>
      <c r="G862" s="372"/>
      <c r="H862" s="372"/>
      <c r="I862" s="372"/>
      <c r="J862" s="372"/>
      <c r="K862" s="372"/>
      <c r="L862" s="372"/>
      <c r="M862" s="372"/>
      <c r="N862" s="372"/>
      <c r="O862" s="372"/>
      <c r="P862" s="372"/>
      <c r="Q862" s="372"/>
      <c r="R862" s="372"/>
      <c r="S862" s="372"/>
      <c r="T862" s="372"/>
      <c r="U862" s="372"/>
      <c r="V862" s="372"/>
      <c r="W862" s="372"/>
      <c r="X862" s="372"/>
      <c r="Y862" s="372"/>
      <c r="Z862" s="372"/>
    </row>
    <row r="863">
      <c r="A863" s="372"/>
      <c r="B863" s="372"/>
      <c r="C863" s="372"/>
      <c r="D863" s="372"/>
      <c r="E863" s="372"/>
      <c r="F863" s="372"/>
      <c r="G863" s="372"/>
      <c r="H863" s="372"/>
      <c r="I863" s="372"/>
      <c r="J863" s="372"/>
      <c r="K863" s="372"/>
      <c r="L863" s="372"/>
      <c r="M863" s="372"/>
      <c r="N863" s="372"/>
      <c r="O863" s="372"/>
      <c r="P863" s="372"/>
      <c r="Q863" s="372"/>
      <c r="R863" s="372"/>
      <c r="S863" s="372"/>
      <c r="T863" s="372"/>
      <c r="U863" s="372"/>
      <c r="V863" s="372"/>
      <c r="W863" s="372"/>
      <c r="X863" s="372"/>
      <c r="Y863" s="372"/>
      <c r="Z863" s="372"/>
    </row>
    <row r="864">
      <c r="A864" s="372"/>
      <c r="B864" s="372"/>
      <c r="C864" s="372"/>
      <c r="D864" s="372"/>
      <c r="E864" s="372"/>
      <c r="F864" s="372"/>
      <c r="G864" s="372"/>
      <c r="H864" s="372"/>
      <c r="I864" s="372"/>
      <c r="J864" s="372"/>
      <c r="K864" s="372"/>
      <c r="L864" s="372"/>
      <c r="M864" s="372"/>
      <c r="N864" s="372"/>
      <c r="O864" s="372"/>
      <c r="P864" s="372"/>
      <c r="Q864" s="372"/>
      <c r="R864" s="372"/>
      <c r="S864" s="372"/>
      <c r="T864" s="372"/>
      <c r="U864" s="372"/>
      <c r="V864" s="372"/>
      <c r="W864" s="372"/>
      <c r="X864" s="372"/>
      <c r="Y864" s="372"/>
      <c r="Z864" s="372"/>
    </row>
    <row r="865">
      <c r="A865" s="372"/>
      <c r="B865" s="372"/>
      <c r="C865" s="372"/>
      <c r="D865" s="372"/>
      <c r="E865" s="372"/>
      <c r="F865" s="372"/>
      <c r="G865" s="372"/>
      <c r="H865" s="372"/>
      <c r="I865" s="372"/>
      <c r="J865" s="372"/>
      <c r="K865" s="372"/>
      <c r="L865" s="372"/>
      <c r="M865" s="372"/>
      <c r="N865" s="372"/>
      <c r="O865" s="372"/>
      <c r="P865" s="372"/>
      <c r="Q865" s="372"/>
      <c r="R865" s="372"/>
      <c r="S865" s="372"/>
      <c r="T865" s="372"/>
      <c r="U865" s="372"/>
      <c r="V865" s="372"/>
      <c r="W865" s="372"/>
      <c r="X865" s="372"/>
      <c r="Y865" s="372"/>
      <c r="Z865" s="372"/>
    </row>
    <row r="866">
      <c r="A866" s="372"/>
      <c r="B866" s="372"/>
      <c r="C866" s="372"/>
      <c r="D866" s="372"/>
      <c r="E866" s="372"/>
      <c r="F866" s="372"/>
      <c r="G866" s="372"/>
      <c r="H866" s="372"/>
      <c r="I866" s="372"/>
      <c r="J866" s="372"/>
      <c r="K866" s="372"/>
      <c r="L866" s="372"/>
      <c r="M866" s="372"/>
      <c r="N866" s="372"/>
      <c r="O866" s="372"/>
      <c r="P866" s="372"/>
      <c r="Q866" s="372"/>
      <c r="R866" s="372"/>
      <c r="S866" s="372"/>
      <c r="T866" s="372"/>
      <c r="U866" s="372"/>
      <c r="V866" s="372"/>
      <c r="W866" s="372"/>
      <c r="X866" s="372"/>
      <c r="Y866" s="372"/>
      <c r="Z866" s="372"/>
    </row>
    <row r="867">
      <c r="A867" s="372"/>
      <c r="B867" s="372"/>
      <c r="C867" s="372"/>
      <c r="D867" s="372"/>
      <c r="E867" s="372"/>
      <c r="F867" s="372"/>
      <c r="G867" s="372"/>
      <c r="H867" s="372"/>
      <c r="I867" s="372"/>
      <c r="J867" s="372"/>
      <c r="K867" s="372"/>
      <c r="L867" s="372"/>
      <c r="M867" s="372"/>
      <c r="N867" s="372"/>
      <c r="O867" s="372"/>
      <c r="P867" s="372"/>
      <c r="Q867" s="372"/>
      <c r="R867" s="372"/>
      <c r="S867" s="372"/>
      <c r="T867" s="372"/>
      <c r="U867" s="372"/>
      <c r="V867" s="372"/>
      <c r="W867" s="372"/>
      <c r="X867" s="372"/>
      <c r="Y867" s="372"/>
      <c r="Z867" s="372"/>
    </row>
    <row r="868">
      <c r="A868" s="372"/>
      <c r="B868" s="372"/>
      <c r="C868" s="372"/>
      <c r="D868" s="372"/>
      <c r="E868" s="372"/>
      <c r="F868" s="372"/>
      <c r="G868" s="372"/>
      <c r="H868" s="372"/>
      <c r="I868" s="372"/>
      <c r="J868" s="372"/>
      <c r="K868" s="372"/>
      <c r="L868" s="372"/>
      <c r="M868" s="372"/>
      <c r="N868" s="372"/>
      <c r="O868" s="372"/>
      <c r="P868" s="372"/>
      <c r="Q868" s="372"/>
      <c r="R868" s="372"/>
      <c r="S868" s="372"/>
      <c r="T868" s="372"/>
      <c r="U868" s="372"/>
      <c r="V868" s="372"/>
      <c r="W868" s="372"/>
      <c r="X868" s="372"/>
      <c r="Y868" s="372"/>
      <c r="Z868" s="372"/>
    </row>
    <row r="869">
      <c r="A869" s="372"/>
      <c r="B869" s="372"/>
      <c r="C869" s="372"/>
      <c r="D869" s="372"/>
      <c r="E869" s="372"/>
      <c r="F869" s="372"/>
      <c r="G869" s="372"/>
      <c r="H869" s="372"/>
      <c r="I869" s="372"/>
      <c r="J869" s="372"/>
      <c r="K869" s="372"/>
      <c r="L869" s="372"/>
      <c r="M869" s="372"/>
      <c r="N869" s="372"/>
      <c r="O869" s="372"/>
      <c r="P869" s="372"/>
      <c r="Q869" s="372"/>
      <c r="R869" s="372"/>
      <c r="S869" s="372"/>
      <c r="T869" s="372"/>
      <c r="U869" s="372"/>
      <c r="V869" s="372"/>
      <c r="W869" s="372"/>
      <c r="X869" s="372"/>
      <c r="Y869" s="372"/>
      <c r="Z869" s="372"/>
    </row>
    <row r="870">
      <c r="A870" s="372"/>
      <c r="B870" s="372"/>
      <c r="C870" s="372"/>
      <c r="D870" s="372"/>
      <c r="E870" s="372"/>
      <c r="F870" s="372"/>
      <c r="G870" s="372"/>
      <c r="H870" s="372"/>
      <c r="I870" s="372"/>
      <c r="J870" s="372"/>
      <c r="K870" s="372"/>
      <c r="L870" s="372"/>
      <c r="M870" s="372"/>
      <c r="N870" s="372"/>
      <c r="O870" s="372"/>
      <c r="P870" s="372"/>
      <c r="Q870" s="372"/>
      <c r="R870" s="372"/>
      <c r="S870" s="372"/>
      <c r="T870" s="372"/>
      <c r="U870" s="372"/>
      <c r="V870" s="372"/>
      <c r="W870" s="372"/>
      <c r="X870" s="372"/>
      <c r="Y870" s="372"/>
      <c r="Z870" s="372"/>
    </row>
    <row r="871">
      <c r="A871" s="372"/>
      <c r="B871" s="372"/>
      <c r="C871" s="372"/>
      <c r="D871" s="372"/>
      <c r="E871" s="372"/>
      <c r="F871" s="372"/>
      <c r="G871" s="372"/>
      <c r="H871" s="372"/>
      <c r="I871" s="372"/>
      <c r="J871" s="372"/>
      <c r="K871" s="372"/>
      <c r="L871" s="372"/>
      <c r="M871" s="372"/>
      <c r="N871" s="372"/>
      <c r="O871" s="372"/>
      <c r="P871" s="372"/>
      <c r="Q871" s="372"/>
      <c r="R871" s="372"/>
      <c r="S871" s="372"/>
      <c r="T871" s="372"/>
      <c r="U871" s="372"/>
      <c r="V871" s="372"/>
      <c r="W871" s="372"/>
      <c r="X871" s="372"/>
      <c r="Y871" s="372"/>
      <c r="Z871" s="372"/>
    </row>
    <row r="872">
      <c r="A872" s="372"/>
      <c r="B872" s="372"/>
      <c r="C872" s="372"/>
      <c r="D872" s="372"/>
      <c r="E872" s="372"/>
      <c r="F872" s="372"/>
      <c r="G872" s="372"/>
      <c r="H872" s="372"/>
      <c r="I872" s="372"/>
      <c r="J872" s="372"/>
      <c r="K872" s="372"/>
      <c r="L872" s="372"/>
      <c r="M872" s="372"/>
      <c r="N872" s="372"/>
      <c r="O872" s="372"/>
      <c r="P872" s="372"/>
      <c r="Q872" s="372"/>
      <c r="R872" s="372"/>
      <c r="S872" s="372"/>
      <c r="T872" s="372"/>
      <c r="U872" s="372"/>
      <c r="V872" s="372"/>
      <c r="W872" s="372"/>
      <c r="X872" s="372"/>
      <c r="Y872" s="372"/>
      <c r="Z872" s="372"/>
    </row>
    <row r="873">
      <c r="A873" s="372"/>
      <c r="B873" s="372"/>
      <c r="C873" s="372"/>
      <c r="D873" s="372"/>
      <c r="E873" s="372"/>
      <c r="F873" s="372"/>
      <c r="G873" s="372"/>
      <c r="H873" s="372"/>
      <c r="I873" s="372"/>
      <c r="J873" s="372"/>
      <c r="K873" s="372"/>
      <c r="L873" s="372"/>
      <c r="M873" s="372"/>
      <c r="N873" s="372"/>
      <c r="O873" s="372"/>
      <c r="P873" s="372"/>
      <c r="Q873" s="372"/>
      <c r="R873" s="372"/>
      <c r="S873" s="372"/>
      <c r="T873" s="372"/>
      <c r="U873" s="372"/>
      <c r="V873" s="372"/>
      <c r="W873" s="372"/>
      <c r="X873" s="372"/>
      <c r="Y873" s="372"/>
      <c r="Z873" s="372"/>
    </row>
    <row r="874">
      <c r="A874" s="372"/>
      <c r="B874" s="372"/>
      <c r="C874" s="372"/>
      <c r="D874" s="372"/>
      <c r="E874" s="372"/>
      <c r="F874" s="372"/>
      <c r="G874" s="372"/>
      <c r="H874" s="372"/>
      <c r="I874" s="372"/>
      <c r="J874" s="372"/>
      <c r="K874" s="372"/>
      <c r="L874" s="372"/>
      <c r="M874" s="372"/>
      <c r="N874" s="372"/>
      <c r="O874" s="372"/>
      <c r="P874" s="372"/>
      <c r="Q874" s="372"/>
      <c r="R874" s="372"/>
      <c r="S874" s="372"/>
      <c r="T874" s="372"/>
      <c r="U874" s="372"/>
      <c r="V874" s="372"/>
      <c r="W874" s="372"/>
      <c r="X874" s="372"/>
      <c r="Y874" s="372"/>
      <c r="Z874" s="372"/>
    </row>
    <row r="875">
      <c r="A875" s="372"/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  <c r="T875" s="372"/>
      <c r="U875" s="372"/>
      <c r="V875" s="372"/>
      <c r="W875" s="372"/>
      <c r="X875" s="372"/>
      <c r="Y875" s="372"/>
      <c r="Z875" s="372"/>
    </row>
    <row r="876">
      <c r="A876" s="372"/>
      <c r="B876" s="372"/>
      <c r="C876" s="372"/>
      <c r="D876" s="372"/>
      <c r="E876" s="372"/>
      <c r="F876" s="372"/>
      <c r="G876" s="372"/>
      <c r="H876" s="372"/>
      <c r="I876" s="372"/>
      <c r="J876" s="372"/>
      <c r="K876" s="372"/>
      <c r="L876" s="372"/>
      <c r="M876" s="372"/>
      <c r="N876" s="372"/>
      <c r="O876" s="372"/>
      <c r="P876" s="372"/>
      <c r="Q876" s="372"/>
      <c r="R876" s="372"/>
      <c r="S876" s="372"/>
      <c r="T876" s="372"/>
      <c r="U876" s="372"/>
      <c r="V876" s="372"/>
      <c r="W876" s="372"/>
      <c r="X876" s="372"/>
      <c r="Y876" s="372"/>
      <c r="Z876" s="372"/>
    </row>
    <row r="877">
      <c r="A877" s="372"/>
      <c r="B877" s="372"/>
      <c r="C877" s="372"/>
      <c r="D877" s="372"/>
      <c r="E877" s="372"/>
      <c r="F877" s="372"/>
      <c r="G877" s="372"/>
      <c r="H877" s="372"/>
      <c r="I877" s="372"/>
      <c r="J877" s="372"/>
      <c r="K877" s="372"/>
      <c r="L877" s="372"/>
      <c r="M877" s="372"/>
      <c r="N877" s="372"/>
      <c r="O877" s="372"/>
      <c r="P877" s="372"/>
      <c r="Q877" s="372"/>
      <c r="R877" s="372"/>
      <c r="S877" s="372"/>
      <c r="T877" s="372"/>
      <c r="U877" s="372"/>
      <c r="V877" s="372"/>
      <c r="W877" s="372"/>
      <c r="X877" s="372"/>
      <c r="Y877" s="372"/>
      <c r="Z877" s="372"/>
    </row>
    <row r="878">
      <c r="A878" s="372"/>
      <c r="B878" s="372"/>
      <c r="C878" s="372"/>
      <c r="D878" s="372"/>
      <c r="E878" s="372"/>
      <c r="F878" s="372"/>
      <c r="G878" s="372"/>
      <c r="H878" s="372"/>
      <c r="I878" s="372"/>
      <c r="J878" s="372"/>
      <c r="K878" s="372"/>
      <c r="L878" s="372"/>
      <c r="M878" s="372"/>
      <c r="N878" s="372"/>
      <c r="O878" s="372"/>
      <c r="P878" s="372"/>
      <c r="Q878" s="372"/>
      <c r="R878" s="372"/>
      <c r="S878" s="372"/>
      <c r="T878" s="372"/>
      <c r="U878" s="372"/>
      <c r="V878" s="372"/>
      <c r="W878" s="372"/>
      <c r="X878" s="372"/>
      <c r="Y878" s="372"/>
      <c r="Z878" s="372"/>
    </row>
    <row r="879">
      <c r="A879" s="372"/>
      <c r="B879" s="372"/>
      <c r="C879" s="372"/>
      <c r="D879" s="372"/>
      <c r="E879" s="372"/>
      <c r="F879" s="372"/>
      <c r="G879" s="372"/>
      <c r="H879" s="372"/>
      <c r="I879" s="372"/>
      <c r="J879" s="372"/>
      <c r="K879" s="372"/>
      <c r="L879" s="372"/>
      <c r="M879" s="372"/>
      <c r="N879" s="372"/>
      <c r="O879" s="372"/>
      <c r="P879" s="372"/>
      <c r="Q879" s="372"/>
      <c r="R879" s="372"/>
      <c r="S879" s="372"/>
      <c r="T879" s="372"/>
      <c r="U879" s="372"/>
      <c r="V879" s="372"/>
      <c r="W879" s="372"/>
      <c r="X879" s="372"/>
      <c r="Y879" s="372"/>
      <c r="Z879" s="372"/>
    </row>
    <row r="880">
      <c r="A880" s="372"/>
      <c r="B880" s="372"/>
      <c r="C880" s="372"/>
      <c r="D880" s="372"/>
      <c r="E880" s="372"/>
      <c r="F880" s="372"/>
      <c r="G880" s="372"/>
      <c r="H880" s="372"/>
      <c r="I880" s="372"/>
      <c r="J880" s="372"/>
      <c r="K880" s="372"/>
      <c r="L880" s="372"/>
      <c r="M880" s="372"/>
      <c r="N880" s="372"/>
      <c r="O880" s="372"/>
      <c r="P880" s="372"/>
      <c r="Q880" s="372"/>
      <c r="R880" s="372"/>
      <c r="S880" s="372"/>
      <c r="T880" s="372"/>
      <c r="U880" s="372"/>
      <c r="V880" s="372"/>
      <c r="W880" s="372"/>
      <c r="X880" s="372"/>
      <c r="Y880" s="372"/>
      <c r="Z880" s="372"/>
    </row>
    <row r="881">
      <c r="A881" s="372"/>
      <c r="B881" s="372"/>
      <c r="C881" s="372"/>
      <c r="D881" s="372"/>
      <c r="E881" s="372"/>
      <c r="F881" s="372"/>
      <c r="G881" s="372"/>
      <c r="H881" s="372"/>
      <c r="I881" s="372"/>
      <c r="J881" s="372"/>
      <c r="K881" s="372"/>
      <c r="L881" s="372"/>
      <c r="M881" s="372"/>
      <c r="N881" s="372"/>
      <c r="O881" s="372"/>
      <c r="P881" s="372"/>
      <c r="Q881" s="372"/>
      <c r="R881" s="372"/>
      <c r="S881" s="372"/>
      <c r="T881" s="372"/>
      <c r="U881" s="372"/>
      <c r="V881" s="372"/>
      <c r="W881" s="372"/>
      <c r="X881" s="372"/>
      <c r="Y881" s="372"/>
      <c r="Z881" s="372"/>
    </row>
    <row r="882">
      <c r="A882" s="372"/>
      <c r="B882" s="372"/>
      <c r="C882" s="372"/>
      <c r="D882" s="372"/>
      <c r="E882" s="372"/>
      <c r="F882" s="372"/>
      <c r="G882" s="372"/>
      <c r="H882" s="372"/>
      <c r="I882" s="372"/>
      <c r="J882" s="372"/>
      <c r="K882" s="372"/>
      <c r="L882" s="372"/>
      <c r="M882" s="372"/>
      <c r="N882" s="372"/>
      <c r="O882" s="372"/>
      <c r="P882" s="372"/>
      <c r="Q882" s="372"/>
      <c r="R882" s="372"/>
      <c r="S882" s="372"/>
      <c r="T882" s="372"/>
      <c r="U882" s="372"/>
      <c r="V882" s="372"/>
      <c r="W882" s="372"/>
      <c r="X882" s="372"/>
      <c r="Y882" s="372"/>
      <c r="Z882" s="372"/>
    </row>
    <row r="883">
      <c r="A883" s="372"/>
      <c r="B883" s="372"/>
      <c r="C883" s="372"/>
      <c r="D883" s="372"/>
      <c r="E883" s="372"/>
      <c r="F883" s="372"/>
      <c r="G883" s="372"/>
      <c r="H883" s="372"/>
      <c r="I883" s="372"/>
      <c r="J883" s="372"/>
      <c r="K883" s="372"/>
      <c r="L883" s="372"/>
      <c r="M883" s="372"/>
      <c r="N883" s="372"/>
      <c r="O883" s="372"/>
      <c r="P883" s="372"/>
      <c r="Q883" s="372"/>
      <c r="R883" s="372"/>
      <c r="S883" s="372"/>
      <c r="T883" s="372"/>
      <c r="U883" s="372"/>
      <c r="V883" s="372"/>
      <c r="W883" s="372"/>
      <c r="X883" s="372"/>
      <c r="Y883" s="372"/>
      <c r="Z883" s="372"/>
    </row>
    <row r="884">
      <c r="A884" s="372"/>
      <c r="B884" s="372"/>
      <c r="C884" s="372"/>
      <c r="D884" s="372"/>
      <c r="E884" s="372"/>
      <c r="F884" s="372"/>
      <c r="G884" s="372"/>
      <c r="H884" s="372"/>
      <c r="I884" s="372"/>
      <c r="J884" s="372"/>
      <c r="K884" s="372"/>
      <c r="L884" s="372"/>
      <c r="M884" s="372"/>
      <c r="N884" s="372"/>
      <c r="O884" s="372"/>
      <c r="P884" s="372"/>
      <c r="Q884" s="372"/>
      <c r="R884" s="372"/>
      <c r="S884" s="372"/>
      <c r="T884" s="372"/>
      <c r="U884" s="372"/>
      <c r="V884" s="372"/>
      <c r="W884" s="372"/>
      <c r="X884" s="372"/>
      <c r="Y884" s="372"/>
      <c r="Z884" s="372"/>
    </row>
    <row r="885">
      <c r="A885" s="372"/>
      <c r="B885" s="372"/>
      <c r="C885" s="372"/>
      <c r="D885" s="372"/>
      <c r="E885" s="372"/>
      <c r="F885" s="372"/>
      <c r="G885" s="372"/>
      <c r="H885" s="372"/>
      <c r="I885" s="372"/>
      <c r="J885" s="372"/>
      <c r="K885" s="372"/>
      <c r="L885" s="372"/>
      <c r="M885" s="372"/>
      <c r="N885" s="372"/>
      <c r="O885" s="372"/>
      <c r="P885" s="372"/>
      <c r="Q885" s="372"/>
      <c r="R885" s="372"/>
      <c r="S885" s="372"/>
      <c r="T885" s="372"/>
      <c r="U885" s="372"/>
      <c r="V885" s="372"/>
      <c r="W885" s="372"/>
      <c r="X885" s="372"/>
      <c r="Y885" s="372"/>
      <c r="Z885" s="372"/>
    </row>
    <row r="886">
      <c r="A886" s="372"/>
      <c r="B886" s="372"/>
      <c r="C886" s="372"/>
      <c r="D886" s="372"/>
      <c r="E886" s="372"/>
      <c r="F886" s="372"/>
      <c r="G886" s="372"/>
      <c r="H886" s="372"/>
      <c r="I886" s="372"/>
      <c r="J886" s="372"/>
      <c r="K886" s="372"/>
      <c r="L886" s="372"/>
      <c r="M886" s="372"/>
      <c r="N886" s="372"/>
      <c r="O886" s="372"/>
      <c r="P886" s="372"/>
      <c r="Q886" s="372"/>
      <c r="R886" s="372"/>
      <c r="S886" s="372"/>
      <c r="T886" s="372"/>
      <c r="U886" s="372"/>
      <c r="V886" s="372"/>
      <c r="W886" s="372"/>
      <c r="X886" s="372"/>
      <c r="Y886" s="372"/>
      <c r="Z886" s="372"/>
    </row>
    <row r="887">
      <c r="A887" s="372"/>
      <c r="B887" s="372"/>
      <c r="C887" s="372"/>
      <c r="D887" s="372"/>
      <c r="E887" s="372"/>
      <c r="F887" s="372"/>
      <c r="G887" s="372"/>
      <c r="H887" s="372"/>
      <c r="I887" s="372"/>
      <c r="J887" s="372"/>
      <c r="K887" s="372"/>
      <c r="L887" s="372"/>
      <c r="M887" s="372"/>
      <c r="N887" s="372"/>
      <c r="O887" s="372"/>
      <c r="P887" s="372"/>
      <c r="Q887" s="372"/>
      <c r="R887" s="372"/>
      <c r="S887" s="372"/>
      <c r="T887" s="372"/>
      <c r="U887" s="372"/>
      <c r="V887" s="372"/>
      <c r="W887" s="372"/>
      <c r="X887" s="372"/>
      <c r="Y887" s="372"/>
      <c r="Z887" s="372"/>
    </row>
    <row r="888">
      <c r="A888" s="372"/>
      <c r="B888" s="372"/>
      <c r="C888" s="372"/>
      <c r="D888" s="372"/>
      <c r="E888" s="372"/>
      <c r="F888" s="372"/>
      <c r="G888" s="372"/>
      <c r="H888" s="372"/>
      <c r="I888" s="372"/>
      <c r="J888" s="372"/>
      <c r="K888" s="372"/>
      <c r="L888" s="372"/>
      <c r="M888" s="372"/>
      <c r="N888" s="372"/>
      <c r="O888" s="372"/>
      <c r="P888" s="372"/>
      <c r="Q888" s="372"/>
      <c r="R888" s="372"/>
      <c r="S888" s="372"/>
      <c r="T888" s="372"/>
      <c r="U888" s="372"/>
      <c r="V888" s="372"/>
      <c r="W888" s="372"/>
      <c r="X888" s="372"/>
      <c r="Y888" s="372"/>
      <c r="Z888" s="372"/>
    </row>
    <row r="889">
      <c r="A889" s="372"/>
      <c r="B889" s="372"/>
      <c r="C889" s="372"/>
      <c r="D889" s="372"/>
      <c r="E889" s="372"/>
      <c r="F889" s="372"/>
      <c r="G889" s="372"/>
      <c r="H889" s="372"/>
      <c r="I889" s="372"/>
      <c r="J889" s="372"/>
      <c r="K889" s="372"/>
      <c r="L889" s="372"/>
      <c r="M889" s="372"/>
      <c r="N889" s="372"/>
      <c r="O889" s="372"/>
      <c r="P889" s="372"/>
      <c r="Q889" s="372"/>
      <c r="R889" s="372"/>
      <c r="S889" s="372"/>
      <c r="T889" s="372"/>
      <c r="U889" s="372"/>
      <c r="V889" s="372"/>
      <c r="W889" s="372"/>
      <c r="X889" s="372"/>
      <c r="Y889" s="372"/>
      <c r="Z889" s="372"/>
    </row>
    <row r="890">
      <c r="A890" s="372"/>
      <c r="B890" s="372"/>
      <c r="C890" s="372"/>
      <c r="D890" s="372"/>
      <c r="E890" s="372"/>
      <c r="F890" s="372"/>
      <c r="G890" s="372"/>
      <c r="H890" s="372"/>
      <c r="I890" s="372"/>
      <c r="J890" s="372"/>
      <c r="K890" s="372"/>
      <c r="L890" s="372"/>
      <c r="M890" s="372"/>
      <c r="N890" s="372"/>
      <c r="O890" s="372"/>
      <c r="P890" s="372"/>
      <c r="Q890" s="372"/>
      <c r="R890" s="372"/>
      <c r="S890" s="372"/>
      <c r="T890" s="372"/>
      <c r="U890" s="372"/>
      <c r="V890" s="372"/>
      <c r="W890" s="372"/>
      <c r="X890" s="372"/>
      <c r="Y890" s="372"/>
      <c r="Z890" s="372"/>
    </row>
    <row r="891">
      <c r="A891" s="372"/>
      <c r="B891" s="372"/>
      <c r="C891" s="372"/>
      <c r="D891" s="372"/>
      <c r="E891" s="372"/>
      <c r="F891" s="372"/>
      <c r="G891" s="372"/>
      <c r="H891" s="372"/>
      <c r="I891" s="372"/>
      <c r="J891" s="372"/>
      <c r="K891" s="372"/>
      <c r="L891" s="372"/>
      <c r="M891" s="372"/>
      <c r="N891" s="372"/>
      <c r="O891" s="372"/>
      <c r="P891" s="372"/>
      <c r="Q891" s="372"/>
      <c r="R891" s="372"/>
      <c r="S891" s="372"/>
      <c r="T891" s="372"/>
      <c r="U891" s="372"/>
      <c r="V891" s="372"/>
      <c r="W891" s="372"/>
      <c r="X891" s="372"/>
      <c r="Y891" s="372"/>
      <c r="Z891" s="372"/>
    </row>
    <row r="892">
      <c r="A892" s="372"/>
      <c r="B892" s="372"/>
      <c r="C892" s="372"/>
      <c r="D892" s="372"/>
      <c r="E892" s="372"/>
      <c r="F892" s="372"/>
      <c r="G892" s="372"/>
      <c r="H892" s="372"/>
      <c r="I892" s="372"/>
      <c r="J892" s="372"/>
      <c r="K892" s="372"/>
      <c r="L892" s="372"/>
      <c r="M892" s="372"/>
      <c r="N892" s="372"/>
      <c r="O892" s="372"/>
      <c r="P892" s="372"/>
      <c r="Q892" s="372"/>
      <c r="R892" s="372"/>
      <c r="S892" s="372"/>
      <c r="T892" s="372"/>
      <c r="U892" s="372"/>
      <c r="V892" s="372"/>
      <c r="W892" s="372"/>
      <c r="X892" s="372"/>
      <c r="Y892" s="372"/>
      <c r="Z892" s="372"/>
    </row>
    <row r="893">
      <c r="A893" s="372"/>
      <c r="B893" s="372"/>
      <c r="C893" s="372"/>
      <c r="D893" s="372"/>
      <c r="E893" s="372"/>
      <c r="F893" s="372"/>
      <c r="G893" s="372"/>
      <c r="H893" s="372"/>
      <c r="I893" s="372"/>
      <c r="J893" s="372"/>
      <c r="K893" s="372"/>
      <c r="L893" s="372"/>
      <c r="M893" s="372"/>
      <c r="N893" s="372"/>
      <c r="O893" s="372"/>
      <c r="P893" s="372"/>
      <c r="Q893" s="372"/>
      <c r="R893" s="372"/>
      <c r="S893" s="372"/>
      <c r="T893" s="372"/>
      <c r="U893" s="372"/>
      <c r="V893" s="372"/>
      <c r="W893" s="372"/>
      <c r="X893" s="372"/>
      <c r="Y893" s="372"/>
      <c r="Z893" s="372"/>
    </row>
    <row r="894">
      <c r="A894" s="372"/>
      <c r="B894" s="372"/>
      <c r="C894" s="372"/>
      <c r="D894" s="372"/>
      <c r="E894" s="372"/>
      <c r="F894" s="372"/>
      <c r="G894" s="372"/>
      <c r="H894" s="372"/>
      <c r="I894" s="372"/>
      <c r="J894" s="372"/>
      <c r="K894" s="372"/>
      <c r="L894" s="372"/>
      <c r="M894" s="372"/>
      <c r="N894" s="372"/>
      <c r="O894" s="372"/>
      <c r="P894" s="372"/>
      <c r="Q894" s="372"/>
      <c r="R894" s="372"/>
      <c r="S894" s="372"/>
      <c r="T894" s="372"/>
      <c r="U894" s="372"/>
      <c r="V894" s="372"/>
      <c r="W894" s="372"/>
      <c r="X894" s="372"/>
      <c r="Y894" s="372"/>
      <c r="Z894" s="372"/>
    </row>
    <row r="895">
      <c r="A895" s="372"/>
      <c r="B895" s="372"/>
      <c r="C895" s="372"/>
      <c r="D895" s="372"/>
      <c r="E895" s="372"/>
      <c r="F895" s="372"/>
      <c r="G895" s="372"/>
      <c r="H895" s="372"/>
      <c r="I895" s="372"/>
      <c r="J895" s="372"/>
      <c r="K895" s="372"/>
      <c r="L895" s="372"/>
      <c r="M895" s="372"/>
      <c r="N895" s="372"/>
      <c r="O895" s="372"/>
      <c r="P895" s="372"/>
      <c r="Q895" s="372"/>
      <c r="R895" s="372"/>
      <c r="S895" s="372"/>
      <c r="T895" s="372"/>
      <c r="U895" s="372"/>
      <c r="V895" s="372"/>
      <c r="W895" s="372"/>
      <c r="X895" s="372"/>
      <c r="Y895" s="372"/>
      <c r="Z895" s="372"/>
    </row>
    <row r="896">
      <c r="A896" s="372"/>
      <c r="B896" s="372"/>
      <c r="C896" s="372"/>
      <c r="D896" s="372"/>
      <c r="E896" s="372"/>
      <c r="F896" s="372"/>
      <c r="G896" s="372"/>
      <c r="H896" s="372"/>
      <c r="I896" s="372"/>
      <c r="J896" s="372"/>
      <c r="K896" s="372"/>
      <c r="L896" s="372"/>
      <c r="M896" s="372"/>
      <c r="N896" s="372"/>
      <c r="O896" s="372"/>
      <c r="P896" s="372"/>
      <c r="Q896" s="372"/>
      <c r="R896" s="372"/>
      <c r="S896" s="372"/>
      <c r="T896" s="372"/>
      <c r="U896" s="372"/>
      <c r="V896" s="372"/>
      <c r="W896" s="372"/>
      <c r="X896" s="372"/>
      <c r="Y896" s="372"/>
      <c r="Z896" s="372"/>
    </row>
    <row r="897">
      <c r="A897" s="372"/>
      <c r="B897" s="372"/>
      <c r="C897" s="372"/>
      <c r="D897" s="372"/>
      <c r="E897" s="372"/>
      <c r="F897" s="372"/>
      <c r="G897" s="372"/>
      <c r="H897" s="372"/>
      <c r="I897" s="372"/>
      <c r="J897" s="372"/>
      <c r="K897" s="372"/>
      <c r="L897" s="372"/>
      <c r="M897" s="372"/>
      <c r="N897" s="372"/>
      <c r="O897" s="372"/>
      <c r="P897" s="372"/>
      <c r="Q897" s="372"/>
      <c r="R897" s="372"/>
      <c r="S897" s="372"/>
      <c r="T897" s="372"/>
      <c r="U897" s="372"/>
      <c r="V897" s="372"/>
      <c r="W897" s="372"/>
      <c r="X897" s="372"/>
      <c r="Y897" s="372"/>
      <c r="Z897" s="372"/>
    </row>
    <row r="898">
      <c r="A898" s="372"/>
      <c r="B898" s="372"/>
      <c r="C898" s="372"/>
      <c r="D898" s="372"/>
      <c r="E898" s="372"/>
      <c r="F898" s="372"/>
      <c r="G898" s="372"/>
      <c r="H898" s="372"/>
      <c r="I898" s="372"/>
      <c r="J898" s="372"/>
      <c r="K898" s="372"/>
      <c r="L898" s="372"/>
      <c r="M898" s="372"/>
      <c r="N898" s="372"/>
      <c r="O898" s="372"/>
      <c r="P898" s="372"/>
      <c r="Q898" s="372"/>
      <c r="R898" s="372"/>
      <c r="S898" s="372"/>
      <c r="T898" s="372"/>
      <c r="U898" s="372"/>
      <c r="V898" s="372"/>
      <c r="W898" s="372"/>
      <c r="X898" s="372"/>
      <c r="Y898" s="372"/>
      <c r="Z898" s="372"/>
    </row>
    <row r="899">
      <c r="A899" s="372"/>
      <c r="B899" s="372"/>
      <c r="C899" s="372"/>
      <c r="D899" s="372"/>
      <c r="E899" s="372"/>
      <c r="F899" s="372"/>
      <c r="G899" s="372"/>
      <c r="H899" s="372"/>
      <c r="I899" s="372"/>
      <c r="J899" s="372"/>
      <c r="K899" s="372"/>
      <c r="L899" s="372"/>
      <c r="M899" s="372"/>
      <c r="N899" s="372"/>
      <c r="O899" s="372"/>
      <c r="P899" s="372"/>
      <c r="Q899" s="372"/>
      <c r="R899" s="372"/>
      <c r="S899" s="372"/>
      <c r="T899" s="372"/>
      <c r="U899" s="372"/>
      <c r="V899" s="372"/>
      <c r="W899" s="372"/>
      <c r="X899" s="372"/>
      <c r="Y899" s="372"/>
      <c r="Z899" s="372"/>
    </row>
    <row r="900">
      <c r="A900" s="372"/>
      <c r="B900" s="372"/>
      <c r="C900" s="372"/>
      <c r="D900" s="372"/>
      <c r="E900" s="372"/>
      <c r="F900" s="372"/>
      <c r="G900" s="372"/>
      <c r="H900" s="372"/>
      <c r="I900" s="372"/>
      <c r="J900" s="372"/>
      <c r="K900" s="372"/>
      <c r="L900" s="372"/>
      <c r="M900" s="372"/>
      <c r="N900" s="372"/>
      <c r="O900" s="372"/>
      <c r="P900" s="372"/>
      <c r="Q900" s="372"/>
      <c r="R900" s="372"/>
      <c r="S900" s="372"/>
      <c r="T900" s="372"/>
      <c r="U900" s="372"/>
      <c r="V900" s="372"/>
      <c r="W900" s="372"/>
      <c r="X900" s="372"/>
      <c r="Y900" s="372"/>
      <c r="Z900" s="372"/>
    </row>
    <row r="901">
      <c r="A901" s="372"/>
      <c r="B901" s="372"/>
      <c r="C901" s="372"/>
      <c r="D901" s="372"/>
      <c r="E901" s="372"/>
      <c r="F901" s="372"/>
      <c r="G901" s="372"/>
      <c r="H901" s="372"/>
      <c r="I901" s="372"/>
      <c r="J901" s="372"/>
      <c r="K901" s="372"/>
      <c r="L901" s="372"/>
      <c r="M901" s="372"/>
      <c r="N901" s="372"/>
      <c r="O901" s="372"/>
      <c r="P901" s="372"/>
      <c r="Q901" s="372"/>
      <c r="R901" s="372"/>
      <c r="S901" s="372"/>
      <c r="T901" s="372"/>
      <c r="U901" s="372"/>
      <c r="V901" s="372"/>
      <c r="W901" s="372"/>
      <c r="X901" s="372"/>
      <c r="Y901" s="372"/>
      <c r="Z901" s="372"/>
    </row>
    <row r="902">
      <c r="A902" s="372"/>
      <c r="B902" s="372"/>
      <c r="C902" s="372"/>
      <c r="D902" s="372"/>
      <c r="E902" s="372"/>
      <c r="F902" s="372"/>
      <c r="G902" s="372"/>
      <c r="H902" s="372"/>
      <c r="I902" s="372"/>
      <c r="J902" s="372"/>
      <c r="K902" s="372"/>
      <c r="L902" s="372"/>
      <c r="M902" s="372"/>
      <c r="N902" s="372"/>
      <c r="O902" s="372"/>
      <c r="P902" s="372"/>
      <c r="Q902" s="372"/>
      <c r="R902" s="372"/>
      <c r="S902" s="372"/>
      <c r="T902" s="372"/>
      <c r="U902" s="372"/>
      <c r="V902" s="372"/>
      <c r="W902" s="372"/>
      <c r="X902" s="372"/>
      <c r="Y902" s="372"/>
      <c r="Z902" s="372"/>
    </row>
    <row r="903">
      <c r="A903" s="372"/>
      <c r="B903" s="372"/>
      <c r="C903" s="372"/>
      <c r="D903" s="372"/>
      <c r="E903" s="372"/>
      <c r="F903" s="372"/>
      <c r="G903" s="372"/>
      <c r="H903" s="372"/>
      <c r="I903" s="372"/>
      <c r="J903" s="372"/>
      <c r="K903" s="372"/>
      <c r="L903" s="372"/>
      <c r="M903" s="372"/>
      <c r="N903" s="372"/>
      <c r="O903" s="372"/>
      <c r="P903" s="372"/>
      <c r="Q903" s="372"/>
      <c r="R903" s="372"/>
      <c r="S903" s="372"/>
      <c r="T903" s="372"/>
      <c r="U903" s="372"/>
      <c r="V903" s="372"/>
      <c r="W903" s="372"/>
      <c r="X903" s="372"/>
      <c r="Y903" s="372"/>
      <c r="Z903" s="372"/>
    </row>
    <row r="904">
      <c r="A904" s="372"/>
      <c r="B904" s="372"/>
      <c r="C904" s="372"/>
      <c r="D904" s="372"/>
      <c r="E904" s="372"/>
      <c r="F904" s="372"/>
      <c r="G904" s="372"/>
      <c r="H904" s="372"/>
      <c r="I904" s="372"/>
      <c r="J904" s="372"/>
      <c r="K904" s="372"/>
      <c r="L904" s="372"/>
      <c r="M904" s="372"/>
      <c r="N904" s="372"/>
      <c r="O904" s="372"/>
      <c r="P904" s="372"/>
      <c r="Q904" s="372"/>
      <c r="R904" s="372"/>
      <c r="S904" s="372"/>
      <c r="T904" s="372"/>
      <c r="U904" s="372"/>
      <c r="V904" s="372"/>
      <c r="W904" s="372"/>
      <c r="X904" s="372"/>
      <c r="Y904" s="372"/>
      <c r="Z904" s="372"/>
    </row>
    <row r="905">
      <c r="A905" s="372"/>
      <c r="B905" s="372"/>
      <c r="C905" s="372"/>
      <c r="D905" s="372"/>
      <c r="E905" s="372"/>
      <c r="F905" s="372"/>
      <c r="G905" s="372"/>
      <c r="H905" s="372"/>
      <c r="I905" s="372"/>
      <c r="J905" s="372"/>
      <c r="K905" s="372"/>
      <c r="L905" s="372"/>
      <c r="M905" s="372"/>
      <c r="N905" s="372"/>
      <c r="O905" s="372"/>
      <c r="P905" s="372"/>
      <c r="Q905" s="372"/>
      <c r="R905" s="372"/>
      <c r="S905" s="372"/>
      <c r="T905" s="372"/>
      <c r="U905" s="372"/>
      <c r="V905" s="372"/>
      <c r="W905" s="372"/>
      <c r="X905" s="372"/>
      <c r="Y905" s="372"/>
      <c r="Z905" s="372"/>
    </row>
    <row r="906">
      <c r="A906" s="372"/>
      <c r="B906" s="372"/>
      <c r="C906" s="372"/>
      <c r="D906" s="372"/>
      <c r="E906" s="372"/>
      <c r="F906" s="372"/>
      <c r="G906" s="372"/>
      <c r="H906" s="372"/>
      <c r="I906" s="372"/>
      <c r="J906" s="372"/>
      <c r="K906" s="372"/>
      <c r="L906" s="372"/>
      <c r="M906" s="372"/>
      <c r="N906" s="372"/>
      <c r="O906" s="372"/>
      <c r="P906" s="372"/>
      <c r="Q906" s="372"/>
      <c r="R906" s="372"/>
      <c r="S906" s="372"/>
      <c r="T906" s="372"/>
      <c r="U906" s="372"/>
      <c r="V906" s="372"/>
      <c r="W906" s="372"/>
      <c r="X906" s="372"/>
      <c r="Y906" s="372"/>
      <c r="Z906" s="372"/>
    </row>
    <row r="907">
      <c r="A907" s="372"/>
      <c r="B907" s="372"/>
      <c r="C907" s="372"/>
      <c r="D907" s="372"/>
      <c r="E907" s="372"/>
      <c r="F907" s="372"/>
      <c r="G907" s="372"/>
      <c r="H907" s="372"/>
      <c r="I907" s="372"/>
      <c r="J907" s="372"/>
      <c r="K907" s="372"/>
      <c r="L907" s="372"/>
      <c r="M907" s="372"/>
      <c r="N907" s="372"/>
      <c r="O907" s="372"/>
      <c r="P907" s="372"/>
      <c r="Q907" s="372"/>
      <c r="R907" s="372"/>
      <c r="S907" s="372"/>
      <c r="T907" s="372"/>
      <c r="U907" s="372"/>
      <c r="V907" s="372"/>
      <c r="W907" s="372"/>
      <c r="X907" s="372"/>
      <c r="Y907" s="372"/>
      <c r="Z907" s="372"/>
    </row>
    <row r="908">
      <c r="A908" s="372"/>
      <c r="B908" s="372"/>
      <c r="C908" s="372"/>
      <c r="D908" s="372"/>
      <c r="E908" s="372"/>
      <c r="F908" s="372"/>
      <c r="G908" s="372"/>
      <c r="H908" s="372"/>
      <c r="I908" s="372"/>
      <c r="J908" s="372"/>
      <c r="K908" s="372"/>
      <c r="L908" s="372"/>
      <c r="M908" s="372"/>
      <c r="N908" s="372"/>
      <c r="O908" s="372"/>
      <c r="P908" s="372"/>
      <c r="Q908" s="372"/>
      <c r="R908" s="372"/>
      <c r="S908" s="372"/>
      <c r="T908" s="372"/>
      <c r="U908" s="372"/>
      <c r="V908" s="372"/>
      <c r="W908" s="372"/>
      <c r="X908" s="372"/>
      <c r="Y908" s="372"/>
      <c r="Z908" s="372"/>
    </row>
    <row r="909">
      <c r="A909" s="372"/>
      <c r="B909" s="372"/>
      <c r="C909" s="372"/>
      <c r="D909" s="372"/>
      <c r="E909" s="372"/>
      <c r="F909" s="372"/>
      <c r="G909" s="372"/>
      <c r="H909" s="372"/>
      <c r="I909" s="372"/>
      <c r="J909" s="372"/>
      <c r="K909" s="372"/>
      <c r="L909" s="372"/>
      <c r="M909" s="372"/>
      <c r="N909" s="372"/>
      <c r="O909" s="372"/>
      <c r="P909" s="372"/>
      <c r="Q909" s="372"/>
      <c r="R909" s="372"/>
      <c r="S909" s="372"/>
      <c r="T909" s="372"/>
      <c r="U909" s="372"/>
      <c r="V909" s="372"/>
      <c r="W909" s="372"/>
      <c r="X909" s="372"/>
      <c r="Y909" s="372"/>
      <c r="Z909" s="372"/>
    </row>
    <row r="910">
      <c r="A910" s="372"/>
      <c r="B910" s="372"/>
      <c r="C910" s="372"/>
      <c r="D910" s="372"/>
      <c r="E910" s="372"/>
      <c r="F910" s="372"/>
      <c r="G910" s="372"/>
      <c r="H910" s="372"/>
      <c r="I910" s="372"/>
      <c r="J910" s="372"/>
      <c r="K910" s="372"/>
      <c r="L910" s="372"/>
      <c r="M910" s="372"/>
      <c r="N910" s="372"/>
      <c r="O910" s="372"/>
      <c r="P910" s="372"/>
      <c r="Q910" s="372"/>
      <c r="R910" s="372"/>
      <c r="S910" s="372"/>
      <c r="T910" s="372"/>
      <c r="U910" s="372"/>
      <c r="V910" s="372"/>
      <c r="W910" s="372"/>
      <c r="X910" s="372"/>
      <c r="Y910" s="372"/>
      <c r="Z910" s="372"/>
    </row>
    <row r="911">
      <c r="A911" s="372"/>
      <c r="B911" s="372"/>
      <c r="C911" s="372"/>
      <c r="D911" s="372"/>
      <c r="E911" s="372"/>
      <c r="F911" s="372"/>
      <c r="G911" s="372"/>
      <c r="H911" s="372"/>
      <c r="I911" s="372"/>
      <c r="J911" s="372"/>
      <c r="K911" s="372"/>
      <c r="L911" s="372"/>
      <c r="M911" s="372"/>
      <c r="N911" s="372"/>
      <c r="O911" s="372"/>
      <c r="P911" s="372"/>
      <c r="Q911" s="372"/>
      <c r="R911" s="372"/>
      <c r="S911" s="372"/>
      <c r="T911" s="372"/>
      <c r="U911" s="372"/>
      <c r="V911" s="372"/>
      <c r="W911" s="372"/>
      <c r="X911" s="372"/>
      <c r="Y911" s="372"/>
      <c r="Z911" s="372"/>
    </row>
    <row r="912">
      <c r="A912" s="372"/>
      <c r="B912" s="372"/>
      <c r="C912" s="372"/>
      <c r="D912" s="372"/>
      <c r="E912" s="372"/>
      <c r="F912" s="372"/>
      <c r="G912" s="372"/>
      <c r="H912" s="372"/>
      <c r="I912" s="372"/>
      <c r="J912" s="372"/>
      <c r="K912" s="372"/>
      <c r="L912" s="372"/>
      <c r="M912" s="372"/>
      <c r="N912" s="372"/>
      <c r="O912" s="372"/>
      <c r="P912" s="372"/>
      <c r="Q912" s="372"/>
      <c r="R912" s="372"/>
      <c r="S912" s="372"/>
      <c r="T912" s="372"/>
      <c r="U912" s="372"/>
      <c r="V912" s="372"/>
      <c r="W912" s="372"/>
      <c r="X912" s="372"/>
      <c r="Y912" s="372"/>
      <c r="Z912" s="372"/>
    </row>
    <row r="913">
      <c r="A913" s="372"/>
      <c r="B913" s="372"/>
      <c r="C913" s="372"/>
      <c r="D913" s="372"/>
      <c r="E913" s="372"/>
      <c r="F913" s="372"/>
      <c r="G913" s="372"/>
      <c r="H913" s="372"/>
      <c r="I913" s="372"/>
      <c r="J913" s="372"/>
      <c r="K913" s="372"/>
      <c r="L913" s="372"/>
      <c r="M913" s="372"/>
      <c r="N913" s="372"/>
      <c r="O913" s="372"/>
      <c r="P913" s="372"/>
      <c r="Q913" s="372"/>
      <c r="R913" s="372"/>
      <c r="S913" s="372"/>
      <c r="T913" s="372"/>
      <c r="U913" s="372"/>
      <c r="V913" s="372"/>
      <c r="W913" s="372"/>
      <c r="X913" s="372"/>
      <c r="Y913" s="372"/>
      <c r="Z913" s="372"/>
    </row>
    <row r="914">
      <c r="A914" s="372"/>
      <c r="B914" s="372"/>
      <c r="C914" s="372"/>
      <c r="D914" s="372"/>
      <c r="E914" s="372"/>
      <c r="F914" s="372"/>
      <c r="G914" s="372"/>
      <c r="H914" s="372"/>
      <c r="I914" s="372"/>
      <c r="J914" s="372"/>
      <c r="K914" s="372"/>
      <c r="L914" s="372"/>
      <c r="M914" s="372"/>
      <c r="N914" s="372"/>
      <c r="O914" s="372"/>
      <c r="P914" s="372"/>
      <c r="Q914" s="372"/>
      <c r="R914" s="372"/>
      <c r="S914" s="372"/>
      <c r="T914" s="372"/>
      <c r="U914" s="372"/>
      <c r="V914" s="372"/>
      <c r="W914" s="372"/>
      <c r="X914" s="372"/>
      <c r="Y914" s="372"/>
      <c r="Z914" s="372"/>
    </row>
    <row r="915">
      <c r="A915" s="372"/>
      <c r="B915" s="372"/>
      <c r="C915" s="372"/>
      <c r="D915" s="372"/>
      <c r="E915" s="372"/>
      <c r="F915" s="372"/>
      <c r="G915" s="372"/>
      <c r="H915" s="372"/>
      <c r="I915" s="372"/>
      <c r="J915" s="372"/>
      <c r="K915" s="372"/>
      <c r="L915" s="372"/>
      <c r="M915" s="372"/>
      <c r="N915" s="372"/>
      <c r="O915" s="372"/>
      <c r="P915" s="372"/>
      <c r="Q915" s="372"/>
      <c r="R915" s="372"/>
      <c r="S915" s="372"/>
      <c r="T915" s="372"/>
      <c r="U915" s="372"/>
      <c r="V915" s="372"/>
      <c r="W915" s="372"/>
      <c r="X915" s="372"/>
      <c r="Y915" s="372"/>
      <c r="Z915" s="372"/>
    </row>
    <row r="916">
      <c r="A916" s="372"/>
      <c r="B916" s="372"/>
      <c r="C916" s="372"/>
      <c r="D916" s="372"/>
      <c r="E916" s="372"/>
      <c r="F916" s="372"/>
      <c r="G916" s="372"/>
      <c r="H916" s="372"/>
      <c r="I916" s="372"/>
      <c r="J916" s="372"/>
      <c r="K916" s="372"/>
      <c r="L916" s="372"/>
      <c r="M916" s="372"/>
      <c r="N916" s="372"/>
      <c r="O916" s="372"/>
      <c r="P916" s="372"/>
      <c r="Q916" s="372"/>
      <c r="R916" s="372"/>
      <c r="S916" s="372"/>
      <c r="T916" s="372"/>
      <c r="U916" s="372"/>
      <c r="V916" s="372"/>
      <c r="W916" s="372"/>
      <c r="X916" s="372"/>
      <c r="Y916" s="372"/>
      <c r="Z916" s="372"/>
    </row>
    <row r="917">
      <c r="A917" s="372"/>
      <c r="B917" s="372"/>
      <c r="C917" s="372"/>
      <c r="D917" s="372"/>
      <c r="E917" s="372"/>
      <c r="F917" s="372"/>
      <c r="G917" s="372"/>
      <c r="H917" s="372"/>
      <c r="I917" s="372"/>
      <c r="J917" s="372"/>
      <c r="K917" s="372"/>
      <c r="L917" s="372"/>
      <c r="M917" s="372"/>
      <c r="N917" s="372"/>
      <c r="O917" s="372"/>
      <c r="P917" s="372"/>
      <c r="Q917" s="372"/>
      <c r="R917" s="372"/>
      <c r="S917" s="372"/>
      <c r="T917" s="372"/>
      <c r="U917" s="372"/>
      <c r="V917" s="372"/>
      <c r="W917" s="372"/>
      <c r="X917" s="372"/>
      <c r="Y917" s="372"/>
      <c r="Z917" s="372"/>
    </row>
    <row r="918">
      <c r="A918" s="372"/>
      <c r="B918" s="372"/>
      <c r="C918" s="372"/>
      <c r="D918" s="372"/>
      <c r="E918" s="372"/>
      <c r="F918" s="372"/>
      <c r="G918" s="372"/>
      <c r="H918" s="372"/>
      <c r="I918" s="372"/>
      <c r="J918" s="372"/>
      <c r="K918" s="372"/>
      <c r="L918" s="372"/>
      <c r="M918" s="372"/>
      <c r="N918" s="372"/>
      <c r="O918" s="372"/>
      <c r="P918" s="372"/>
      <c r="Q918" s="372"/>
      <c r="R918" s="372"/>
      <c r="S918" s="372"/>
      <c r="T918" s="372"/>
      <c r="U918" s="372"/>
      <c r="V918" s="372"/>
      <c r="W918" s="372"/>
      <c r="X918" s="372"/>
      <c r="Y918" s="372"/>
      <c r="Z918" s="372"/>
    </row>
    <row r="919">
      <c r="A919" s="372"/>
      <c r="B919" s="372"/>
      <c r="C919" s="372"/>
      <c r="D919" s="372"/>
      <c r="E919" s="372"/>
      <c r="F919" s="372"/>
      <c r="G919" s="372"/>
      <c r="H919" s="372"/>
      <c r="I919" s="372"/>
      <c r="J919" s="372"/>
      <c r="K919" s="372"/>
      <c r="L919" s="372"/>
      <c r="M919" s="372"/>
      <c r="N919" s="372"/>
      <c r="O919" s="372"/>
      <c r="P919" s="372"/>
      <c r="Q919" s="372"/>
      <c r="R919" s="372"/>
      <c r="S919" s="372"/>
      <c r="T919" s="372"/>
      <c r="U919" s="372"/>
      <c r="V919" s="372"/>
      <c r="W919" s="372"/>
      <c r="X919" s="372"/>
      <c r="Y919" s="372"/>
      <c r="Z919" s="372"/>
    </row>
    <row r="920">
      <c r="A920" s="372"/>
      <c r="B920" s="372"/>
      <c r="C920" s="372"/>
      <c r="D920" s="372"/>
      <c r="E920" s="372"/>
      <c r="F920" s="372"/>
      <c r="G920" s="372"/>
      <c r="H920" s="372"/>
      <c r="I920" s="372"/>
      <c r="J920" s="372"/>
      <c r="K920" s="372"/>
      <c r="L920" s="372"/>
      <c r="M920" s="372"/>
      <c r="N920" s="372"/>
      <c r="O920" s="372"/>
      <c r="P920" s="372"/>
      <c r="Q920" s="372"/>
      <c r="R920" s="372"/>
      <c r="S920" s="372"/>
      <c r="T920" s="372"/>
      <c r="U920" s="372"/>
      <c r="V920" s="372"/>
      <c r="W920" s="372"/>
      <c r="X920" s="372"/>
      <c r="Y920" s="372"/>
      <c r="Z920" s="372"/>
    </row>
    <row r="921">
      <c r="A921" s="372"/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  <c r="T921" s="372"/>
      <c r="U921" s="372"/>
      <c r="V921" s="372"/>
      <c r="W921" s="372"/>
      <c r="X921" s="372"/>
      <c r="Y921" s="372"/>
      <c r="Z921" s="372"/>
    </row>
    <row r="922">
      <c r="A922" s="372"/>
      <c r="B922" s="372"/>
      <c r="C922" s="372"/>
      <c r="D922" s="372"/>
      <c r="E922" s="372"/>
      <c r="F922" s="372"/>
      <c r="G922" s="372"/>
      <c r="H922" s="372"/>
      <c r="I922" s="372"/>
      <c r="J922" s="372"/>
      <c r="K922" s="372"/>
      <c r="L922" s="372"/>
      <c r="M922" s="372"/>
      <c r="N922" s="372"/>
      <c r="O922" s="372"/>
      <c r="P922" s="372"/>
      <c r="Q922" s="372"/>
      <c r="R922" s="372"/>
      <c r="S922" s="372"/>
      <c r="T922" s="372"/>
      <c r="U922" s="372"/>
      <c r="V922" s="372"/>
      <c r="W922" s="372"/>
      <c r="X922" s="372"/>
      <c r="Y922" s="372"/>
      <c r="Z922" s="372"/>
    </row>
    <row r="923">
      <c r="A923" s="372"/>
      <c r="B923" s="372"/>
      <c r="C923" s="372"/>
      <c r="D923" s="372"/>
      <c r="E923" s="372"/>
      <c r="F923" s="372"/>
      <c r="G923" s="372"/>
      <c r="H923" s="372"/>
      <c r="I923" s="372"/>
      <c r="J923" s="372"/>
      <c r="K923" s="372"/>
      <c r="L923" s="372"/>
      <c r="M923" s="372"/>
      <c r="N923" s="372"/>
      <c r="O923" s="372"/>
      <c r="P923" s="372"/>
      <c r="Q923" s="372"/>
      <c r="R923" s="372"/>
      <c r="S923" s="372"/>
      <c r="T923" s="372"/>
      <c r="U923" s="372"/>
      <c r="V923" s="372"/>
      <c r="W923" s="372"/>
      <c r="X923" s="372"/>
      <c r="Y923" s="372"/>
      <c r="Z923" s="372"/>
    </row>
    <row r="924">
      <c r="A924" s="372"/>
      <c r="B924" s="372"/>
      <c r="C924" s="372"/>
      <c r="D924" s="372"/>
      <c r="E924" s="372"/>
      <c r="F924" s="372"/>
      <c r="G924" s="372"/>
      <c r="H924" s="372"/>
      <c r="I924" s="372"/>
      <c r="J924" s="372"/>
      <c r="K924" s="372"/>
      <c r="L924" s="372"/>
      <c r="M924" s="372"/>
      <c r="N924" s="372"/>
      <c r="O924" s="372"/>
      <c r="P924" s="372"/>
      <c r="Q924" s="372"/>
      <c r="R924" s="372"/>
      <c r="S924" s="372"/>
      <c r="T924" s="372"/>
      <c r="U924" s="372"/>
      <c r="V924" s="372"/>
      <c r="W924" s="372"/>
      <c r="X924" s="372"/>
      <c r="Y924" s="372"/>
      <c r="Z924" s="372"/>
    </row>
    <row r="925">
      <c r="A925" s="372"/>
      <c r="B925" s="372"/>
      <c r="C925" s="372"/>
      <c r="D925" s="372"/>
      <c r="E925" s="372"/>
      <c r="F925" s="372"/>
      <c r="G925" s="372"/>
      <c r="H925" s="372"/>
      <c r="I925" s="372"/>
      <c r="J925" s="372"/>
      <c r="K925" s="372"/>
      <c r="L925" s="372"/>
      <c r="M925" s="372"/>
      <c r="N925" s="372"/>
      <c r="O925" s="372"/>
      <c r="P925" s="372"/>
      <c r="Q925" s="372"/>
      <c r="R925" s="372"/>
      <c r="S925" s="372"/>
      <c r="T925" s="372"/>
      <c r="U925" s="372"/>
      <c r="V925" s="372"/>
      <c r="W925" s="372"/>
      <c r="X925" s="372"/>
      <c r="Y925" s="372"/>
      <c r="Z925" s="372"/>
    </row>
    <row r="926">
      <c r="A926" s="372"/>
      <c r="B926" s="372"/>
      <c r="C926" s="372"/>
      <c r="D926" s="372"/>
      <c r="E926" s="372"/>
      <c r="F926" s="372"/>
      <c r="G926" s="372"/>
      <c r="H926" s="372"/>
      <c r="I926" s="372"/>
      <c r="J926" s="372"/>
      <c r="K926" s="372"/>
      <c r="L926" s="372"/>
      <c r="M926" s="372"/>
      <c r="N926" s="372"/>
      <c r="O926" s="372"/>
      <c r="P926" s="372"/>
      <c r="Q926" s="372"/>
      <c r="R926" s="372"/>
      <c r="S926" s="372"/>
      <c r="T926" s="372"/>
      <c r="U926" s="372"/>
      <c r="V926" s="372"/>
      <c r="W926" s="372"/>
      <c r="X926" s="372"/>
      <c r="Y926" s="372"/>
      <c r="Z926" s="372"/>
    </row>
    <row r="927">
      <c r="A927" s="372"/>
      <c r="B927" s="372"/>
      <c r="C927" s="372"/>
      <c r="D927" s="372"/>
      <c r="E927" s="372"/>
      <c r="F927" s="372"/>
      <c r="G927" s="372"/>
      <c r="H927" s="372"/>
      <c r="I927" s="372"/>
      <c r="J927" s="372"/>
      <c r="K927" s="372"/>
      <c r="L927" s="372"/>
      <c r="M927" s="372"/>
      <c r="N927" s="372"/>
      <c r="O927" s="372"/>
      <c r="P927" s="372"/>
      <c r="Q927" s="372"/>
      <c r="R927" s="372"/>
      <c r="S927" s="372"/>
      <c r="T927" s="372"/>
      <c r="U927" s="372"/>
      <c r="V927" s="372"/>
      <c r="W927" s="372"/>
      <c r="X927" s="372"/>
      <c r="Y927" s="372"/>
      <c r="Z927" s="372"/>
    </row>
    <row r="928">
      <c r="A928" s="372"/>
      <c r="B928" s="372"/>
      <c r="C928" s="372"/>
      <c r="D928" s="372"/>
      <c r="E928" s="372"/>
      <c r="F928" s="372"/>
      <c r="G928" s="372"/>
      <c r="H928" s="372"/>
      <c r="I928" s="372"/>
      <c r="J928" s="372"/>
      <c r="K928" s="372"/>
      <c r="L928" s="372"/>
      <c r="M928" s="372"/>
      <c r="N928" s="372"/>
      <c r="O928" s="372"/>
      <c r="P928" s="372"/>
      <c r="Q928" s="372"/>
      <c r="R928" s="372"/>
      <c r="S928" s="372"/>
      <c r="T928" s="372"/>
      <c r="U928" s="372"/>
      <c r="V928" s="372"/>
      <c r="W928" s="372"/>
      <c r="X928" s="372"/>
      <c r="Y928" s="372"/>
      <c r="Z928" s="372"/>
    </row>
    <row r="929">
      <c r="A929" s="372"/>
      <c r="B929" s="372"/>
      <c r="C929" s="372"/>
      <c r="D929" s="372"/>
      <c r="E929" s="372"/>
      <c r="F929" s="372"/>
      <c r="G929" s="372"/>
      <c r="H929" s="372"/>
      <c r="I929" s="372"/>
      <c r="J929" s="372"/>
      <c r="K929" s="372"/>
      <c r="L929" s="372"/>
      <c r="M929" s="372"/>
      <c r="N929" s="372"/>
      <c r="O929" s="372"/>
      <c r="P929" s="372"/>
      <c r="Q929" s="372"/>
      <c r="R929" s="372"/>
      <c r="S929" s="372"/>
      <c r="T929" s="372"/>
      <c r="U929" s="372"/>
      <c r="V929" s="372"/>
      <c r="W929" s="372"/>
      <c r="X929" s="372"/>
      <c r="Y929" s="372"/>
      <c r="Z929" s="372"/>
    </row>
    <row r="930">
      <c r="A930" s="372"/>
      <c r="B930" s="372"/>
      <c r="C930" s="372"/>
      <c r="D930" s="372"/>
      <c r="E930" s="372"/>
      <c r="F930" s="372"/>
      <c r="G930" s="372"/>
      <c r="H930" s="372"/>
      <c r="I930" s="372"/>
      <c r="J930" s="372"/>
      <c r="K930" s="372"/>
      <c r="L930" s="372"/>
      <c r="M930" s="372"/>
      <c r="N930" s="372"/>
      <c r="O930" s="372"/>
      <c r="P930" s="372"/>
      <c r="Q930" s="372"/>
      <c r="R930" s="372"/>
      <c r="S930" s="372"/>
      <c r="T930" s="372"/>
      <c r="U930" s="372"/>
      <c r="V930" s="372"/>
      <c r="W930" s="372"/>
      <c r="X930" s="372"/>
      <c r="Y930" s="372"/>
      <c r="Z930" s="372"/>
    </row>
    <row r="931">
      <c r="A931" s="372"/>
      <c r="B931" s="372"/>
      <c r="C931" s="372"/>
      <c r="D931" s="372"/>
      <c r="E931" s="372"/>
      <c r="F931" s="372"/>
      <c r="G931" s="372"/>
      <c r="H931" s="372"/>
      <c r="I931" s="372"/>
      <c r="J931" s="372"/>
      <c r="K931" s="372"/>
      <c r="L931" s="372"/>
      <c r="M931" s="372"/>
      <c r="N931" s="372"/>
      <c r="O931" s="372"/>
      <c r="P931" s="372"/>
      <c r="Q931" s="372"/>
      <c r="R931" s="372"/>
      <c r="S931" s="372"/>
      <c r="T931" s="372"/>
      <c r="U931" s="372"/>
      <c r="V931" s="372"/>
      <c r="W931" s="372"/>
      <c r="X931" s="372"/>
      <c r="Y931" s="372"/>
      <c r="Z931" s="372"/>
    </row>
    <row r="932">
      <c r="A932" s="372"/>
      <c r="B932" s="372"/>
      <c r="C932" s="372"/>
      <c r="D932" s="372"/>
      <c r="E932" s="372"/>
      <c r="F932" s="372"/>
      <c r="G932" s="372"/>
      <c r="H932" s="372"/>
      <c r="I932" s="372"/>
      <c r="J932" s="372"/>
      <c r="K932" s="372"/>
      <c r="L932" s="372"/>
      <c r="M932" s="372"/>
      <c r="N932" s="372"/>
      <c r="O932" s="372"/>
      <c r="P932" s="372"/>
      <c r="Q932" s="372"/>
      <c r="R932" s="372"/>
      <c r="S932" s="372"/>
      <c r="T932" s="372"/>
      <c r="U932" s="372"/>
      <c r="V932" s="372"/>
      <c r="W932" s="372"/>
      <c r="X932" s="372"/>
      <c r="Y932" s="372"/>
      <c r="Z932" s="372"/>
    </row>
    <row r="933">
      <c r="A933" s="372"/>
      <c r="B933" s="372"/>
      <c r="C933" s="372"/>
      <c r="D933" s="372"/>
      <c r="E933" s="372"/>
      <c r="F933" s="372"/>
      <c r="G933" s="372"/>
      <c r="H933" s="372"/>
      <c r="I933" s="372"/>
      <c r="J933" s="372"/>
      <c r="K933" s="372"/>
      <c r="L933" s="372"/>
      <c r="M933" s="372"/>
      <c r="N933" s="372"/>
      <c r="O933" s="372"/>
      <c r="P933" s="372"/>
      <c r="Q933" s="372"/>
      <c r="R933" s="372"/>
      <c r="S933" s="372"/>
      <c r="T933" s="372"/>
      <c r="U933" s="372"/>
      <c r="V933" s="372"/>
      <c r="W933" s="372"/>
      <c r="X933" s="372"/>
      <c r="Y933" s="372"/>
      <c r="Z933" s="372"/>
    </row>
    <row r="934">
      <c r="A934" s="372"/>
      <c r="B934" s="372"/>
      <c r="C934" s="372"/>
      <c r="D934" s="372"/>
      <c r="E934" s="372"/>
      <c r="F934" s="372"/>
      <c r="G934" s="372"/>
      <c r="H934" s="372"/>
      <c r="I934" s="372"/>
      <c r="J934" s="372"/>
      <c r="K934" s="372"/>
      <c r="L934" s="372"/>
      <c r="M934" s="372"/>
      <c r="N934" s="372"/>
      <c r="O934" s="372"/>
      <c r="P934" s="372"/>
      <c r="Q934" s="372"/>
      <c r="R934" s="372"/>
      <c r="S934" s="372"/>
      <c r="T934" s="372"/>
      <c r="U934" s="372"/>
      <c r="V934" s="372"/>
      <c r="W934" s="372"/>
      <c r="X934" s="372"/>
      <c r="Y934" s="372"/>
      <c r="Z934" s="372"/>
    </row>
    <row r="935">
      <c r="A935" s="372"/>
      <c r="B935" s="372"/>
      <c r="C935" s="372"/>
      <c r="D935" s="372"/>
      <c r="E935" s="372"/>
      <c r="F935" s="372"/>
      <c r="G935" s="372"/>
      <c r="H935" s="372"/>
      <c r="I935" s="372"/>
      <c r="J935" s="372"/>
      <c r="K935" s="372"/>
      <c r="L935" s="372"/>
      <c r="M935" s="372"/>
      <c r="N935" s="372"/>
      <c r="O935" s="372"/>
      <c r="P935" s="372"/>
      <c r="Q935" s="372"/>
      <c r="R935" s="372"/>
      <c r="S935" s="372"/>
      <c r="T935" s="372"/>
      <c r="U935" s="372"/>
      <c r="V935" s="372"/>
      <c r="W935" s="372"/>
      <c r="X935" s="372"/>
      <c r="Y935" s="372"/>
      <c r="Z935" s="372"/>
    </row>
    <row r="936">
      <c r="A936" s="372"/>
      <c r="B936" s="372"/>
      <c r="C936" s="372"/>
      <c r="D936" s="372"/>
      <c r="E936" s="372"/>
      <c r="F936" s="372"/>
      <c r="G936" s="372"/>
      <c r="H936" s="372"/>
      <c r="I936" s="372"/>
      <c r="J936" s="372"/>
      <c r="K936" s="372"/>
      <c r="L936" s="372"/>
      <c r="M936" s="372"/>
      <c r="N936" s="372"/>
      <c r="O936" s="372"/>
      <c r="P936" s="372"/>
      <c r="Q936" s="372"/>
      <c r="R936" s="372"/>
      <c r="S936" s="372"/>
      <c r="T936" s="372"/>
      <c r="U936" s="372"/>
      <c r="V936" s="372"/>
      <c r="W936" s="372"/>
      <c r="X936" s="372"/>
      <c r="Y936" s="372"/>
      <c r="Z936" s="372"/>
    </row>
    <row r="937">
      <c r="A937" s="372"/>
      <c r="B937" s="372"/>
      <c r="C937" s="372"/>
      <c r="D937" s="372"/>
      <c r="E937" s="372"/>
      <c r="F937" s="372"/>
      <c r="G937" s="372"/>
      <c r="H937" s="372"/>
      <c r="I937" s="372"/>
      <c r="J937" s="372"/>
      <c r="K937" s="372"/>
      <c r="L937" s="372"/>
      <c r="M937" s="372"/>
      <c r="N937" s="372"/>
      <c r="O937" s="372"/>
      <c r="P937" s="372"/>
      <c r="Q937" s="372"/>
      <c r="R937" s="372"/>
      <c r="S937" s="372"/>
      <c r="T937" s="372"/>
      <c r="U937" s="372"/>
      <c r="V937" s="372"/>
      <c r="W937" s="372"/>
      <c r="X937" s="372"/>
      <c r="Y937" s="372"/>
      <c r="Z937" s="372"/>
    </row>
    <row r="938">
      <c r="A938" s="372"/>
      <c r="B938" s="372"/>
      <c r="C938" s="372"/>
      <c r="D938" s="372"/>
      <c r="E938" s="372"/>
      <c r="F938" s="372"/>
      <c r="G938" s="372"/>
      <c r="H938" s="372"/>
      <c r="I938" s="372"/>
      <c r="J938" s="372"/>
      <c r="K938" s="372"/>
      <c r="L938" s="372"/>
      <c r="M938" s="372"/>
      <c r="N938" s="372"/>
      <c r="O938" s="372"/>
      <c r="P938" s="372"/>
      <c r="Q938" s="372"/>
      <c r="R938" s="372"/>
      <c r="S938" s="372"/>
      <c r="T938" s="372"/>
      <c r="U938" s="372"/>
      <c r="V938" s="372"/>
      <c r="W938" s="372"/>
      <c r="X938" s="372"/>
      <c r="Y938" s="372"/>
      <c r="Z938" s="372"/>
    </row>
    <row r="939">
      <c r="A939" s="372"/>
      <c r="B939" s="372"/>
      <c r="C939" s="372"/>
      <c r="D939" s="372"/>
      <c r="E939" s="372"/>
      <c r="F939" s="372"/>
      <c r="G939" s="372"/>
      <c r="H939" s="372"/>
      <c r="I939" s="372"/>
      <c r="J939" s="372"/>
      <c r="K939" s="372"/>
      <c r="L939" s="372"/>
      <c r="M939" s="372"/>
      <c r="N939" s="372"/>
      <c r="O939" s="372"/>
      <c r="P939" s="372"/>
      <c r="Q939" s="372"/>
      <c r="R939" s="372"/>
      <c r="S939" s="372"/>
      <c r="T939" s="372"/>
      <c r="U939" s="372"/>
      <c r="V939" s="372"/>
      <c r="W939" s="372"/>
      <c r="X939" s="372"/>
      <c r="Y939" s="372"/>
      <c r="Z939" s="372"/>
    </row>
    <row r="940">
      <c r="A940" s="372"/>
      <c r="B940" s="372"/>
      <c r="C940" s="372"/>
      <c r="D940" s="372"/>
      <c r="E940" s="372"/>
      <c r="F940" s="372"/>
      <c r="G940" s="372"/>
      <c r="H940" s="372"/>
      <c r="I940" s="372"/>
      <c r="J940" s="372"/>
      <c r="K940" s="372"/>
      <c r="L940" s="372"/>
      <c r="M940" s="372"/>
      <c r="N940" s="372"/>
      <c r="O940" s="372"/>
      <c r="P940" s="372"/>
      <c r="Q940" s="372"/>
      <c r="R940" s="372"/>
      <c r="S940" s="372"/>
      <c r="T940" s="372"/>
      <c r="U940" s="372"/>
      <c r="V940" s="372"/>
      <c r="W940" s="372"/>
      <c r="X940" s="372"/>
      <c r="Y940" s="372"/>
      <c r="Z940" s="372"/>
    </row>
    <row r="941">
      <c r="A941" s="372"/>
      <c r="B941" s="372"/>
      <c r="C941" s="372"/>
      <c r="D941" s="372"/>
      <c r="E941" s="372"/>
      <c r="F941" s="372"/>
      <c r="G941" s="372"/>
      <c r="H941" s="372"/>
      <c r="I941" s="372"/>
      <c r="J941" s="372"/>
      <c r="K941" s="372"/>
      <c r="L941" s="372"/>
      <c r="M941" s="372"/>
      <c r="N941" s="372"/>
      <c r="O941" s="372"/>
      <c r="P941" s="372"/>
      <c r="Q941" s="372"/>
      <c r="R941" s="372"/>
      <c r="S941" s="372"/>
      <c r="T941" s="372"/>
      <c r="U941" s="372"/>
      <c r="V941" s="372"/>
      <c r="W941" s="372"/>
      <c r="X941" s="372"/>
      <c r="Y941" s="372"/>
      <c r="Z941" s="372"/>
    </row>
    <row r="942">
      <c r="A942" s="372"/>
      <c r="B942" s="372"/>
      <c r="C942" s="372"/>
      <c r="D942" s="372"/>
      <c r="E942" s="372"/>
      <c r="F942" s="372"/>
      <c r="G942" s="372"/>
      <c r="H942" s="372"/>
      <c r="I942" s="372"/>
      <c r="J942" s="372"/>
      <c r="K942" s="372"/>
      <c r="L942" s="372"/>
      <c r="M942" s="372"/>
      <c r="N942" s="372"/>
      <c r="O942" s="372"/>
      <c r="P942" s="372"/>
      <c r="Q942" s="372"/>
      <c r="R942" s="372"/>
      <c r="S942" s="372"/>
      <c r="T942" s="372"/>
      <c r="U942" s="372"/>
      <c r="V942" s="372"/>
      <c r="W942" s="372"/>
      <c r="X942" s="372"/>
      <c r="Y942" s="372"/>
      <c r="Z942" s="372"/>
    </row>
    <row r="943">
      <c r="A943" s="372"/>
      <c r="B943" s="372"/>
      <c r="C943" s="372"/>
      <c r="D943" s="372"/>
      <c r="E943" s="372"/>
      <c r="F943" s="372"/>
      <c r="G943" s="372"/>
      <c r="H943" s="372"/>
      <c r="I943" s="372"/>
      <c r="J943" s="372"/>
      <c r="K943" s="372"/>
      <c r="L943" s="372"/>
      <c r="M943" s="372"/>
      <c r="N943" s="372"/>
      <c r="O943" s="372"/>
      <c r="P943" s="372"/>
      <c r="Q943" s="372"/>
      <c r="R943" s="372"/>
      <c r="S943" s="372"/>
      <c r="T943" s="372"/>
      <c r="U943" s="372"/>
      <c r="V943" s="372"/>
      <c r="W943" s="372"/>
      <c r="X943" s="372"/>
      <c r="Y943" s="372"/>
      <c r="Z943" s="372"/>
    </row>
    <row r="944">
      <c r="A944" s="372"/>
      <c r="B944" s="372"/>
      <c r="C944" s="372"/>
      <c r="D944" s="372"/>
      <c r="E944" s="372"/>
      <c r="F944" s="372"/>
      <c r="G944" s="372"/>
      <c r="H944" s="372"/>
      <c r="I944" s="372"/>
      <c r="J944" s="372"/>
      <c r="K944" s="372"/>
      <c r="L944" s="372"/>
      <c r="M944" s="372"/>
      <c r="N944" s="372"/>
      <c r="O944" s="372"/>
      <c r="P944" s="372"/>
      <c r="Q944" s="372"/>
      <c r="R944" s="372"/>
      <c r="S944" s="372"/>
      <c r="T944" s="372"/>
      <c r="U944" s="372"/>
      <c r="V944" s="372"/>
      <c r="W944" s="372"/>
      <c r="X944" s="372"/>
      <c r="Y944" s="372"/>
      <c r="Z944" s="372"/>
    </row>
    <row r="945">
      <c r="A945" s="372"/>
      <c r="B945" s="372"/>
      <c r="C945" s="372"/>
      <c r="D945" s="372"/>
      <c r="E945" s="372"/>
      <c r="F945" s="372"/>
      <c r="G945" s="372"/>
      <c r="H945" s="372"/>
      <c r="I945" s="372"/>
      <c r="J945" s="372"/>
      <c r="K945" s="372"/>
      <c r="L945" s="372"/>
      <c r="M945" s="372"/>
      <c r="N945" s="372"/>
      <c r="O945" s="372"/>
      <c r="P945" s="372"/>
      <c r="Q945" s="372"/>
      <c r="R945" s="372"/>
      <c r="S945" s="372"/>
      <c r="T945" s="372"/>
      <c r="U945" s="372"/>
      <c r="V945" s="372"/>
      <c r="W945" s="372"/>
      <c r="X945" s="372"/>
      <c r="Y945" s="372"/>
      <c r="Z945" s="372"/>
    </row>
    <row r="946">
      <c r="A946" s="372"/>
      <c r="B946" s="372"/>
      <c r="C946" s="372"/>
      <c r="D946" s="372"/>
      <c r="E946" s="372"/>
      <c r="F946" s="372"/>
      <c r="G946" s="372"/>
      <c r="H946" s="372"/>
      <c r="I946" s="372"/>
      <c r="J946" s="372"/>
      <c r="K946" s="372"/>
      <c r="L946" s="372"/>
      <c r="M946" s="372"/>
      <c r="N946" s="372"/>
      <c r="O946" s="372"/>
      <c r="P946" s="372"/>
      <c r="Q946" s="372"/>
      <c r="R946" s="372"/>
      <c r="S946" s="372"/>
      <c r="T946" s="372"/>
      <c r="U946" s="372"/>
      <c r="V946" s="372"/>
      <c r="W946" s="372"/>
      <c r="X946" s="372"/>
      <c r="Y946" s="372"/>
      <c r="Z946" s="372"/>
    </row>
    <row r="947">
      <c r="A947" s="372"/>
      <c r="B947" s="372"/>
      <c r="C947" s="372"/>
      <c r="D947" s="372"/>
      <c r="E947" s="372"/>
      <c r="F947" s="372"/>
      <c r="G947" s="372"/>
      <c r="H947" s="372"/>
      <c r="I947" s="372"/>
      <c r="J947" s="372"/>
      <c r="K947" s="372"/>
      <c r="L947" s="372"/>
      <c r="M947" s="372"/>
      <c r="N947" s="372"/>
      <c r="O947" s="372"/>
      <c r="P947" s="372"/>
      <c r="Q947" s="372"/>
      <c r="R947" s="372"/>
      <c r="S947" s="372"/>
      <c r="T947" s="372"/>
      <c r="U947" s="372"/>
      <c r="V947" s="372"/>
      <c r="W947" s="372"/>
      <c r="X947" s="372"/>
      <c r="Y947" s="372"/>
      <c r="Z947" s="372"/>
    </row>
    <row r="948">
      <c r="A948" s="372"/>
      <c r="B948" s="372"/>
      <c r="C948" s="372"/>
      <c r="D948" s="372"/>
      <c r="E948" s="372"/>
      <c r="F948" s="372"/>
      <c r="G948" s="372"/>
      <c r="H948" s="372"/>
      <c r="I948" s="372"/>
      <c r="J948" s="372"/>
      <c r="K948" s="372"/>
      <c r="L948" s="372"/>
      <c r="M948" s="372"/>
      <c r="N948" s="372"/>
      <c r="O948" s="372"/>
      <c r="P948" s="372"/>
      <c r="Q948" s="372"/>
      <c r="R948" s="372"/>
      <c r="S948" s="372"/>
      <c r="T948" s="372"/>
      <c r="U948" s="372"/>
      <c r="V948" s="372"/>
      <c r="W948" s="372"/>
      <c r="X948" s="372"/>
      <c r="Y948" s="372"/>
      <c r="Z948" s="372"/>
    </row>
    <row r="949">
      <c r="A949" s="372"/>
      <c r="B949" s="372"/>
      <c r="C949" s="372"/>
      <c r="D949" s="372"/>
      <c r="E949" s="372"/>
      <c r="F949" s="372"/>
      <c r="G949" s="372"/>
      <c r="H949" s="372"/>
      <c r="I949" s="372"/>
      <c r="J949" s="372"/>
      <c r="K949" s="372"/>
      <c r="L949" s="372"/>
      <c r="M949" s="372"/>
      <c r="N949" s="372"/>
      <c r="O949" s="372"/>
      <c r="P949" s="372"/>
      <c r="Q949" s="372"/>
      <c r="R949" s="372"/>
      <c r="S949" s="372"/>
      <c r="T949" s="372"/>
      <c r="U949" s="372"/>
      <c r="V949" s="372"/>
      <c r="W949" s="372"/>
      <c r="X949" s="372"/>
      <c r="Y949" s="372"/>
      <c r="Z949" s="372"/>
    </row>
    <row r="950">
      <c r="A950" s="372"/>
      <c r="B950" s="372"/>
      <c r="C950" s="372"/>
      <c r="D950" s="372"/>
      <c r="E950" s="372"/>
      <c r="F950" s="372"/>
      <c r="G950" s="372"/>
      <c r="H950" s="372"/>
      <c r="I950" s="372"/>
      <c r="J950" s="372"/>
      <c r="K950" s="372"/>
      <c r="L950" s="372"/>
      <c r="M950" s="372"/>
      <c r="N950" s="372"/>
      <c r="O950" s="372"/>
      <c r="P950" s="372"/>
      <c r="Q950" s="372"/>
      <c r="R950" s="372"/>
      <c r="S950" s="372"/>
      <c r="T950" s="372"/>
      <c r="U950" s="372"/>
      <c r="V950" s="372"/>
      <c r="W950" s="372"/>
      <c r="X950" s="372"/>
      <c r="Y950" s="372"/>
      <c r="Z950" s="372"/>
    </row>
    <row r="951">
      <c r="A951" s="372"/>
      <c r="B951" s="372"/>
      <c r="C951" s="372"/>
      <c r="D951" s="372"/>
      <c r="E951" s="372"/>
      <c r="F951" s="372"/>
      <c r="G951" s="372"/>
      <c r="H951" s="372"/>
      <c r="I951" s="372"/>
      <c r="J951" s="372"/>
      <c r="K951" s="372"/>
      <c r="L951" s="372"/>
      <c r="M951" s="372"/>
      <c r="N951" s="372"/>
      <c r="O951" s="372"/>
      <c r="P951" s="372"/>
      <c r="Q951" s="372"/>
      <c r="R951" s="372"/>
      <c r="S951" s="372"/>
      <c r="T951" s="372"/>
      <c r="U951" s="372"/>
      <c r="V951" s="372"/>
      <c r="W951" s="372"/>
      <c r="X951" s="372"/>
      <c r="Y951" s="372"/>
      <c r="Z951" s="372"/>
    </row>
    <row r="952">
      <c r="A952" s="372"/>
      <c r="B952" s="372"/>
      <c r="C952" s="372"/>
      <c r="D952" s="372"/>
      <c r="E952" s="372"/>
      <c r="F952" s="372"/>
      <c r="G952" s="372"/>
      <c r="H952" s="372"/>
      <c r="I952" s="372"/>
      <c r="J952" s="372"/>
      <c r="K952" s="372"/>
      <c r="L952" s="372"/>
      <c r="M952" s="372"/>
      <c r="N952" s="372"/>
      <c r="O952" s="372"/>
      <c r="P952" s="372"/>
      <c r="Q952" s="372"/>
      <c r="R952" s="372"/>
      <c r="S952" s="372"/>
      <c r="T952" s="372"/>
      <c r="U952" s="372"/>
      <c r="V952" s="372"/>
      <c r="W952" s="372"/>
      <c r="X952" s="372"/>
      <c r="Y952" s="372"/>
      <c r="Z952" s="372"/>
    </row>
    <row r="953">
      <c r="A953" s="372"/>
      <c r="B953" s="372"/>
      <c r="C953" s="372"/>
      <c r="D953" s="372"/>
      <c r="E953" s="372"/>
      <c r="F953" s="372"/>
      <c r="G953" s="372"/>
      <c r="H953" s="372"/>
      <c r="I953" s="372"/>
      <c r="J953" s="372"/>
      <c r="K953" s="372"/>
      <c r="L953" s="372"/>
      <c r="M953" s="372"/>
      <c r="N953" s="372"/>
      <c r="O953" s="372"/>
      <c r="P953" s="372"/>
      <c r="Q953" s="372"/>
      <c r="R953" s="372"/>
      <c r="S953" s="372"/>
      <c r="T953" s="372"/>
      <c r="U953" s="372"/>
      <c r="V953" s="372"/>
      <c r="W953" s="372"/>
      <c r="X953" s="372"/>
      <c r="Y953" s="372"/>
      <c r="Z953" s="372"/>
    </row>
    <row r="954">
      <c r="A954" s="372"/>
      <c r="B954" s="372"/>
      <c r="C954" s="372"/>
      <c r="D954" s="372"/>
      <c r="E954" s="372"/>
      <c r="F954" s="372"/>
      <c r="G954" s="372"/>
      <c r="H954" s="372"/>
      <c r="I954" s="372"/>
      <c r="J954" s="372"/>
      <c r="K954" s="372"/>
      <c r="L954" s="372"/>
      <c r="M954" s="372"/>
      <c r="N954" s="372"/>
      <c r="O954" s="372"/>
      <c r="P954" s="372"/>
      <c r="Q954" s="372"/>
      <c r="R954" s="372"/>
      <c r="S954" s="372"/>
      <c r="T954" s="372"/>
      <c r="U954" s="372"/>
      <c r="V954" s="372"/>
      <c r="W954" s="372"/>
      <c r="X954" s="372"/>
      <c r="Y954" s="372"/>
      <c r="Z954" s="372"/>
    </row>
    <row r="955">
      <c r="A955" s="372"/>
      <c r="B955" s="372"/>
      <c r="C955" s="372"/>
      <c r="D955" s="372"/>
      <c r="E955" s="372"/>
      <c r="F955" s="372"/>
      <c r="G955" s="372"/>
      <c r="H955" s="372"/>
      <c r="I955" s="372"/>
      <c r="J955" s="372"/>
      <c r="K955" s="372"/>
      <c r="L955" s="372"/>
      <c r="M955" s="372"/>
      <c r="N955" s="372"/>
      <c r="O955" s="372"/>
      <c r="P955" s="372"/>
      <c r="Q955" s="372"/>
      <c r="R955" s="372"/>
      <c r="S955" s="372"/>
      <c r="T955" s="372"/>
      <c r="U955" s="372"/>
      <c r="V955" s="372"/>
      <c r="W955" s="372"/>
      <c r="X955" s="372"/>
      <c r="Y955" s="372"/>
      <c r="Z955" s="372"/>
    </row>
    <row r="956">
      <c r="A956" s="372"/>
      <c r="B956" s="372"/>
      <c r="C956" s="372"/>
      <c r="D956" s="372"/>
      <c r="E956" s="372"/>
      <c r="F956" s="372"/>
      <c r="G956" s="372"/>
      <c r="H956" s="372"/>
      <c r="I956" s="372"/>
      <c r="J956" s="372"/>
      <c r="K956" s="372"/>
      <c r="L956" s="372"/>
      <c r="M956" s="372"/>
      <c r="N956" s="372"/>
      <c r="O956" s="372"/>
      <c r="P956" s="372"/>
      <c r="Q956" s="372"/>
      <c r="R956" s="372"/>
      <c r="S956" s="372"/>
      <c r="T956" s="372"/>
      <c r="U956" s="372"/>
      <c r="V956" s="372"/>
      <c r="W956" s="372"/>
      <c r="X956" s="372"/>
      <c r="Y956" s="372"/>
      <c r="Z956" s="372"/>
    </row>
    <row r="957">
      <c r="A957" s="372"/>
      <c r="B957" s="372"/>
      <c r="C957" s="372"/>
      <c r="D957" s="372"/>
      <c r="E957" s="372"/>
      <c r="F957" s="372"/>
      <c r="G957" s="372"/>
      <c r="H957" s="372"/>
      <c r="I957" s="372"/>
      <c r="J957" s="372"/>
      <c r="K957" s="372"/>
      <c r="L957" s="372"/>
      <c r="M957" s="372"/>
      <c r="N957" s="372"/>
      <c r="O957" s="372"/>
      <c r="P957" s="372"/>
      <c r="Q957" s="372"/>
      <c r="R957" s="372"/>
      <c r="S957" s="372"/>
      <c r="T957" s="372"/>
      <c r="U957" s="372"/>
      <c r="V957" s="372"/>
      <c r="W957" s="372"/>
      <c r="X957" s="372"/>
      <c r="Y957" s="372"/>
      <c r="Z957" s="372"/>
    </row>
    <row r="958">
      <c r="A958" s="372"/>
      <c r="B958" s="372"/>
      <c r="C958" s="372"/>
      <c r="D958" s="372"/>
      <c r="E958" s="372"/>
      <c r="F958" s="372"/>
      <c r="G958" s="372"/>
      <c r="H958" s="372"/>
      <c r="I958" s="372"/>
      <c r="J958" s="372"/>
      <c r="K958" s="372"/>
      <c r="L958" s="372"/>
      <c r="M958" s="372"/>
      <c r="N958" s="372"/>
      <c r="O958" s="372"/>
      <c r="P958" s="372"/>
      <c r="Q958" s="372"/>
      <c r="R958" s="372"/>
      <c r="S958" s="372"/>
      <c r="T958" s="372"/>
      <c r="U958" s="372"/>
      <c r="V958" s="372"/>
      <c r="W958" s="372"/>
      <c r="X958" s="372"/>
      <c r="Y958" s="372"/>
      <c r="Z958" s="372"/>
    </row>
    <row r="959">
      <c r="A959" s="372"/>
      <c r="B959" s="372"/>
      <c r="C959" s="372"/>
      <c r="D959" s="372"/>
      <c r="E959" s="372"/>
      <c r="F959" s="372"/>
      <c r="G959" s="372"/>
      <c r="H959" s="372"/>
      <c r="I959" s="372"/>
      <c r="J959" s="372"/>
      <c r="K959" s="372"/>
      <c r="L959" s="372"/>
      <c r="M959" s="372"/>
      <c r="N959" s="372"/>
      <c r="O959" s="372"/>
      <c r="P959" s="372"/>
      <c r="Q959" s="372"/>
      <c r="R959" s="372"/>
      <c r="S959" s="372"/>
      <c r="T959" s="372"/>
      <c r="U959" s="372"/>
      <c r="V959" s="372"/>
      <c r="W959" s="372"/>
      <c r="X959" s="372"/>
      <c r="Y959" s="372"/>
      <c r="Z959" s="372"/>
    </row>
    <row r="960">
      <c r="A960" s="372"/>
      <c r="B960" s="372"/>
      <c r="C960" s="372"/>
      <c r="D960" s="372"/>
      <c r="E960" s="372"/>
      <c r="F960" s="372"/>
      <c r="G960" s="372"/>
      <c r="H960" s="372"/>
      <c r="I960" s="372"/>
      <c r="J960" s="372"/>
      <c r="K960" s="372"/>
      <c r="L960" s="372"/>
      <c r="M960" s="372"/>
      <c r="N960" s="372"/>
      <c r="O960" s="372"/>
      <c r="P960" s="372"/>
      <c r="Q960" s="372"/>
      <c r="R960" s="372"/>
      <c r="S960" s="372"/>
      <c r="T960" s="372"/>
      <c r="U960" s="372"/>
      <c r="V960" s="372"/>
      <c r="W960" s="372"/>
      <c r="X960" s="372"/>
      <c r="Y960" s="372"/>
      <c r="Z960" s="372"/>
    </row>
    <row r="961">
      <c r="A961" s="372"/>
      <c r="B961" s="372"/>
      <c r="C961" s="372"/>
      <c r="D961" s="372"/>
      <c r="E961" s="372"/>
      <c r="F961" s="372"/>
      <c r="G961" s="372"/>
      <c r="H961" s="372"/>
      <c r="I961" s="372"/>
      <c r="J961" s="372"/>
      <c r="K961" s="372"/>
      <c r="L961" s="372"/>
      <c r="M961" s="372"/>
      <c r="N961" s="372"/>
      <c r="O961" s="372"/>
      <c r="P961" s="372"/>
      <c r="Q961" s="372"/>
      <c r="R961" s="372"/>
      <c r="S961" s="372"/>
      <c r="T961" s="372"/>
      <c r="U961" s="372"/>
      <c r="V961" s="372"/>
      <c r="W961" s="372"/>
      <c r="X961" s="372"/>
      <c r="Y961" s="372"/>
      <c r="Z961" s="372"/>
    </row>
    <row r="962">
      <c r="A962" s="372"/>
      <c r="B962" s="372"/>
      <c r="C962" s="372"/>
      <c r="D962" s="372"/>
      <c r="E962" s="372"/>
      <c r="F962" s="372"/>
      <c r="G962" s="372"/>
      <c r="H962" s="372"/>
      <c r="I962" s="372"/>
      <c r="J962" s="372"/>
      <c r="K962" s="372"/>
      <c r="L962" s="372"/>
      <c r="M962" s="372"/>
      <c r="N962" s="372"/>
      <c r="O962" s="372"/>
      <c r="P962" s="372"/>
      <c r="Q962" s="372"/>
      <c r="R962" s="372"/>
      <c r="S962" s="372"/>
      <c r="T962" s="372"/>
      <c r="U962" s="372"/>
      <c r="V962" s="372"/>
      <c r="W962" s="372"/>
      <c r="X962" s="372"/>
      <c r="Y962" s="372"/>
      <c r="Z962" s="372"/>
    </row>
    <row r="963">
      <c r="A963" s="372"/>
      <c r="B963" s="372"/>
      <c r="C963" s="372"/>
      <c r="D963" s="372"/>
      <c r="E963" s="372"/>
      <c r="F963" s="372"/>
      <c r="G963" s="372"/>
      <c r="H963" s="372"/>
      <c r="I963" s="372"/>
      <c r="J963" s="372"/>
      <c r="K963" s="372"/>
      <c r="L963" s="372"/>
      <c r="M963" s="372"/>
      <c r="N963" s="372"/>
      <c r="O963" s="372"/>
      <c r="P963" s="372"/>
      <c r="Q963" s="372"/>
      <c r="R963" s="372"/>
      <c r="S963" s="372"/>
      <c r="T963" s="372"/>
      <c r="U963" s="372"/>
      <c r="V963" s="372"/>
      <c r="W963" s="372"/>
      <c r="X963" s="372"/>
      <c r="Y963" s="372"/>
      <c r="Z963" s="372"/>
    </row>
    <row r="964">
      <c r="A964" s="372"/>
      <c r="B964" s="372"/>
      <c r="C964" s="372"/>
      <c r="D964" s="372"/>
      <c r="E964" s="372"/>
      <c r="F964" s="372"/>
      <c r="G964" s="372"/>
      <c r="H964" s="372"/>
      <c r="I964" s="372"/>
      <c r="J964" s="372"/>
      <c r="K964" s="372"/>
      <c r="L964" s="372"/>
      <c r="M964" s="372"/>
      <c r="N964" s="372"/>
      <c r="O964" s="372"/>
      <c r="P964" s="372"/>
      <c r="Q964" s="372"/>
      <c r="R964" s="372"/>
      <c r="S964" s="372"/>
      <c r="T964" s="372"/>
      <c r="U964" s="372"/>
      <c r="V964" s="372"/>
      <c r="W964" s="372"/>
      <c r="X964" s="372"/>
      <c r="Y964" s="372"/>
      <c r="Z964" s="372"/>
    </row>
    <row r="965">
      <c r="A965" s="372"/>
      <c r="B965" s="372"/>
      <c r="C965" s="372"/>
      <c r="D965" s="372"/>
      <c r="E965" s="372"/>
      <c r="F965" s="372"/>
      <c r="G965" s="372"/>
      <c r="H965" s="372"/>
      <c r="I965" s="372"/>
      <c r="J965" s="372"/>
      <c r="K965" s="372"/>
      <c r="L965" s="372"/>
      <c r="M965" s="372"/>
      <c r="N965" s="372"/>
      <c r="O965" s="372"/>
      <c r="P965" s="372"/>
      <c r="Q965" s="372"/>
      <c r="R965" s="372"/>
      <c r="S965" s="372"/>
      <c r="T965" s="372"/>
      <c r="U965" s="372"/>
      <c r="V965" s="372"/>
      <c r="W965" s="372"/>
      <c r="X965" s="372"/>
      <c r="Y965" s="372"/>
      <c r="Z965" s="372"/>
    </row>
    <row r="966">
      <c r="A966" s="372"/>
      <c r="B966" s="372"/>
      <c r="C966" s="372"/>
      <c r="D966" s="372"/>
      <c r="E966" s="372"/>
      <c r="F966" s="372"/>
      <c r="G966" s="372"/>
      <c r="H966" s="372"/>
      <c r="I966" s="372"/>
      <c r="J966" s="372"/>
      <c r="K966" s="372"/>
      <c r="L966" s="372"/>
      <c r="M966" s="372"/>
      <c r="N966" s="372"/>
      <c r="O966" s="372"/>
      <c r="P966" s="372"/>
      <c r="Q966" s="372"/>
      <c r="R966" s="372"/>
      <c r="S966" s="372"/>
      <c r="T966" s="372"/>
      <c r="U966" s="372"/>
      <c r="V966" s="372"/>
      <c r="W966" s="372"/>
      <c r="X966" s="372"/>
      <c r="Y966" s="372"/>
      <c r="Z966" s="372"/>
    </row>
    <row r="967">
      <c r="A967" s="372"/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  <c r="T967" s="372"/>
      <c r="U967" s="372"/>
      <c r="V967" s="372"/>
      <c r="W967" s="372"/>
      <c r="X967" s="372"/>
      <c r="Y967" s="372"/>
      <c r="Z967" s="372"/>
    </row>
    <row r="968">
      <c r="A968" s="372"/>
      <c r="B968" s="372"/>
      <c r="C968" s="372"/>
      <c r="D968" s="372"/>
      <c r="E968" s="372"/>
      <c r="F968" s="372"/>
      <c r="G968" s="372"/>
      <c r="H968" s="372"/>
      <c r="I968" s="372"/>
      <c r="J968" s="372"/>
      <c r="K968" s="372"/>
      <c r="L968" s="372"/>
      <c r="M968" s="372"/>
      <c r="N968" s="372"/>
      <c r="O968" s="372"/>
      <c r="P968" s="372"/>
      <c r="Q968" s="372"/>
      <c r="R968" s="372"/>
      <c r="S968" s="372"/>
      <c r="T968" s="372"/>
      <c r="U968" s="372"/>
      <c r="V968" s="372"/>
      <c r="W968" s="372"/>
      <c r="X968" s="372"/>
      <c r="Y968" s="372"/>
      <c r="Z968" s="372"/>
    </row>
    <row r="969">
      <c r="A969" s="372"/>
      <c r="B969" s="372"/>
      <c r="C969" s="372"/>
      <c r="D969" s="372"/>
      <c r="E969" s="372"/>
      <c r="F969" s="372"/>
      <c r="G969" s="372"/>
      <c r="H969" s="372"/>
      <c r="I969" s="372"/>
      <c r="J969" s="372"/>
      <c r="K969" s="372"/>
      <c r="L969" s="372"/>
      <c r="M969" s="372"/>
      <c r="N969" s="372"/>
      <c r="O969" s="372"/>
      <c r="P969" s="372"/>
      <c r="Q969" s="372"/>
      <c r="R969" s="372"/>
      <c r="S969" s="372"/>
      <c r="T969" s="372"/>
      <c r="U969" s="372"/>
      <c r="V969" s="372"/>
      <c r="W969" s="372"/>
      <c r="X969" s="372"/>
      <c r="Y969" s="372"/>
      <c r="Z969" s="372"/>
    </row>
    <row r="970">
      <c r="A970" s="372"/>
      <c r="B970" s="372"/>
      <c r="C970" s="372"/>
      <c r="D970" s="372"/>
      <c r="E970" s="372"/>
      <c r="F970" s="372"/>
      <c r="G970" s="372"/>
      <c r="H970" s="372"/>
      <c r="I970" s="372"/>
      <c r="J970" s="372"/>
      <c r="K970" s="372"/>
      <c r="L970" s="372"/>
      <c r="M970" s="372"/>
      <c r="N970" s="372"/>
      <c r="O970" s="372"/>
      <c r="P970" s="372"/>
      <c r="Q970" s="372"/>
      <c r="R970" s="372"/>
      <c r="S970" s="372"/>
      <c r="T970" s="372"/>
      <c r="U970" s="372"/>
      <c r="V970" s="372"/>
      <c r="W970" s="372"/>
      <c r="X970" s="372"/>
      <c r="Y970" s="372"/>
      <c r="Z970" s="372"/>
    </row>
    <row r="971">
      <c r="A971" s="372"/>
      <c r="B971" s="372"/>
      <c r="C971" s="372"/>
      <c r="D971" s="372"/>
      <c r="E971" s="372"/>
      <c r="F971" s="372"/>
      <c r="G971" s="372"/>
      <c r="H971" s="372"/>
      <c r="I971" s="372"/>
      <c r="J971" s="372"/>
      <c r="K971" s="372"/>
      <c r="L971" s="372"/>
      <c r="M971" s="372"/>
      <c r="N971" s="372"/>
      <c r="O971" s="372"/>
      <c r="P971" s="372"/>
      <c r="Q971" s="372"/>
      <c r="R971" s="372"/>
      <c r="S971" s="372"/>
      <c r="T971" s="372"/>
      <c r="U971" s="372"/>
      <c r="V971" s="372"/>
      <c r="W971" s="372"/>
      <c r="X971" s="372"/>
      <c r="Y971" s="372"/>
      <c r="Z971" s="372"/>
    </row>
    <row r="972">
      <c r="A972" s="372"/>
      <c r="B972" s="372"/>
      <c r="C972" s="372"/>
      <c r="D972" s="372"/>
      <c r="E972" s="372"/>
      <c r="F972" s="372"/>
      <c r="G972" s="372"/>
      <c r="H972" s="372"/>
      <c r="I972" s="372"/>
      <c r="J972" s="372"/>
      <c r="K972" s="372"/>
      <c r="L972" s="372"/>
      <c r="M972" s="372"/>
      <c r="N972" s="372"/>
      <c r="O972" s="372"/>
      <c r="P972" s="372"/>
      <c r="Q972" s="372"/>
      <c r="R972" s="372"/>
      <c r="S972" s="372"/>
      <c r="T972" s="372"/>
      <c r="U972" s="372"/>
      <c r="V972" s="372"/>
      <c r="W972" s="372"/>
      <c r="X972" s="372"/>
      <c r="Y972" s="372"/>
      <c r="Z972" s="372"/>
    </row>
    <row r="973">
      <c r="A973" s="372"/>
      <c r="B973" s="372"/>
      <c r="C973" s="372"/>
      <c r="D973" s="372"/>
      <c r="E973" s="372"/>
      <c r="F973" s="372"/>
      <c r="G973" s="372"/>
      <c r="H973" s="372"/>
      <c r="I973" s="372"/>
      <c r="J973" s="372"/>
      <c r="K973" s="372"/>
      <c r="L973" s="372"/>
      <c r="M973" s="372"/>
      <c r="N973" s="372"/>
      <c r="O973" s="372"/>
      <c r="P973" s="372"/>
      <c r="Q973" s="372"/>
      <c r="R973" s="372"/>
      <c r="S973" s="372"/>
      <c r="T973" s="372"/>
      <c r="U973" s="372"/>
      <c r="V973" s="372"/>
      <c r="W973" s="372"/>
      <c r="X973" s="372"/>
      <c r="Y973" s="372"/>
      <c r="Z973" s="372"/>
    </row>
    <row r="974">
      <c r="A974" s="372"/>
      <c r="B974" s="372"/>
      <c r="C974" s="372"/>
      <c r="D974" s="372"/>
      <c r="E974" s="372"/>
      <c r="F974" s="372"/>
      <c r="G974" s="372"/>
      <c r="H974" s="372"/>
      <c r="I974" s="372"/>
      <c r="J974" s="372"/>
      <c r="K974" s="372"/>
      <c r="L974" s="372"/>
      <c r="M974" s="372"/>
      <c r="N974" s="372"/>
      <c r="O974" s="372"/>
      <c r="P974" s="372"/>
      <c r="Q974" s="372"/>
      <c r="R974" s="372"/>
      <c r="S974" s="372"/>
      <c r="T974" s="372"/>
      <c r="U974" s="372"/>
      <c r="V974" s="372"/>
      <c r="W974" s="372"/>
      <c r="X974" s="372"/>
      <c r="Y974" s="372"/>
      <c r="Z974" s="372"/>
    </row>
    <row r="975">
      <c r="A975" s="372"/>
      <c r="B975" s="372"/>
      <c r="C975" s="372"/>
      <c r="D975" s="372"/>
      <c r="E975" s="372"/>
      <c r="F975" s="372"/>
      <c r="G975" s="372"/>
      <c r="H975" s="372"/>
      <c r="I975" s="372"/>
      <c r="J975" s="372"/>
      <c r="K975" s="372"/>
      <c r="L975" s="372"/>
      <c r="M975" s="372"/>
      <c r="N975" s="372"/>
      <c r="O975" s="372"/>
      <c r="P975" s="372"/>
      <c r="Q975" s="372"/>
      <c r="R975" s="372"/>
      <c r="S975" s="372"/>
      <c r="T975" s="372"/>
      <c r="U975" s="372"/>
      <c r="V975" s="372"/>
      <c r="W975" s="372"/>
      <c r="X975" s="372"/>
      <c r="Y975" s="372"/>
      <c r="Z975" s="372"/>
    </row>
    <row r="976">
      <c r="A976" s="372"/>
      <c r="B976" s="372"/>
      <c r="C976" s="372"/>
      <c r="D976" s="372"/>
      <c r="E976" s="372"/>
      <c r="F976" s="372"/>
      <c r="G976" s="372"/>
      <c r="H976" s="372"/>
      <c r="I976" s="372"/>
      <c r="J976" s="372"/>
      <c r="K976" s="372"/>
      <c r="L976" s="372"/>
      <c r="M976" s="372"/>
      <c r="N976" s="372"/>
      <c r="O976" s="372"/>
      <c r="P976" s="372"/>
      <c r="Q976" s="372"/>
      <c r="R976" s="372"/>
      <c r="S976" s="372"/>
      <c r="T976" s="372"/>
      <c r="U976" s="372"/>
      <c r="V976" s="372"/>
      <c r="W976" s="372"/>
      <c r="X976" s="372"/>
      <c r="Y976" s="372"/>
      <c r="Z976" s="372"/>
    </row>
    <row r="977">
      <c r="A977" s="372"/>
      <c r="B977" s="372"/>
      <c r="C977" s="372"/>
      <c r="D977" s="372"/>
      <c r="E977" s="372"/>
      <c r="F977" s="372"/>
      <c r="G977" s="372"/>
      <c r="H977" s="372"/>
      <c r="I977" s="372"/>
      <c r="J977" s="372"/>
      <c r="K977" s="372"/>
      <c r="L977" s="372"/>
      <c r="M977" s="372"/>
      <c r="N977" s="372"/>
      <c r="O977" s="372"/>
      <c r="P977" s="372"/>
      <c r="Q977" s="372"/>
      <c r="R977" s="372"/>
      <c r="S977" s="372"/>
      <c r="T977" s="372"/>
      <c r="U977" s="372"/>
      <c r="V977" s="372"/>
      <c r="W977" s="372"/>
      <c r="X977" s="372"/>
      <c r="Y977" s="372"/>
      <c r="Z977" s="372"/>
    </row>
    <row r="978">
      <c r="A978" s="372"/>
      <c r="B978" s="372"/>
      <c r="C978" s="372"/>
      <c r="D978" s="372"/>
      <c r="E978" s="372"/>
      <c r="F978" s="372"/>
      <c r="G978" s="372"/>
      <c r="H978" s="372"/>
      <c r="I978" s="372"/>
      <c r="J978" s="372"/>
      <c r="K978" s="372"/>
      <c r="L978" s="372"/>
      <c r="M978" s="372"/>
      <c r="N978" s="372"/>
      <c r="O978" s="372"/>
      <c r="P978" s="372"/>
      <c r="Q978" s="372"/>
      <c r="R978" s="372"/>
      <c r="S978" s="372"/>
      <c r="T978" s="372"/>
      <c r="U978" s="372"/>
      <c r="V978" s="372"/>
      <c r="W978" s="372"/>
      <c r="X978" s="372"/>
      <c r="Y978" s="372"/>
      <c r="Z978" s="372"/>
    </row>
    <row r="979">
      <c r="A979" s="372"/>
      <c r="B979" s="372"/>
      <c r="C979" s="372"/>
      <c r="D979" s="372"/>
      <c r="E979" s="372"/>
      <c r="F979" s="372"/>
      <c r="G979" s="372"/>
      <c r="H979" s="372"/>
      <c r="I979" s="372"/>
      <c r="J979" s="372"/>
      <c r="K979" s="372"/>
      <c r="L979" s="372"/>
      <c r="M979" s="372"/>
      <c r="N979" s="372"/>
      <c r="O979" s="372"/>
      <c r="P979" s="372"/>
      <c r="Q979" s="372"/>
      <c r="R979" s="372"/>
      <c r="S979" s="372"/>
      <c r="T979" s="372"/>
      <c r="U979" s="372"/>
      <c r="V979" s="372"/>
      <c r="W979" s="372"/>
      <c r="X979" s="372"/>
      <c r="Y979" s="372"/>
      <c r="Z979" s="372"/>
    </row>
    <row r="980">
      <c r="A980" s="372"/>
      <c r="B980" s="372"/>
      <c r="C980" s="372"/>
      <c r="D980" s="372"/>
      <c r="E980" s="372"/>
      <c r="F980" s="372"/>
      <c r="G980" s="372"/>
      <c r="H980" s="372"/>
      <c r="I980" s="372"/>
      <c r="J980" s="372"/>
      <c r="K980" s="372"/>
      <c r="L980" s="372"/>
      <c r="M980" s="372"/>
      <c r="N980" s="372"/>
      <c r="O980" s="372"/>
      <c r="P980" s="372"/>
      <c r="Q980" s="372"/>
      <c r="R980" s="372"/>
      <c r="S980" s="372"/>
      <c r="T980" s="372"/>
      <c r="U980" s="372"/>
      <c r="V980" s="372"/>
      <c r="W980" s="372"/>
      <c r="X980" s="372"/>
      <c r="Y980" s="372"/>
      <c r="Z980" s="372"/>
    </row>
    <row r="981">
      <c r="A981" s="372"/>
      <c r="B981" s="372"/>
      <c r="C981" s="372"/>
      <c r="D981" s="372"/>
      <c r="E981" s="372"/>
      <c r="F981" s="372"/>
      <c r="G981" s="372"/>
      <c r="H981" s="372"/>
      <c r="I981" s="372"/>
      <c r="J981" s="372"/>
      <c r="K981" s="372"/>
      <c r="L981" s="372"/>
      <c r="M981" s="372"/>
      <c r="N981" s="372"/>
      <c r="O981" s="372"/>
      <c r="P981" s="372"/>
      <c r="Q981" s="372"/>
      <c r="R981" s="372"/>
      <c r="S981" s="372"/>
      <c r="T981" s="372"/>
      <c r="U981" s="372"/>
      <c r="V981" s="372"/>
      <c r="W981" s="372"/>
      <c r="X981" s="372"/>
      <c r="Y981" s="372"/>
      <c r="Z981" s="372"/>
    </row>
    <row r="982">
      <c r="A982" s="372"/>
      <c r="B982" s="372"/>
      <c r="C982" s="372"/>
      <c r="D982" s="372"/>
      <c r="E982" s="372"/>
      <c r="F982" s="372"/>
      <c r="G982" s="372"/>
      <c r="H982" s="372"/>
      <c r="I982" s="372"/>
      <c r="J982" s="372"/>
      <c r="K982" s="372"/>
      <c r="L982" s="372"/>
      <c r="M982" s="372"/>
      <c r="N982" s="372"/>
      <c r="O982" s="372"/>
      <c r="P982" s="372"/>
      <c r="Q982" s="372"/>
      <c r="R982" s="372"/>
      <c r="S982" s="372"/>
      <c r="T982" s="372"/>
      <c r="U982" s="372"/>
      <c r="V982" s="372"/>
      <c r="W982" s="372"/>
      <c r="X982" s="372"/>
      <c r="Y982" s="372"/>
      <c r="Z982" s="372"/>
    </row>
    <row r="983">
      <c r="A983" s="372"/>
      <c r="B983" s="372"/>
      <c r="C983" s="372"/>
      <c r="D983" s="372"/>
      <c r="E983" s="372"/>
      <c r="F983" s="372"/>
      <c r="G983" s="372"/>
      <c r="H983" s="372"/>
      <c r="I983" s="372"/>
      <c r="J983" s="372"/>
      <c r="K983" s="372"/>
      <c r="L983" s="372"/>
      <c r="M983" s="372"/>
      <c r="N983" s="372"/>
      <c r="O983" s="372"/>
      <c r="P983" s="372"/>
      <c r="Q983" s="372"/>
      <c r="R983" s="372"/>
      <c r="S983" s="372"/>
      <c r="T983" s="372"/>
      <c r="U983" s="372"/>
      <c r="V983" s="372"/>
      <c r="W983" s="372"/>
      <c r="X983" s="372"/>
      <c r="Y983" s="372"/>
      <c r="Z983" s="372"/>
    </row>
    <row r="984">
      <c r="A984" s="372"/>
      <c r="B984" s="372"/>
      <c r="C984" s="372"/>
      <c r="D984" s="372"/>
      <c r="E984" s="372"/>
      <c r="F984" s="372"/>
      <c r="G984" s="372"/>
      <c r="H984" s="372"/>
      <c r="I984" s="372"/>
      <c r="J984" s="372"/>
      <c r="K984" s="372"/>
      <c r="L984" s="372"/>
      <c r="M984" s="372"/>
      <c r="N984" s="372"/>
      <c r="O984" s="372"/>
      <c r="P984" s="372"/>
      <c r="Q984" s="372"/>
      <c r="R984" s="372"/>
      <c r="S984" s="372"/>
      <c r="T984" s="372"/>
      <c r="U984" s="372"/>
      <c r="V984" s="372"/>
      <c r="W984" s="372"/>
      <c r="X984" s="372"/>
      <c r="Y984" s="372"/>
      <c r="Z984" s="372"/>
    </row>
    <row r="985">
      <c r="A985" s="372"/>
      <c r="B985" s="372"/>
      <c r="C985" s="372"/>
      <c r="D985" s="372"/>
      <c r="E985" s="372"/>
      <c r="F985" s="372"/>
      <c r="G985" s="372"/>
      <c r="H985" s="372"/>
      <c r="I985" s="372"/>
      <c r="J985" s="372"/>
      <c r="K985" s="372"/>
      <c r="L985" s="372"/>
      <c r="M985" s="372"/>
      <c r="N985" s="372"/>
      <c r="O985" s="372"/>
      <c r="P985" s="372"/>
      <c r="Q985" s="372"/>
      <c r="R985" s="372"/>
      <c r="S985" s="372"/>
      <c r="T985" s="372"/>
      <c r="U985" s="372"/>
      <c r="V985" s="372"/>
      <c r="W985" s="372"/>
      <c r="X985" s="372"/>
      <c r="Y985" s="372"/>
      <c r="Z985" s="372"/>
    </row>
    <row r="986">
      <c r="A986" s="372"/>
      <c r="B986" s="372"/>
      <c r="C986" s="372"/>
      <c r="D986" s="372"/>
      <c r="E986" s="372"/>
      <c r="F986" s="372"/>
      <c r="G986" s="372"/>
      <c r="H986" s="372"/>
      <c r="I986" s="372"/>
      <c r="J986" s="372"/>
      <c r="K986" s="372"/>
      <c r="L986" s="372"/>
      <c r="M986" s="372"/>
      <c r="N986" s="372"/>
      <c r="O986" s="372"/>
      <c r="P986" s="372"/>
      <c r="Q986" s="372"/>
      <c r="R986" s="372"/>
      <c r="S986" s="372"/>
      <c r="T986" s="372"/>
      <c r="U986" s="372"/>
      <c r="V986" s="372"/>
      <c r="W986" s="372"/>
      <c r="X986" s="372"/>
      <c r="Y986" s="372"/>
      <c r="Z986" s="372"/>
    </row>
    <row r="987">
      <c r="A987" s="372"/>
      <c r="B987" s="372"/>
      <c r="C987" s="372"/>
      <c r="D987" s="372"/>
      <c r="E987" s="372"/>
      <c r="F987" s="372"/>
      <c r="G987" s="372"/>
      <c r="H987" s="372"/>
      <c r="I987" s="372"/>
      <c r="J987" s="372"/>
      <c r="K987" s="372"/>
      <c r="L987" s="372"/>
      <c r="M987" s="372"/>
      <c r="N987" s="372"/>
      <c r="O987" s="372"/>
      <c r="P987" s="372"/>
      <c r="Q987" s="372"/>
      <c r="R987" s="372"/>
      <c r="S987" s="372"/>
      <c r="T987" s="372"/>
      <c r="U987" s="372"/>
      <c r="V987" s="372"/>
      <c r="W987" s="372"/>
      <c r="X987" s="372"/>
      <c r="Y987" s="372"/>
      <c r="Z987" s="372"/>
    </row>
    <row r="988">
      <c r="A988" s="372"/>
      <c r="B988" s="372"/>
      <c r="C988" s="372"/>
      <c r="D988" s="372"/>
      <c r="E988" s="372"/>
      <c r="F988" s="372"/>
      <c r="G988" s="372"/>
      <c r="H988" s="372"/>
      <c r="I988" s="372"/>
      <c r="J988" s="372"/>
      <c r="K988" s="372"/>
      <c r="L988" s="372"/>
      <c r="M988" s="372"/>
      <c r="N988" s="372"/>
      <c r="O988" s="372"/>
      <c r="P988" s="372"/>
      <c r="Q988" s="372"/>
      <c r="R988" s="372"/>
      <c r="S988" s="372"/>
      <c r="T988" s="372"/>
      <c r="U988" s="372"/>
      <c r="V988" s="372"/>
      <c r="W988" s="372"/>
      <c r="X988" s="372"/>
      <c r="Y988" s="372"/>
      <c r="Z988" s="372"/>
    </row>
    <row r="989">
      <c r="A989" s="372"/>
      <c r="B989" s="372"/>
      <c r="C989" s="372"/>
      <c r="D989" s="372"/>
      <c r="E989" s="372"/>
      <c r="F989" s="372"/>
      <c r="G989" s="372"/>
      <c r="H989" s="372"/>
      <c r="I989" s="372"/>
      <c r="J989" s="372"/>
      <c r="K989" s="372"/>
      <c r="L989" s="372"/>
      <c r="M989" s="372"/>
      <c r="N989" s="372"/>
      <c r="O989" s="372"/>
      <c r="P989" s="372"/>
      <c r="Q989" s="372"/>
      <c r="R989" s="372"/>
      <c r="S989" s="372"/>
      <c r="T989" s="372"/>
      <c r="U989" s="372"/>
      <c r="V989" s="372"/>
      <c r="W989" s="372"/>
      <c r="X989" s="372"/>
      <c r="Y989" s="372"/>
      <c r="Z989" s="372"/>
    </row>
    <row r="990">
      <c r="A990" s="372"/>
      <c r="B990" s="372"/>
      <c r="C990" s="372"/>
      <c r="D990" s="372"/>
      <c r="E990" s="372"/>
      <c r="F990" s="372"/>
      <c r="G990" s="372"/>
      <c r="H990" s="372"/>
      <c r="I990" s="372"/>
      <c r="J990" s="372"/>
      <c r="K990" s="372"/>
      <c r="L990" s="372"/>
      <c r="M990" s="372"/>
      <c r="N990" s="372"/>
      <c r="O990" s="372"/>
      <c r="P990" s="372"/>
      <c r="Q990" s="372"/>
      <c r="R990" s="372"/>
      <c r="S990" s="372"/>
      <c r="T990" s="372"/>
      <c r="U990" s="372"/>
      <c r="V990" s="372"/>
      <c r="W990" s="372"/>
      <c r="X990" s="372"/>
      <c r="Y990" s="372"/>
      <c r="Z990" s="372"/>
    </row>
    <row r="991">
      <c r="A991" s="372"/>
      <c r="B991" s="372"/>
      <c r="C991" s="372"/>
      <c r="D991" s="372"/>
      <c r="E991" s="372"/>
      <c r="F991" s="372"/>
      <c r="G991" s="372"/>
      <c r="H991" s="372"/>
      <c r="I991" s="372"/>
      <c r="J991" s="372"/>
      <c r="K991" s="372"/>
      <c r="L991" s="372"/>
      <c r="M991" s="372"/>
      <c r="N991" s="372"/>
      <c r="O991" s="372"/>
      <c r="P991" s="372"/>
      <c r="Q991" s="372"/>
      <c r="R991" s="372"/>
      <c r="S991" s="372"/>
      <c r="T991" s="372"/>
      <c r="U991" s="372"/>
      <c r="V991" s="372"/>
      <c r="W991" s="372"/>
      <c r="X991" s="372"/>
      <c r="Y991" s="372"/>
      <c r="Z991" s="372"/>
    </row>
    <row r="992">
      <c r="A992" s="372"/>
      <c r="B992" s="372"/>
      <c r="C992" s="372"/>
      <c r="D992" s="372"/>
      <c r="E992" s="372"/>
      <c r="F992" s="372"/>
      <c r="G992" s="372"/>
      <c r="H992" s="372"/>
      <c r="I992" s="372"/>
      <c r="J992" s="372"/>
      <c r="K992" s="372"/>
      <c r="L992" s="372"/>
      <c r="M992" s="372"/>
      <c r="N992" s="372"/>
      <c r="O992" s="372"/>
      <c r="P992" s="372"/>
      <c r="Q992" s="372"/>
      <c r="R992" s="372"/>
      <c r="S992" s="372"/>
      <c r="T992" s="372"/>
      <c r="U992" s="372"/>
      <c r="V992" s="372"/>
      <c r="W992" s="372"/>
      <c r="X992" s="372"/>
      <c r="Y992" s="372"/>
      <c r="Z992" s="372"/>
    </row>
    <row r="993">
      <c r="A993" s="372"/>
      <c r="B993" s="372"/>
      <c r="C993" s="372"/>
      <c r="D993" s="372"/>
      <c r="E993" s="372"/>
      <c r="F993" s="372"/>
      <c r="G993" s="372"/>
      <c r="H993" s="372"/>
      <c r="I993" s="372"/>
      <c r="J993" s="372"/>
      <c r="K993" s="372"/>
      <c r="L993" s="372"/>
      <c r="M993" s="372"/>
      <c r="N993" s="372"/>
      <c r="O993" s="372"/>
      <c r="P993" s="372"/>
      <c r="Q993" s="372"/>
      <c r="R993" s="372"/>
      <c r="S993" s="372"/>
      <c r="T993" s="372"/>
      <c r="U993" s="372"/>
      <c r="V993" s="372"/>
      <c r="W993" s="372"/>
      <c r="X993" s="372"/>
      <c r="Y993" s="372"/>
      <c r="Z993" s="372"/>
    </row>
    <row r="994">
      <c r="A994" s="372"/>
      <c r="B994" s="372"/>
      <c r="C994" s="372"/>
      <c r="D994" s="372"/>
      <c r="E994" s="372"/>
      <c r="F994" s="372"/>
      <c r="G994" s="372"/>
      <c r="H994" s="372"/>
      <c r="I994" s="372"/>
      <c r="J994" s="372"/>
      <c r="K994" s="372"/>
      <c r="L994" s="372"/>
      <c r="M994" s="372"/>
      <c r="N994" s="372"/>
      <c r="O994" s="372"/>
      <c r="P994" s="372"/>
      <c r="Q994" s="372"/>
      <c r="R994" s="372"/>
      <c r="S994" s="372"/>
      <c r="T994" s="372"/>
      <c r="U994" s="372"/>
      <c r="V994" s="372"/>
      <c r="W994" s="372"/>
      <c r="X994" s="372"/>
      <c r="Y994" s="372"/>
      <c r="Z994" s="372"/>
    </row>
    <row r="995">
      <c r="A995" s="372"/>
      <c r="B995" s="372"/>
      <c r="C995" s="372"/>
      <c r="D995" s="372"/>
      <c r="E995" s="372"/>
      <c r="F995" s="372"/>
      <c r="G995" s="372"/>
      <c r="H995" s="372"/>
      <c r="I995" s="372"/>
      <c r="J995" s="372"/>
      <c r="K995" s="372"/>
      <c r="L995" s="372"/>
      <c r="M995" s="372"/>
      <c r="N995" s="372"/>
      <c r="O995" s="372"/>
      <c r="P995" s="372"/>
      <c r="Q995" s="372"/>
      <c r="R995" s="372"/>
      <c r="S995" s="372"/>
      <c r="T995" s="372"/>
      <c r="U995" s="372"/>
      <c r="V995" s="372"/>
      <c r="W995" s="372"/>
      <c r="X995" s="372"/>
      <c r="Y995" s="372"/>
      <c r="Z995" s="372"/>
    </row>
    <row r="996">
      <c r="A996" s="372"/>
      <c r="B996" s="372"/>
      <c r="C996" s="372"/>
      <c r="D996" s="372"/>
      <c r="E996" s="372"/>
      <c r="F996" s="372"/>
      <c r="G996" s="372"/>
      <c r="H996" s="372"/>
      <c r="I996" s="372"/>
      <c r="J996" s="372"/>
      <c r="K996" s="372"/>
      <c r="L996" s="372"/>
      <c r="M996" s="372"/>
      <c r="N996" s="372"/>
      <c r="O996" s="372"/>
      <c r="P996" s="372"/>
      <c r="Q996" s="372"/>
      <c r="R996" s="372"/>
      <c r="S996" s="372"/>
      <c r="T996" s="372"/>
      <c r="U996" s="372"/>
      <c r="V996" s="372"/>
      <c r="W996" s="372"/>
      <c r="X996" s="372"/>
      <c r="Y996" s="372"/>
      <c r="Z996" s="372"/>
    </row>
    <row r="997">
      <c r="A997" s="372"/>
      <c r="B997" s="372"/>
      <c r="C997" s="372"/>
      <c r="D997" s="372"/>
      <c r="E997" s="372"/>
      <c r="F997" s="372"/>
      <c r="G997" s="372"/>
      <c r="H997" s="372"/>
      <c r="I997" s="372"/>
      <c r="J997" s="372"/>
      <c r="K997" s="372"/>
      <c r="L997" s="372"/>
      <c r="M997" s="372"/>
      <c r="N997" s="372"/>
      <c r="O997" s="372"/>
      <c r="P997" s="372"/>
      <c r="Q997" s="372"/>
      <c r="R997" s="372"/>
      <c r="S997" s="372"/>
      <c r="T997" s="372"/>
      <c r="U997" s="372"/>
      <c r="V997" s="372"/>
      <c r="W997" s="372"/>
      <c r="X997" s="372"/>
      <c r="Y997" s="372"/>
      <c r="Z997" s="372"/>
    </row>
    <row r="998">
      <c r="A998" s="372"/>
      <c r="B998" s="372"/>
      <c r="C998" s="372"/>
      <c r="D998" s="372"/>
      <c r="E998" s="372"/>
      <c r="F998" s="372"/>
      <c r="G998" s="372"/>
      <c r="H998" s="372"/>
      <c r="I998" s="372"/>
      <c r="J998" s="372"/>
      <c r="K998" s="372"/>
      <c r="L998" s="372"/>
      <c r="M998" s="372"/>
      <c r="N998" s="372"/>
      <c r="O998" s="372"/>
      <c r="P998" s="372"/>
      <c r="Q998" s="372"/>
      <c r="R998" s="372"/>
      <c r="S998" s="372"/>
      <c r="T998" s="372"/>
      <c r="U998" s="372"/>
      <c r="V998" s="372"/>
      <c r="W998" s="372"/>
      <c r="X998" s="372"/>
      <c r="Y998" s="372"/>
      <c r="Z998" s="372"/>
    </row>
    <row r="999">
      <c r="A999" s="372"/>
      <c r="B999" s="372"/>
      <c r="C999" s="372"/>
      <c r="D999" s="372"/>
      <c r="E999" s="372"/>
      <c r="F999" s="372"/>
      <c r="G999" s="372"/>
      <c r="H999" s="372"/>
      <c r="I999" s="372"/>
      <c r="J999" s="372"/>
      <c r="K999" s="372"/>
      <c r="L999" s="372"/>
      <c r="M999" s="372"/>
      <c r="N999" s="372"/>
      <c r="O999" s="372"/>
      <c r="P999" s="372"/>
      <c r="Q999" s="372"/>
      <c r="R999" s="372"/>
      <c r="S999" s="372"/>
      <c r="T999" s="372"/>
      <c r="U999" s="372"/>
      <c r="V999" s="372"/>
      <c r="W999" s="372"/>
      <c r="X999" s="372"/>
      <c r="Y999" s="372"/>
      <c r="Z999" s="372"/>
    </row>
    <row r="1000">
      <c r="A1000" s="372"/>
      <c r="B1000" s="372"/>
      <c r="C1000" s="372"/>
      <c r="D1000" s="372"/>
      <c r="E1000" s="372"/>
      <c r="F1000" s="372"/>
      <c r="G1000" s="372"/>
      <c r="H1000" s="372"/>
      <c r="I1000" s="372"/>
      <c r="J1000" s="372"/>
      <c r="K1000" s="372"/>
      <c r="L1000" s="372"/>
      <c r="M1000" s="372"/>
      <c r="N1000" s="372"/>
      <c r="O1000" s="372"/>
      <c r="P1000" s="372"/>
      <c r="Q1000" s="372"/>
      <c r="R1000" s="372"/>
      <c r="S1000" s="372"/>
      <c r="T1000" s="372"/>
      <c r="U1000" s="372"/>
      <c r="V1000" s="372"/>
      <c r="W1000" s="372"/>
      <c r="X1000" s="372"/>
      <c r="Y1000" s="372"/>
      <c r="Z1000" s="372"/>
    </row>
    <row r="1001">
      <c r="A1001" s="372"/>
      <c r="B1001" s="372"/>
      <c r="C1001" s="372"/>
      <c r="D1001" s="372"/>
      <c r="E1001" s="372"/>
      <c r="F1001" s="372"/>
      <c r="G1001" s="372"/>
      <c r="H1001" s="372"/>
      <c r="I1001" s="372"/>
      <c r="J1001" s="372"/>
      <c r="K1001" s="372"/>
      <c r="L1001" s="372"/>
      <c r="M1001" s="372"/>
      <c r="N1001" s="372"/>
      <c r="O1001" s="372"/>
      <c r="P1001" s="372"/>
      <c r="Q1001" s="372"/>
      <c r="R1001" s="372"/>
      <c r="S1001" s="372"/>
      <c r="T1001" s="372"/>
      <c r="U1001" s="372"/>
      <c r="V1001" s="372"/>
      <c r="W1001" s="372"/>
      <c r="X1001" s="372"/>
      <c r="Y1001" s="372"/>
      <c r="Z1001" s="372"/>
    </row>
  </sheetData>
  <mergeCells count="3">
    <mergeCell ref="B2:C2"/>
    <mergeCell ref="B8:C8"/>
    <mergeCell ref="B9:C9"/>
  </mergeCells>
  <drawing r:id="rId1"/>
</worksheet>
</file>